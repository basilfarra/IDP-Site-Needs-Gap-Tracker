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Basil\Desktop\"/>
    </mc:Choice>
  </mc:AlternateContent>
  <xr:revisionPtr revIDLastSave="0" documentId="13_ncr:1_{754B09E0-C901-4A4B-B894-674F01982590}" xr6:coauthVersionLast="47" xr6:coauthVersionMax="47" xr10:uidLastSave="{00000000-0000-0000-0000-000000000000}"/>
  <bookViews>
    <workbookView xWindow="-108" yWindow="-108" windowWidth="23256" windowHeight="13176" tabRatio="874" activeTab="8" xr2:uid="{00000000-000D-0000-FFFF-FFFF00000000}"/>
  </bookViews>
  <sheets>
    <sheet name="README" sheetId="1" r:id="rId1"/>
    <sheet name="Dashboard" sheetId="2" r:id="rId2"/>
    <sheet name="Follow_Up_List" sheetId="3" r:id="rId3"/>
    <sheet name="Households" sheetId="4" r:id="rId4"/>
    <sheet name="Needs_Gaps" sheetId="5" r:id="rId5"/>
    <sheet name="Assistance_Log" sheetId="6" r:id="rId6"/>
    <sheet name="Referrals" sheetId="7" r:id="rId7"/>
    <sheet name="Maintenance_Log" sheetId="8" r:id="rId8"/>
    <sheet name="Site_Profile" sheetId="9" r:id="rId9"/>
    <sheet name="Community_Initiatives" sheetId="10" r:id="rId10"/>
    <sheet name="BoQ_Draft" sheetId="11" r:id="rId11"/>
    <sheet name="Kobo_Import" sheetId="12" r:id="rId12"/>
    <sheet name="Import_Index" sheetId="13" r:id="rId13"/>
    <sheet name="Field_Map" sheetId="14" r:id="rId14"/>
    <sheet name="Settings" sheetId="15" r:id="rId15"/>
    <sheet name="Lists" sheetId="16" r:id="rId16"/>
  </sheets>
  <definedNames>
    <definedName name="_xlnm._FilterDatabase" localSheetId="5" hidden="1">Assistance_Log!$A$4:$I$367</definedName>
    <definedName name="_xlnm._FilterDatabase" localSheetId="3" hidden="1">Households!$A$4:$AG$154</definedName>
    <definedName name="_xlnm._FilterDatabase" localSheetId="7" hidden="1">Maintenance_Log!$A$4:$L$40</definedName>
    <definedName name="_xlnm._FilterDatabase" localSheetId="4" hidden="1">Needs_Gaps!$A$4:$AI$154</definedName>
    <definedName name="_xlnm._FilterDatabase" localSheetId="6" hidden="1">Referrals!$A$4:$K$52</definedName>
    <definedName name="_xlnm.Print_Area" localSheetId="1">Dashboard!$A$1:$T$84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1" i="14" l="1"/>
  <c r="C31" i="14" s="1"/>
  <c r="B30" i="14"/>
  <c r="C30" i="14" s="1"/>
  <c r="B29" i="14"/>
  <c r="C29" i="14" s="1"/>
  <c r="B28" i="14"/>
  <c r="C28" i="14" s="1"/>
  <c r="B27" i="14"/>
  <c r="C27" i="14" s="1"/>
  <c r="B26" i="14"/>
  <c r="C26" i="14" s="1"/>
  <c r="B25" i="14"/>
  <c r="C25" i="14" s="1"/>
  <c r="B24" i="14"/>
  <c r="C24" i="14" s="1"/>
  <c r="B23" i="14"/>
  <c r="C23" i="14" s="1"/>
  <c r="B22" i="14"/>
  <c r="C22" i="14" s="1"/>
  <c r="B21" i="14"/>
  <c r="C21" i="14" s="1"/>
  <c r="C20" i="14"/>
  <c r="B20" i="14"/>
  <c r="B19" i="14"/>
  <c r="C19" i="14" s="1"/>
  <c r="C18" i="14"/>
  <c r="B18" i="14"/>
  <c r="C17" i="14"/>
  <c r="B17" i="14"/>
  <c r="B16" i="14"/>
  <c r="C16" i="14" s="1"/>
  <c r="B15" i="14"/>
  <c r="C15" i="14" s="1"/>
  <c r="B14" i="14"/>
  <c r="C14" i="14" s="1"/>
  <c r="B13" i="14"/>
  <c r="B302" i="13" s="1"/>
  <c r="B12" i="14"/>
  <c r="C304" i="13" s="1"/>
  <c r="C11" i="14"/>
  <c r="B11" i="14"/>
  <c r="E298" i="13" s="1"/>
  <c r="B10" i="14"/>
  <c r="C10" i="14" s="1"/>
  <c r="C9" i="14"/>
  <c r="B9" i="14"/>
  <c r="B8" i="14"/>
  <c r="C8" i="14" s="1"/>
  <c r="B7" i="14"/>
  <c r="C7" i="14" s="1"/>
  <c r="C6" i="14"/>
  <c r="B6" i="14"/>
  <c r="C5" i="14"/>
  <c r="B5" i="14"/>
  <c r="E304" i="13"/>
  <c r="B304" i="13"/>
  <c r="E303" i="13"/>
  <c r="C303" i="13"/>
  <c r="B303" i="13"/>
  <c r="I303" i="13" s="1"/>
  <c r="E302" i="13"/>
  <c r="C302" i="13"/>
  <c r="E301" i="13"/>
  <c r="C301" i="13"/>
  <c r="B301" i="13"/>
  <c r="I301" i="13" s="1"/>
  <c r="E300" i="13"/>
  <c r="C300" i="13"/>
  <c r="B300" i="13"/>
  <c r="I300" i="13" s="1"/>
  <c r="E299" i="13"/>
  <c r="D299" i="13"/>
  <c r="F299" i="13" s="1"/>
  <c r="G299" i="13" s="1"/>
  <c r="H299" i="13" s="1"/>
  <c r="C299" i="13"/>
  <c r="B299" i="13"/>
  <c r="I299" i="13" s="1"/>
  <c r="I298" i="13"/>
  <c r="D298" i="13"/>
  <c r="C298" i="13"/>
  <c r="B298" i="13"/>
  <c r="E297" i="13"/>
  <c r="C297" i="13"/>
  <c r="B297" i="13"/>
  <c r="I297" i="13" s="1"/>
  <c r="E296" i="13"/>
  <c r="C296" i="13"/>
  <c r="B296" i="13"/>
  <c r="I296" i="13" s="1"/>
  <c r="E295" i="13"/>
  <c r="C295" i="13"/>
  <c r="B295" i="13"/>
  <c r="E294" i="13"/>
  <c r="B294" i="13"/>
  <c r="E293" i="13"/>
  <c r="D293" i="13"/>
  <c r="C293" i="13"/>
  <c r="B293" i="13"/>
  <c r="F293" i="13" s="1"/>
  <c r="G293" i="13" s="1"/>
  <c r="H293" i="13" s="1"/>
  <c r="E292" i="13"/>
  <c r="C292" i="13"/>
  <c r="E291" i="13"/>
  <c r="C291" i="13"/>
  <c r="B291" i="13"/>
  <c r="I290" i="13"/>
  <c r="E290" i="13"/>
  <c r="D290" i="13"/>
  <c r="C290" i="13"/>
  <c r="B290" i="13"/>
  <c r="F290" i="13" s="1"/>
  <c r="G290" i="13" s="1"/>
  <c r="H290" i="13" s="1"/>
  <c r="E289" i="13"/>
  <c r="C289" i="13"/>
  <c r="B289" i="13"/>
  <c r="D289" i="13" s="1"/>
  <c r="I288" i="13"/>
  <c r="E288" i="13"/>
  <c r="D288" i="13"/>
  <c r="F288" i="13" s="1"/>
  <c r="G288" i="13" s="1"/>
  <c r="H288" i="13" s="1"/>
  <c r="C288" i="13"/>
  <c r="B288" i="13"/>
  <c r="I287" i="13"/>
  <c r="F287" i="13"/>
  <c r="G287" i="13" s="1"/>
  <c r="H287" i="13" s="1"/>
  <c r="E287" i="13"/>
  <c r="D287" i="13"/>
  <c r="C287" i="13"/>
  <c r="B287" i="13"/>
  <c r="I286" i="13"/>
  <c r="F286" i="13"/>
  <c r="G286" i="13" s="1"/>
  <c r="H286" i="13" s="1"/>
  <c r="E286" i="13"/>
  <c r="C286" i="13"/>
  <c r="B286" i="13"/>
  <c r="D286" i="13" s="1"/>
  <c r="E285" i="13"/>
  <c r="C285" i="13"/>
  <c r="B285" i="13"/>
  <c r="I285" i="13" s="1"/>
  <c r="E284" i="13"/>
  <c r="C284" i="13"/>
  <c r="B284" i="13"/>
  <c r="I283" i="13"/>
  <c r="D283" i="13"/>
  <c r="C283" i="13"/>
  <c r="B283" i="13"/>
  <c r="I282" i="13"/>
  <c r="F282" i="13"/>
  <c r="G282" i="13" s="1"/>
  <c r="H282" i="13" s="1"/>
  <c r="E282" i="13"/>
  <c r="D282" i="13"/>
  <c r="C282" i="13"/>
  <c r="B282" i="13"/>
  <c r="I281" i="13"/>
  <c r="E281" i="13"/>
  <c r="C281" i="13"/>
  <c r="F281" i="13" s="1"/>
  <c r="G281" i="13" s="1"/>
  <c r="H281" i="13" s="1"/>
  <c r="B281" i="13"/>
  <c r="D281" i="13" s="1"/>
  <c r="E280" i="13"/>
  <c r="D280" i="13"/>
  <c r="C280" i="13"/>
  <c r="F280" i="13" s="1"/>
  <c r="G280" i="13" s="1"/>
  <c r="H280" i="13" s="1"/>
  <c r="B280" i="13"/>
  <c r="I280" i="13" s="1"/>
  <c r="E279" i="13"/>
  <c r="B279" i="13"/>
  <c r="E278" i="13"/>
  <c r="D278" i="13"/>
  <c r="C278" i="13"/>
  <c r="B278" i="13"/>
  <c r="E277" i="13"/>
  <c r="C277" i="13"/>
  <c r="I276" i="13"/>
  <c r="E276" i="13"/>
  <c r="D276" i="13"/>
  <c r="C276" i="13"/>
  <c r="B276" i="13"/>
  <c r="F276" i="13" s="1"/>
  <c r="G276" i="13" s="1"/>
  <c r="H276" i="13" s="1"/>
  <c r="I275" i="13"/>
  <c r="E275" i="13"/>
  <c r="D275" i="13"/>
  <c r="C275" i="13"/>
  <c r="B275" i="13"/>
  <c r="F275" i="13" s="1"/>
  <c r="G275" i="13" s="1"/>
  <c r="H275" i="13" s="1"/>
  <c r="E274" i="13"/>
  <c r="C274" i="13"/>
  <c r="B274" i="13"/>
  <c r="I273" i="13"/>
  <c r="E273" i="13"/>
  <c r="D273" i="13"/>
  <c r="F273" i="13" s="1"/>
  <c r="G273" i="13" s="1"/>
  <c r="H273" i="13" s="1"/>
  <c r="C273" i="13"/>
  <c r="B273" i="13"/>
  <c r="E272" i="13"/>
  <c r="C272" i="13"/>
  <c r="B272" i="13"/>
  <c r="D272" i="13" s="1"/>
  <c r="I271" i="13"/>
  <c r="F271" i="13"/>
  <c r="G271" i="13" s="1"/>
  <c r="H271" i="13" s="1"/>
  <c r="E271" i="13"/>
  <c r="C271" i="13"/>
  <c r="B271" i="13"/>
  <c r="D271" i="13" s="1"/>
  <c r="I270" i="13"/>
  <c r="F270" i="13"/>
  <c r="G270" i="13" s="1"/>
  <c r="H270" i="13" s="1"/>
  <c r="E270" i="13"/>
  <c r="D270" i="13"/>
  <c r="C270" i="13"/>
  <c r="B270" i="13"/>
  <c r="E269" i="13"/>
  <c r="C269" i="13"/>
  <c r="B269" i="13"/>
  <c r="I268" i="13"/>
  <c r="E268" i="13"/>
  <c r="C268" i="13"/>
  <c r="B268" i="13"/>
  <c r="F267" i="13"/>
  <c r="G267" i="13" s="1"/>
  <c r="H267" i="13" s="1"/>
  <c r="E267" i="13"/>
  <c r="D267" i="13"/>
  <c r="C267" i="13"/>
  <c r="B267" i="13"/>
  <c r="I267" i="13" s="1"/>
  <c r="I266" i="13"/>
  <c r="D266" i="13"/>
  <c r="C266" i="13"/>
  <c r="B266" i="13"/>
  <c r="E265" i="13"/>
  <c r="D265" i="13"/>
  <c r="C265" i="13"/>
  <c r="F265" i="13" s="1"/>
  <c r="G265" i="13" s="1"/>
  <c r="H265" i="13" s="1"/>
  <c r="B265" i="13"/>
  <c r="I265" i="13" s="1"/>
  <c r="I264" i="13"/>
  <c r="H264" i="13"/>
  <c r="E264" i="13"/>
  <c r="C264" i="13"/>
  <c r="F264" i="13" s="1"/>
  <c r="G264" i="13" s="1"/>
  <c r="B264" i="13"/>
  <c r="D264" i="13" s="1"/>
  <c r="E263" i="13"/>
  <c r="C263" i="13"/>
  <c r="B263" i="13"/>
  <c r="E262" i="13"/>
  <c r="B262" i="13"/>
  <c r="E261" i="13"/>
  <c r="D261" i="13"/>
  <c r="C261" i="13"/>
  <c r="B261" i="13"/>
  <c r="E260" i="13"/>
  <c r="C260" i="13"/>
  <c r="E259" i="13"/>
  <c r="C259" i="13"/>
  <c r="B259" i="13"/>
  <c r="I258" i="13"/>
  <c r="E258" i="13"/>
  <c r="D258" i="13"/>
  <c r="C258" i="13"/>
  <c r="B258" i="13"/>
  <c r="F258" i="13" s="1"/>
  <c r="G258" i="13" s="1"/>
  <c r="H258" i="13" s="1"/>
  <c r="E257" i="13"/>
  <c r="C257" i="13"/>
  <c r="B257" i="13"/>
  <c r="I256" i="13"/>
  <c r="G256" i="13"/>
  <c r="H256" i="13" s="1"/>
  <c r="E256" i="13"/>
  <c r="D256" i="13"/>
  <c r="F256" i="13" s="1"/>
  <c r="C256" i="13"/>
  <c r="B256" i="13"/>
  <c r="I255" i="13"/>
  <c r="F255" i="13"/>
  <c r="G255" i="13" s="1"/>
  <c r="H255" i="13" s="1"/>
  <c r="E255" i="13"/>
  <c r="D255" i="13"/>
  <c r="C255" i="13"/>
  <c r="B255" i="13"/>
  <c r="I254" i="13"/>
  <c r="E254" i="13"/>
  <c r="C254" i="13"/>
  <c r="F254" i="13" s="1"/>
  <c r="G254" i="13" s="1"/>
  <c r="H254" i="13" s="1"/>
  <c r="B254" i="13"/>
  <c r="D254" i="13" s="1"/>
  <c r="E253" i="13"/>
  <c r="C253" i="13"/>
  <c r="B253" i="13"/>
  <c r="I253" i="13" s="1"/>
  <c r="E252" i="13"/>
  <c r="C252" i="13"/>
  <c r="B252" i="13"/>
  <c r="D251" i="13"/>
  <c r="C251" i="13"/>
  <c r="B251" i="13"/>
  <c r="I251" i="13" s="1"/>
  <c r="I250" i="13"/>
  <c r="E250" i="13"/>
  <c r="D250" i="13"/>
  <c r="F250" i="13" s="1"/>
  <c r="G250" i="13" s="1"/>
  <c r="H250" i="13" s="1"/>
  <c r="C250" i="13"/>
  <c r="B250" i="13"/>
  <c r="I249" i="13"/>
  <c r="E249" i="13"/>
  <c r="C249" i="13"/>
  <c r="F249" i="13" s="1"/>
  <c r="G249" i="13" s="1"/>
  <c r="H249" i="13" s="1"/>
  <c r="B249" i="13"/>
  <c r="D249" i="13" s="1"/>
  <c r="E248" i="13"/>
  <c r="D248" i="13"/>
  <c r="C248" i="13"/>
  <c r="F248" i="13" s="1"/>
  <c r="G248" i="13" s="1"/>
  <c r="H248" i="13" s="1"/>
  <c r="B248" i="13"/>
  <c r="I248" i="13" s="1"/>
  <c r="E247" i="13"/>
  <c r="B247" i="13"/>
  <c r="E246" i="13"/>
  <c r="D246" i="13"/>
  <c r="C246" i="13"/>
  <c r="B246" i="13"/>
  <c r="E245" i="13"/>
  <c r="C245" i="13"/>
  <c r="I244" i="13"/>
  <c r="E244" i="13"/>
  <c r="D244" i="13"/>
  <c r="C244" i="13"/>
  <c r="B244" i="13"/>
  <c r="F244" i="13" s="1"/>
  <c r="G244" i="13" s="1"/>
  <c r="H244" i="13" s="1"/>
  <c r="I243" i="13"/>
  <c r="E243" i="13"/>
  <c r="D243" i="13"/>
  <c r="C243" i="13"/>
  <c r="B243" i="13"/>
  <c r="F243" i="13" s="1"/>
  <c r="G243" i="13" s="1"/>
  <c r="H243" i="13" s="1"/>
  <c r="E242" i="13"/>
  <c r="C242" i="13"/>
  <c r="B242" i="13"/>
  <c r="I241" i="13"/>
  <c r="H241" i="13"/>
  <c r="E241" i="13"/>
  <c r="D241" i="13"/>
  <c r="F241" i="13" s="1"/>
  <c r="G241" i="13" s="1"/>
  <c r="C241" i="13"/>
  <c r="B241" i="13"/>
  <c r="E240" i="13"/>
  <c r="C240" i="13"/>
  <c r="B240" i="13"/>
  <c r="I239" i="13"/>
  <c r="F239" i="13"/>
  <c r="G239" i="13" s="1"/>
  <c r="H239" i="13" s="1"/>
  <c r="E239" i="13"/>
  <c r="C239" i="13"/>
  <c r="B239" i="13"/>
  <c r="D239" i="13" s="1"/>
  <c r="I238" i="13"/>
  <c r="F238" i="13"/>
  <c r="G238" i="13" s="1"/>
  <c r="H238" i="13" s="1"/>
  <c r="E238" i="13"/>
  <c r="D238" i="13"/>
  <c r="C238" i="13"/>
  <c r="B238" i="13"/>
  <c r="I237" i="13"/>
  <c r="E237" i="13"/>
  <c r="C237" i="13"/>
  <c r="B237" i="13"/>
  <c r="D237" i="13" s="1"/>
  <c r="I236" i="13"/>
  <c r="E236" i="13"/>
  <c r="C236" i="13"/>
  <c r="B236" i="13"/>
  <c r="F235" i="13"/>
  <c r="G235" i="13" s="1"/>
  <c r="H235" i="13" s="1"/>
  <c r="E235" i="13"/>
  <c r="D235" i="13"/>
  <c r="C235" i="13"/>
  <c r="B235" i="13"/>
  <c r="I235" i="13" s="1"/>
  <c r="I234" i="13"/>
  <c r="D234" i="13"/>
  <c r="C234" i="13"/>
  <c r="B234" i="13"/>
  <c r="E233" i="13"/>
  <c r="D233" i="13"/>
  <c r="F233" i="13" s="1"/>
  <c r="G233" i="13" s="1"/>
  <c r="H233" i="13" s="1"/>
  <c r="C233" i="13"/>
  <c r="B233" i="13"/>
  <c r="I233" i="13" s="1"/>
  <c r="I232" i="13"/>
  <c r="E232" i="13"/>
  <c r="C232" i="13"/>
  <c r="F232" i="13" s="1"/>
  <c r="G232" i="13" s="1"/>
  <c r="H232" i="13" s="1"/>
  <c r="B232" i="13"/>
  <c r="D232" i="13" s="1"/>
  <c r="E231" i="13"/>
  <c r="C231" i="13"/>
  <c r="B231" i="13"/>
  <c r="E230" i="13"/>
  <c r="B230" i="13"/>
  <c r="E229" i="13"/>
  <c r="D229" i="13"/>
  <c r="C229" i="13"/>
  <c r="B229" i="13"/>
  <c r="E228" i="13"/>
  <c r="C228" i="13"/>
  <c r="E227" i="13"/>
  <c r="C227" i="13"/>
  <c r="B227" i="13"/>
  <c r="I226" i="13"/>
  <c r="E226" i="13"/>
  <c r="D226" i="13"/>
  <c r="C226" i="13"/>
  <c r="B226" i="13"/>
  <c r="F226" i="13" s="1"/>
  <c r="G226" i="13" s="1"/>
  <c r="H226" i="13" s="1"/>
  <c r="E225" i="13"/>
  <c r="C225" i="13"/>
  <c r="B225" i="13"/>
  <c r="I224" i="13"/>
  <c r="E224" i="13"/>
  <c r="D224" i="13"/>
  <c r="F224" i="13" s="1"/>
  <c r="G224" i="13" s="1"/>
  <c r="H224" i="13" s="1"/>
  <c r="C224" i="13"/>
  <c r="B224" i="13"/>
  <c r="I223" i="13"/>
  <c r="F223" i="13"/>
  <c r="G223" i="13" s="1"/>
  <c r="H223" i="13" s="1"/>
  <c r="E223" i="13"/>
  <c r="D223" i="13"/>
  <c r="C223" i="13"/>
  <c r="B223" i="13"/>
  <c r="I222" i="13"/>
  <c r="F222" i="13"/>
  <c r="G222" i="13" s="1"/>
  <c r="H222" i="13" s="1"/>
  <c r="E222" i="13"/>
  <c r="C222" i="13"/>
  <c r="B222" i="13"/>
  <c r="D222" i="13" s="1"/>
  <c r="E221" i="13"/>
  <c r="C221" i="13"/>
  <c r="B221" i="13"/>
  <c r="I221" i="13" s="1"/>
  <c r="E220" i="13"/>
  <c r="C220" i="13"/>
  <c r="B220" i="13"/>
  <c r="E219" i="13"/>
  <c r="D219" i="13"/>
  <c r="C219" i="13"/>
  <c r="B219" i="13"/>
  <c r="I219" i="13" s="1"/>
  <c r="I218" i="13"/>
  <c r="E218" i="13"/>
  <c r="D218" i="13"/>
  <c r="F218" i="13" s="1"/>
  <c r="G218" i="13" s="1"/>
  <c r="H218" i="13" s="1"/>
  <c r="C218" i="13"/>
  <c r="B218" i="13"/>
  <c r="I217" i="13"/>
  <c r="E217" i="13"/>
  <c r="C217" i="13"/>
  <c r="B217" i="13"/>
  <c r="D217" i="13" s="1"/>
  <c r="E216" i="13"/>
  <c r="D216" i="13"/>
  <c r="F216" i="13" s="1"/>
  <c r="G216" i="13" s="1"/>
  <c r="H216" i="13" s="1"/>
  <c r="C216" i="13"/>
  <c r="B216" i="13"/>
  <c r="I216" i="13" s="1"/>
  <c r="E215" i="13"/>
  <c r="C215" i="13"/>
  <c r="B215" i="13"/>
  <c r="E214" i="13"/>
  <c r="D214" i="13"/>
  <c r="C214" i="13"/>
  <c r="B214" i="13"/>
  <c r="I213" i="13"/>
  <c r="F213" i="13"/>
  <c r="G213" i="13" s="1"/>
  <c r="H213" i="13" s="1"/>
  <c r="E213" i="13"/>
  <c r="D213" i="13"/>
  <c r="C213" i="13"/>
  <c r="B213" i="13"/>
  <c r="I212" i="13"/>
  <c r="E212" i="13"/>
  <c r="D212" i="13"/>
  <c r="C212" i="13"/>
  <c r="B212" i="13"/>
  <c r="I211" i="13"/>
  <c r="E211" i="13"/>
  <c r="D211" i="13"/>
  <c r="C211" i="13"/>
  <c r="B211" i="13"/>
  <c r="F211" i="13" s="1"/>
  <c r="G211" i="13" s="1"/>
  <c r="H211" i="13" s="1"/>
  <c r="E210" i="13"/>
  <c r="C210" i="13"/>
  <c r="B210" i="13"/>
  <c r="I209" i="13"/>
  <c r="F209" i="13"/>
  <c r="G209" i="13" s="1"/>
  <c r="H209" i="13" s="1"/>
  <c r="E209" i="13"/>
  <c r="D209" i="13"/>
  <c r="C209" i="13"/>
  <c r="B209" i="13"/>
  <c r="E208" i="13"/>
  <c r="C208" i="13"/>
  <c r="B208" i="13"/>
  <c r="I207" i="13"/>
  <c r="F207" i="13"/>
  <c r="G207" i="13" s="1"/>
  <c r="H207" i="13" s="1"/>
  <c r="E207" i="13"/>
  <c r="C207" i="13"/>
  <c r="B207" i="13"/>
  <c r="D207" i="13" s="1"/>
  <c r="I206" i="13"/>
  <c r="F206" i="13"/>
  <c r="G206" i="13" s="1"/>
  <c r="H206" i="13" s="1"/>
  <c r="E206" i="13"/>
  <c r="D206" i="13"/>
  <c r="C206" i="13"/>
  <c r="B206" i="13"/>
  <c r="E205" i="13"/>
  <c r="C205" i="13"/>
  <c r="B205" i="13"/>
  <c r="I205" i="13" s="1"/>
  <c r="I204" i="13"/>
  <c r="E204" i="13"/>
  <c r="C204" i="13"/>
  <c r="B204" i="13"/>
  <c r="E203" i="13"/>
  <c r="D203" i="13"/>
  <c r="C203" i="13"/>
  <c r="F203" i="13" s="1"/>
  <c r="G203" i="13" s="1"/>
  <c r="H203" i="13" s="1"/>
  <c r="B203" i="13"/>
  <c r="I203" i="13" s="1"/>
  <c r="I202" i="13"/>
  <c r="E202" i="13"/>
  <c r="D202" i="13"/>
  <c r="C202" i="13"/>
  <c r="B202" i="13"/>
  <c r="F202" i="13" s="1"/>
  <c r="G202" i="13" s="1"/>
  <c r="H202" i="13" s="1"/>
  <c r="F201" i="13"/>
  <c r="G201" i="13" s="1"/>
  <c r="H201" i="13" s="1"/>
  <c r="E201" i="13"/>
  <c r="D201" i="13"/>
  <c r="C201" i="13"/>
  <c r="B201" i="13"/>
  <c r="I201" i="13" s="1"/>
  <c r="I200" i="13"/>
  <c r="E200" i="13"/>
  <c r="C200" i="13"/>
  <c r="B200" i="13"/>
  <c r="D200" i="13" s="1"/>
  <c r="E199" i="13"/>
  <c r="D199" i="13"/>
  <c r="C199" i="13"/>
  <c r="B199" i="13"/>
  <c r="I198" i="13"/>
  <c r="E198" i="13"/>
  <c r="C198" i="13"/>
  <c r="B198" i="13"/>
  <c r="E197" i="13"/>
  <c r="C197" i="13"/>
  <c r="B197" i="13"/>
  <c r="D197" i="13" s="1"/>
  <c r="I196" i="13"/>
  <c r="F196" i="13"/>
  <c r="G196" i="13" s="1"/>
  <c r="H196" i="13" s="1"/>
  <c r="E196" i="13"/>
  <c r="D196" i="13"/>
  <c r="C196" i="13"/>
  <c r="B196" i="13"/>
  <c r="I195" i="13"/>
  <c r="E195" i="13"/>
  <c r="C195" i="13"/>
  <c r="B195" i="13"/>
  <c r="I194" i="13"/>
  <c r="E194" i="13"/>
  <c r="D194" i="13"/>
  <c r="C194" i="13"/>
  <c r="B194" i="13"/>
  <c r="F194" i="13" s="1"/>
  <c r="G194" i="13" s="1"/>
  <c r="H194" i="13" s="1"/>
  <c r="E193" i="13"/>
  <c r="C193" i="13"/>
  <c r="B193" i="13"/>
  <c r="I192" i="13"/>
  <c r="F192" i="13"/>
  <c r="G192" i="13" s="1"/>
  <c r="H192" i="13" s="1"/>
  <c r="E192" i="13"/>
  <c r="D192" i="13"/>
  <c r="C192" i="13"/>
  <c r="B192" i="13"/>
  <c r="I191" i="13"/>
  <c r="F191" i="13"/>
  <c r="G191" i="13" s="1"/>
  <c r="H191" i="13" s="1"/>
  <c r="E191" i="13"/>
  <c r="D191" i="13"/>
  <c r="C191" i="13"/>
  <c r="B191" i="13"/>
  <c r="I190" i="13"/>
  <c r="E190" i="13"/>
  <c r="C190" i="13"/>
  <c r="F190" i="13" s="1"/>
  <c r="G190" i="13" s="1"/>
  <c r="H190" i="13" s="1"/>
  <c r="B190" i="13"/>
  <c r="D190" i="13" s="1"/>
  <c r="E189" i="13"/>
  <c r="C189" i="13"/>
  <c r="B189" i="13"/>
  <c r="I189" i="13" s="1"/>
  <c r="E188" i="13"/>
  <c r="C188" i="13"/>
  <c r="B188" i="13"/>
  <c r="I188" i="13" s="1"/>
  <c r="E187" i="13"/>
  <c r="C187" i="13"/>
  <c r="B187" i="13"/>
  <c r="I186" i="13"/>
  <c r="E186" i="13"/>
  <c r="D186" i="13"/>
  <c r="C186" i="13"/>
  <c r="F186" i="13" s="1"/>
  <c r="G186" i="13" s="1"/>
  <c r="H186" i="13" s="1"/>
  <c r="B186" i="13"/>
  <c r="I185" i="13"/>
  <c r="E185" i="13"/>
  <c r="C185" i="13"/>
  <c r="F185" i="13" s="1"/>
  <c r="G185" i="13" s="1"/>
  <c r="H185" i="13" s="1"/>
  <c r="B185" i="13"/>
  <c r="D185" i="13" s="1"/>
  <c r="I184" i="13"/>
  <c r="E184" i="13"/>
  <c r="D184" i="13"/>
  <c r="F184" i="13" s="1"/>
  <c r="G184" i="13" s="1"/>
  <c r="H184" i="13" s="1"/>
  <c r="C184" i="13"/>
  <c r="B184" i="13"/>
  <c r="E183" i="13"/>
  <c r="C183" i="13"/>
  <c r="B183" i="13"/>
  <c r="E182" i="13"/>
  <c r="D182" i="13"/>
  <c r="C182" i="13"/>
  <c r="B182" i="13"/>
  <c r="I181" i="13"/>
  <c r="F181" i="13"/>
  <c r="G181" i="13" s="1"/>
  <c r="H181" i="13" s="1"/>
  <c r="E181" i="13"/>
  <c r="D181" i="13"/>
  <c r="C181" i="13"/>
  <c r="B181" i="13"/>
  <c r="I180" i="13"/>
  <c r="E180" i="13"/>
  <c r="D180" i="13"/>
  <c r="C180" i="13"/>
  <c r="B180" i="13"/>
  <c r="I179" i="13"/>
  <c r="E179" i="13"/>
  <c r="D179" i="13"/>
  <c r="C179" i="13"/>
  <c r="B179" i="13"/>
  <c r="F179" i="13" s="1"/>
  <c r="G179" i="13" s="1"/>
  <c r="H179" i="13" s="1"/>
  <c r="E178" i="13"/>
  <c r="C178" i="13"/>
  <c r="B178" i="13"/>
  <c r="I177" i="13"/>
  <c r="E177" i="13"/>
  <c r="D177" i="13"/>
  <c r="C177" i="13"/>
  <c r="F177" i="13" s="1"/>
  <c r="G177" i="13" s="1"/>
  <c r="H177" i="13" s="1"/>
  <c r="B177" i="13"/>
  <c r="E176" i="13"/>
  <c r="C176" i="13"/>
  <c r="B176" i="13"/>
  <c r="I175" i="13"/>
  <c r="E175" i="13"/>
  <c r="C175" i="13"/>
  <c r="B175" i="13"/>
  <c r="D175" i="13" s="1"/>
  <c r="I174" i="13"/>
  <c r="E174" i="13"/>
  <c r="D174" i="13"/>
  <c r="C174" i="13"/>
  <c r="F174" i="13" s="1"/>
  <c r="G174" i="13" s="1"/>
  <c r="H174" i="13" s="1"/>
  <c r="B174" i="13"/>
  <c r="E173" i="13"/>
  <c r="D173" i="13"/>
  <c r="F173" i="13" s="1"/>
  <c r="G173" i="13" s="1"/>
  <c r="H173" i="13" s="1"/>
  <c r="C173" i="13"/>
  <c r="B173" i="13"/>
  <c r="I173" i="13" s="1"/>
  <c r="I172" i="13"/>
  <c r="E172" i="13"/>
  <c r="C172" i="13"/>
  <c r="B172" i="13"/>
  <c r="I171" i="13"/>
  <c r="F171" i="13"/>
  <c r="G171" i="13" s="1"/>
  <c r="H171" i="13" s="1"/>
  <c r="E171" i="13"/>
  <c r="D171" i="13"/>
  <c r="C171" i="13"/>
  <c r="B171" i="13"/>
  <c r="I170" i="13"/>
  <c r="E170" i="13"/>
  <c r="C170" i="13"/>
  <c r="B170" i="13"/>
  <c r="E169" i="13"/>
  <c r="C169" i="13"/>
  <c r="B169" i="13"/>
  <c r="I169" i="13" s="1"/>
  <c r="I168" i="13"/>
  <c r="G168" i="13"/>
  <c r="H168" i="13" s="1"/>
  <c r="F168" i="13"/>
  <c r="E168" i="13"/>
  <c r="C168" i="13"/>
  <c r="B168" i="13"/>
  <c r="D168" i="13" s="1"/>
  <c r="I167" i="13"/>
  <c r="E167" i="13"/>
  <c r="D167" i="13"/>
  <c r="C167" i="13"/>
  <c r="B167" i="13"/>
  <c r="F166" i="13"/>
  <c r="G166" i="13" s="1"/>
  <c r="H166" i="13" s="1"/>
  <c r="E166" i="13"/>
  <c r="C166" i="13"/>
  <c r="B166" i="13"/>
  <c r="D166" i="13" s="1"/>
  <c r="F165" i="13"/>
  <c r="G165" i="13" s="1"/>
  <c r="H165" i="13" s="1"/>
  <c r="E165" i="13"/>
  <c r="D165" i="13"/>
  <c r="C165" i="13"/>
  <c r="B165" i="13"/>
  <c r="I165" i="13" s="1"/>
  <c r="I164" i="13"/>
  <c r="E164" i="13"/>
  <c r="D164" i="13"/>
  <c r="F164" i="13" s="1"/>
  <c r="G164" i="13" s="1"/>
  <c r="H164" i="13" s="1"/>
  <c r="C164" i="13"/>
  <c r="B164" i="13"/>
  <c r="E163" i="13"/>
  <c r="C163" i="13"/>
  <c r="B163" i="13"/>
  <c r="D163" i="13" s="1"/>
  <c r="E162" i="13"/>
  <c r="D162" i="13"/>
  <c r="C162" i="13"/>
  <c r="B162" i="13"/>
  <c r="I162" i="13" s="1"/>
  <c r="E161" i="13"/>
  <c r="D161" i="13"/>
  <c r="C161" i="13"/>
  <c r="B161" i="13"/>
  <c r="I160" i="13"/>
  <c r="F160" i="13"/>
  <c r="G160" i="13" s="1"/>
  <c r="H160" i="13" s="1"/>
  <c r="E160" i="13"/>
  <c r="D160" i="13"/>
  <c r="C160" i="13"/>
  <c r="B160" i="13"/>
  <c r="I159" i="13"/>
  <c r="E159" i="13"/>
  <c r="D159" i="13"/>
  <c r="C159" i="13"/>
  <c r="F159" i="13" s="1"/>
  <c r="G159" i="13" s="1"/>
  <c r="H159" i="13" s="1"/>
  <c r="B159" i="13"/>
  <c r="I158" i="13"/>
  <c r="E158" i="13"/>
  <c r="C158" i="13"/>
  <c r="F158" i="13" s="1"/>
  <c r="G158" i="13" s="1"/>
  <c r="H158" i="13" s="1"/>
  <c r="B158" i="13"/>
  <c r="D158" i="13" s="1"/>
  <c r="E157" i="13"/>
  <c r="C157" i="13"/>
  <c r="B157" i="13"/>
  <c r="I157" i="13" s="1"/>
  <c r="E156" i="13"/>
  <c r="D156" i="13"/>
  <c r="F156" i="13" s="1"/>
  <c r="G156" i="13" s="1"/>
  <c r="H156" i="13" s="1"/>
  <c r="C156" i="13"/>
  <c r="B156" i="13"/>
  <c r="I156" i="13" s="1"/>
  <c r="I155" i="13"/>
  <c r="F155" i="13"/>
  <c r="G155" i="13" s="1"/>
  <c r="H155" i="13" s="1"/>
  <c r="E155" i="13"/>
  <c r="D155" i="13"/>
  <c r="C155" i="13"/>
  <c r="B155" i="13"/>
  <c r="I154" i="13"/>
  <c r="E154" i="13"/>
  <c r="D154" i="13"/>
  <c r="C154" i="13"/>
  <c r="F154" i="13" s="1"/>
  <c r="G154" i="13" s="1"/>
  <c r="H154" i="13" s="1"/>
  <c r="B154" i="13"/>
  <c r="I153" i="13"/>
  <c r="E153" i="13"/>
  <c r="C153" i="13"/>
  <c r="F153" i="13" s="1"/>
  <c r="G153" i="13" s="1"/>
  <c r="H153" i="13" s="1"/>
  <c r="B153" i="13"/>
  <c r="D153" i="13" s="1"/>
  <c r="E152" i="13"/>
  <c r="I152" i="13" s="1"/>
  <c r="D152" i="13"/>
  <c r="C152" i="13"/>
  <c r="B152" i="13"/>
  <c r="F152" i="13" s="1"/>
  <c r="E151" i="13"/>
  <c r="C151" i="13"/>
  <c r="B151" i="13"/>
  <c r="E150" i="13"/>
  <c r="D150" i="13"/>
  <c r="C150" i="13"/>
  <c r="B150" i="13"/>
  <c r="I149" i="13"/>
  <c r="E149" i="13"/>
  <c r="D149" i="13"/>
  <c r="F149" i="13" s="1"/>
  <c r="C149" i="13"/>
  <c r="B149" i="13"/>
  <c r="I148" i="13"/>
  <c r="E148" i="13"/>
  <c r="D148" i="13"/>
  <c r="C148" i="13"/>
  <c r="F148" i="13" s="1"/>
  <c r="B148" i="13"/>
  <c r="I147" i="13"/>
  <c r="E147" i="13"/>
  <c r="D147" i="13"/>
  <c r="C147" i="13"/>
  <c r="B147" i="13"/>
  <c r="E146" i="13"/>
  <c r="C146" i="13"/>
  <c r="B146" i="13"/>
  <c r="E145" i="13"/>
  <c r="C145" i="13"/>
  <c r="B145" i="13"/>
  <c r="I145" i="13" s="1"/>
  <c r="E144" i="13"/>
  <c r="C144" i="13"/>
  <c r="B144" i="13"/>
  <c r="I144" i="13" s="1"/>
  <c r="E143" i="13"/>
  <c r="C143" i="13"/>
  <c r="B143" i="13"/>
  <c r="D143" i="13" s="1"/>
  <c r="E142" i="13"/>
  <c r="C142" i="13"/>
  <c r="B142" i="13"/>
  <c r="I142" i="13" s="1"/>
  <c r="E141" i="13"/>
  <c r="I141" i="13" s="1"/>
  <c r="C141" i="13"/>
  <c r="B141" i="13"/>
  <c r="D141" i="13" s="1"/>
  <c r="F141" i="13" s="1"/>
  <c r="I140" i="13"/>
  <c r="E140" i="13"/>
  <c r="D140" i="13"/>
  <c r="F140" i="13" s="1"/>
  <c r="C140" i="13"/>
  <c r="B140" i="13"/>
  <c r="I139" i="13"/>
  <c r="F139" i="13"/>
  <c r="E139" i="13"/>
  <c r="C139" i="13"/>
  <c r="B139" i="13"/>
  <c r="D139" i="13" s="1"/>
  <c r="E138" i="13"/>
  <c r="C138" i="13"/>
  <c r="B138" i="13"/>
  <c r="I138" i="13" s="1"/>
  <c r="E137" i="13"/>
  <c r="C137" i="13"/>
  <c r="F137" i="13" s="1"/>
  <c r="B137" i="13"/>
  <c r="D137" i="13" s="1"/>
  <c r="E136" i="13"/>
  <c r="C136" i="13"/>
  <c r="B136" i="13"/>
  <c r="I136" i="13" s="1"/>
  <c r="E135" i="13"/>
  <c r="C135" i="13"/>
  <c r="B135" i="13"/>
  <c r="D135" i="13" s="1"/>
  <c r="I134" i="13"/>
  <c r="E134" i="13"/>
  <c r="C134" i="13"/>
  <c r="B134" i="13"/>
  <c r="I133" i="13"/>
  <c r="F133" i="13"/>
  <c r="E133" i="13"/>
  <c r="C133" i="13"/>
  <c r="B133" i="13"/>
  <c r="D133" i="13" s="1"/>
  <c r="I132" i="13"/>
  <c r="E132" i="13"/>
  <c r="D132" i="13"/>
  <c r="F132" i="13" s="1"/>
  <c r="C132" i="13"/>
  <c r="B132" i="13"/>
  <c r="I131" i="13"/>
  <c r="E131" i="13"/>
  <c r="C131" i="13"/>
  <c r="F131" i="13" s="1"/>
  <c r="B131" i="13"/>
  <c r="D131" i="13" s="1"/>
  <c r="E130" i="13"/>
  <c r="C130" i="13"/>
  <c r="B130" i="13"/>
  <c r="E129" i="13"/>
  <c r="I129" i="13" s="1"/>
  <c r="C129" i="13"/>
  <c r="F129" i="13" s="1"/>
  <c r="B129" i="13"/>
  <c r="D129" i="13" s="1"/>
  <c r="I128" i="13"/>
  <c r="E128" i="13"/>
  <c r="C128" i="13"/>
  <c r="B128" i="13"/>
  <c r="D128" i="13" s="1"/>
  <c r="E127" i="13"/>
  <c r="C127" i="13"/>
  <c r="B127" i="13"/>
  <c r="D127" i="13" s="1"/>
  <c r="E126" i="13"/>
  <c r="C126" i="13"/>
  <c r="B126" i="13"/>
  <c r="I126" i="13" s="1"/>
  <c r="E125" i="13"/>
  <c r="C125" i="13"/>
  <c r="B125" i="13"/>
  <c r="D125" i="13" s="1"/>
  <c r="E124" i="13"/>
  <c r="I124" i="13" s="1"/>
  <c r="D124" i="13"/>
  <c r="C124" i="13"/>
  <c r="F124" i="13" s="1"/>
  <c r="B124" i="13"/>
  <c r="I123" i="13"/>
  <c r="E123" i="13"/>
  <c r="C123" i="13"/>
  <c r="F123" i="13" s="1"/>
  <c r="B123" i="13"/>
  <c r="D123" i="13" s="1"/>
  <c r="E122" i="13"/>
  <c r="C122" i="13"/>
  <c r="B122" i="13"/>
  <c r="I122" i="13" s="1"/>
  <c r="I121" i="13"/>
  <c r="E121" i="13"/>
  <c r="C121" i="13"/>
  <c r="F121" i="13" s="1"/>
  <c r="B121" i="13"/>
  <c r="D121" i="13" s="1"/>
  <c r="E120" i="13"/>
  <c r="I120" i="13" s="1"/>
  <c r="C120" i="13"/>
  <c r="B120" i="13"/>
  <c r="E119" i="13"/>
  <c r="I119" i="13" s="1"/>
  <c r="C119" i="13"/>
  <c r="B119" i="13"/>
  <c r="D119" i="13" s="1"/>
  <c r="I118" i="13"/>
  <c r="E118" i="13"/>
  <c r="C118" i="13"/>
  <c r="F118" i="13" s="1"/>
  <c r="G118" i="13" s="1"/>
  <c r="H118" i="13" s="1"/>
  <c r="B118" i="13"/>
  <c r="D118" i="13" s="1"/>
  <c r="I117" i="13"/>
  <c r="F117" i="13"/>
  <c r="E117" i="13"/>
  <c r="C117" i="13"/>
  <c r="B117" i="13"/>
  <c r="D117" i="13" s="1"/>
  <c r="I116" i="13"/>
  <c r="E116" i="13"/>
  <c r="D116" i="13"/>
  <c r="C116" i="13"/>
  <c r="F116" i="13" s="1"/>
  <c r="B116" i="13"/>
  <c r="I115" i="13"/>
  <c r="E115" i="13"/>
  <c r="C115" i="13"/>
  <c r="B115" i="13"/>
  <c r="D115" i="13" s="1"/>
  <c r="E114" i="13"/>
  <c r="C114" i="13"/>
  <c r="B114" i="13"/>
  <c r="E113" i="13"/>
  <c r="I113" i="13" s="1"/>
  <c r="C113" i="13"/>
  <c r="B113" i="13"/>
  <c r="D113" i="13" s="1"/>
  <c r="I112" i="13"/>
  <c r="E112" i="13"/>
  <c r="C112" i="13"/>
  <c r="B112" i="13"/>
  <c r="D112" i="13" s="1"/>
  <c r="E111" i="13"/>
  <c r="C111" i="13"/>
  <c r="B111" i="13"/>
  <c r="D111" i="13" s="1"/>
  <c r="E110" i="13"/>
  <c r="C110" i="13"/>
  <c r="B110" i="13"/>
  <c r="I110" i="13" s="1"/>
  <c r="E109" i="13"/>
  <c r="C109" i="13"/>
  <c r="B109" i="13"/>
  <c r="D109" i="13" s="1"/>
  <c r="E108" i="13"/>
  <c r="I108" i="13" s="1"/>
  <c r="D108" i="13"/>
  <c r="C108" i="13"/>
  <c r="F108" i="13" s="1"/>
  <c r="B108" i="13"/>
  <c r="I107" i="13"/>
  <c r="E107" i="13"/>
  <c r="C107" i="13"/>
  <c r="B107" i="13"/>
  <c r="D107" i="13" s="1"/>
  <c r="E106" i="13"/>
  <c r="C106" i="13"/>
  <c r="B106" i="13"/>
  <c r="I106" i="13" s="1"/>
  <c r="I105" i="13"/>
  <c r="E105" i="13"/>
  <c r="C105" i="13"/>
  <c r="F105" i="13" s="1"/>
  <c r="B105" i="13"/>
  <c r="D105" i="13" s="1"/>
  <c r="E104" i="13"/>
  <c r="I104" i="13" s="1"/>
  <c r="C104" i="13"/>
  <c r="B104" i="13"/>
  <c r="E103" i="13"/>
  <c r="I103" i="13" s="1"/>
  <c r="C103" i="13"/>
  <c r="B103" i="13"/>
  <c r="D103" i="13" s="1"/>
  <c r="E102" i="13"/>
  <c r="I102" i="13" s="1"/>
  <c r="C102" i="13"/>
  <c r="B102" i="13"/>
  <c r="D102" i="13" s="1"/>
  <c r="I101" i="13"/>
  <c r="F101" i="13"/>
  <c r="E101" i="13"/>
  <c r="C101" i="13"/>
  <c r="B101" i="13"/>
  <c r="D101" i="13" s="1"/>
  <c r="I100" i="13"/>
  <c r="E100" i="13"/>
  <c r="D100" i="13"/>
  <c r="C100" i="13"/>
  <c r="F100" i="13" s="1"/>
  <c r="B100" i="13"/>
  <c r="I99" i="13"/>
  <c r="E99" i="13"/>
  <c r="C99" i="13"/>
  <c r="B99" i="13"/>
  <c r="D99" i="13" s="1"/>
  <c r="E98" i="13"/>
  <c r="C98" i="13"/>
  <c r="B98" i="13"/>
  <c r="E97" i="13"/>
  <c r="C97" i="13"/>
  <c r="B97" i="13"/>
  <c r="D97" i="13" s="1"/>
  <c r="E96" i="13"/>
  <c r="C96" i="13"/>
  <c r="B96" i="13"/>
  <c r="E95" i="13"/>
  <c r="I95" i="13" s="1"/>
  <c r="C95" i="13"/>
  <c r="B95" i="13"/>
  <c r="D95" i="13" s="1"/>
  <c r="I94" i="13"/>
  <c r="E94" i="13"/>
  <c r="C94" i="13"/>
  <c r="B94" i="13"/>
  <c r="D94" i="13" s="1"/>
  <c r="F94" i="13" s="1"/>
  <c r="I93" i="13"/>
  <c r="F93" i="13"/>
  <c r="E93" i="13"/>
  <c r="C93" i="13"/>
  <c r="B93" i="13"/>
  <c r="D93" i="13" s="1"/>
  <c r="E92" i="13"/>
  <c r="I92" i="13" s="1"/>
  <c r="C92" i="13"/>
  <c r="B92" i="13"/>
  <c r="D92" i="13" s="1"/>
  <c r="E91" i="13"/>
  <c r="C91" i="13"/>
  <c r="B91" i="13"/>
  <c r="D91" i="13" s="1"/>
  <c r="I90" i="13"/>
  <c r="E90" i="13"/>
  <c r="D90" i="13"/>
  <c r="F90" i="13" s="1"/>
  <c r="C90" i="13"/>
  <c r="B90" i="13"/>
  <c r="I89" i="13"/>
  <c r="E89" i="13"/>
  <c r="C89" i="13"/>
  <c r="F89" i="13" s="1"/>
  <c r="B89" i="13"/>
  <c r="D89" i="13" s="1"/>
  <c r="I88" i="13"/>
  <c r="E88" i="13"/>
  <c r="C88" i="13"/>
  <c r="B88" i="13"/>
  <c r="D88" i="13" s="1"/>
  <c r="F88" i="13" s="1"/>
  <c r="E87" i="13"/>
  <c r="I87" i="13" s="1"/>
  <c r="C87" i="13"/>
  <c r="B87" i="13"/>
  <c r="D87" i="13" s="1"/>
  <c r="I86" i="13"/>
  <c r="E86" i="13"/>
  <c r="C86" i="13"/>
  <c r="B86" i="13"/>
  <c r="D86" i="13" s="1"/>
  <c r="F86" i="13" s="1"/>
  <c r="E85" i="13"/>
  <c r="I85" i="13" s="1"/>
  <c r="C85" i="13"/>
  <c r="B85" i="13"/>
  <c r="D85" i="13" s="1"/>
  <c r="I84" i="13"/>
  <c r="E84" i="13"/>
  <c r="C84" i="13"/>
  <c r="B84" i="13"/>
  <c r="D84" i="13" s="1"/>
  <c r="F84" i="13" s="1"/>
  <c r="E83" i="13"/>
  <c r="I83" i="13" s="1"/>
  <c r="C83" i="13"/>
  <c r="F83" i="13" s="1"/>
  <c r="B83" i="13"/>
  <c r="D83" i="13" s="1"/>
  <c r="I82" i="13"/>
  <c r="E82" i="13"/>
  <c r="C82" i="13"/>
  <c r="B82" i="13"/>
  <c r="D82" i="13" s="1"/>
  <c r="F82" i="13" s="1"/>
  <c r="E81" i="13"/>
  <c r="I81" i="13" s="1"/>
  <c r="C81" i="13"/>
  <c r="B81" i="13"/>
  <c r="D81" i="13" s="1"/>
  <c r="I80" i="13"/>
  <c r="E80" i="13"/>
  <c r="C80" i="13"/>
  <c r="B80" i="13"/>
  <c r="D80" i="13" s="1"/>
  <c r="F80" i="13" s="1"/>
  <c r="E79" i="13"/>
  <c r="I79" i="13" s="1"/>
  <c r="C79" i="13"/>
  <c r="B79" i="13"/>
  <c r="D79" i="13" s="1"/>
  <c r="I78" i="13"/>
  <c r="E78" i="13"/>
  <c r="C78" i="13"/>
  <c r="B78" i="13"/>
  <c r="D78" i="13" s="1"/>
  <c r="F78" i="13" s="1"/>
  <c r="E77" i="13"/>
  <c r="I77" i="13" s="1"/>
  <c r="C77" i="13"/>
  <c r="B77" i="13"/>
  <c r="D77" i="13" s="1"/>
  <c r="I76" i="13"/>
  <c r="E76" i="13"/>
  <c r="C76" i="13"/>
  <c r="B76" i="13"/>
  <c r="D76" i="13" s="1"/>
  <c r="F76" i="13" s="1"/>
  <c r="E75" i="13"/>
  <c r="I75" i="13" s="1"/>
  <c r="C75" i="13"/>
  <c r="F75" i="13" s="1"/>
  <c r="B75" i="13"/>
  <c r="D75" i="13" s="1"/>
  <c r="I74" i="13"/>
  <c r="E74" i="13"/>
  <c r="C74" i="13"/>
  <c r="B74" i="13"/>
  <c r="D74" i="13" s="1"/>
  <c r="F74" i="13" s="1"/>
  <c r="E73" i="13"/>
  <c r="I73" i="13" s="1"/>
  <c r="C73" i="13"/>
  <c r="B73" i="13"/>
  <c r="D73" i="13" s="1"/>
  <c r="I72" i="13"/>
  <c r="E72" i="13"/>
  <c r="C72" i="13"/>
  <c r="B72" i="13"/>
  <c r="D72" i="13" s="1"/>
  <c r="F72" i="13" s="1"/>
  <c r="E71" i="13"/>
  <c r="I71" i="13" s="1"/>
  <c r="C71" i="13"/>
  <c r="F71" i="13" s="1"/>
  <c r="B71" i="13"/>
  <c r="D71" i="13" s="1"/>
  <c r="I70" i="13"/>
  <c r="E70" i="13"/>
  <c r="C70" i="13"/>
  <c r="B70" i="13"/>
  <c r="D70" i="13" s="1"/>
  <c r="F70" i="13" s="1"/>
  <c r="E69" i="13"/>
  <c r="I69" i="13" s="1"/>
  <c r="C69" i="13"/>
  <c r="F69" i="13" s="1"/>
  <c r="B69" i="13"/>
  <c r="D69" i="13" s="1"/>
  <c r="I68" i="13"/>
  <c r="E68" i="13"/>
  <c r="C68" i="13"/>
  <c r="B68" i="13"/>
  <c r="D68" i="13" s="1"/>
  <c r="F68" i="13" s="1"/>
  <c r="E67" i="13"/>
  <c r="I67" i="13" s="1"/>
  <c r="C67" i="13"/>
  <c r="B67" i="13"/>
  <c r="D67" i="13" s="1"/>
  <c r="I66" i="13"/>
  <c r="E66" i="13"/>
  <c r="C66" i="13"/>
  <c r="B66" i="13"/>
  <c r="D66" i="13" s="1"/>
  <c r="F66" i="13" s="1"/>
  <c r="G66" i="13" s="1"/>
  <c r="H66" i="13" s="1"/>
  <c r="E65" i="13"/>
  <c r="I65" i="13" s="1"/>
  <c r="C65" i="13"/>
  <c r="F65" i="13" s="1"/>
  <c r="B65" i="13"/>
  <c r="D65" i="13" s="1"/>
  <c r="I64" i="13"/>
  <c r="E64" i="13"/>
  <c r="C64" i="13"/>
  <c r="B64" i="13"/>
  <c r="D64" i="13" s="1"/>
  <c r="F64" i="13" s="1"/>
  <c r="E63" i="13"/>
  <c r="I63" i="13" s="1"/>
  <c r="C63" i="13"/>
  <c r="F63" i="13" s="1"/>
  <c r="B63" i="13"/>
  <c r="D63" i="13" s="1"/>
  <c r="I62" i="13"/>
  <c r="E62" i="13"/>
  <c r="C62" i="13"/>
  <c r="B62" i="13"/>
  <c r="D62" i="13" s="1"/>
  <c r="F62" i="13" s="1"/>
  <c r="E61" i="13"/>
  <c r="I61" i="13" s="1"/>
  <c r="C61" i="13"/>
  <c r="F61" i="13" s="1"/>
  <c r="B61" i="13"/>
  <c r="D61" i="13" s="1"/>
  <c r="I60" i="13"/>
  <c r="E60" i="13"/>
  <c r="C60" i="13"/>
  <c r="B60" i="13"/>
  <c r="D60" i="13" s="1"/>
  <c r="F60" i="13" s="1"/>
  <c r="E59" i="13"/>
  <c r="I59" i="13" s="1"/>
  <c r="C59" i="13"/>
  <c r="B59" i="13"/>
  <c r="D59" i="13" s="1"/>
  <c r="I58" i="13"/>
  <c r="E58" i="13"/>
  <c r="C58" i="13"/>
  <c r="B58" i="13"/>
  <c r="D58" i="13" s="1"/>
  <c r="F58" i="13" s="1"/>
  <c r="E57" i="13"/>
  <c r="I57" i="13" s="1"/>
  <c r="C57" i="13"/>
  <c r="B57" i="13"/>
  <c r="D57" i="13" s="1"/>
  <c r="I56" i="13"/>
  <c r="E56" i="13"/>
  <c r="C56" i="13"/>
  <c r="B56" i="13"/>
  <c r="D56" i="13" s="1"/>
  <c r="F56" i="13" s="1"/>
  <c r="E55" i="13"/>
  <c r="I55" i="13" s="1"/>
  <c r="C55" i="13"/>
  <c r="B55" i="13"/>
  <c r="D55" i="13" s="1"/>
  <c r="I54" i="13"/>
  <c r="E54" i="13"/>
  <c r="C54" i="13"/>
  <c r="B54" i="13"/>
  <c r="D54" i="13" s="1"/>
  <c r="F54" i="13" s="1"/>
  <c r="E53" i="13"/>
  <c r="I53" i="13" s="1"/>
  <c r="C53" i="13"/>
  <c r="B53" i="13"/>
  <c r="D53" i="13" s="1"/>
  <c r="I52" i="13"/>
  <c r="E52" i="13"/>
  <c r="C52" i="13"/>
  <c r="B52" i="13"/>
  <c r="D52" i="13" s="1"/>
  <c r="F52" i="13" s="1"/>
  <c r="E51" i="13"/>
  <c r="I51" i="13" s="1"/>
  <c r="C51" i="13"/>
  <c r="F51" i="13" s="1"/>
  <c r="B51" i="13"/>
  <c r="D51" i="13" s="1"/>
  <c r="I50" i="13"/>
  <c r="E50" i="13"/>
  <c r="C50" i="13"/>
  <c r="B50" i="13"/>
  <c r="D50" i="13" s="1"/>
  <c r="F50" i="13" s="1"/>
  <c r="E49" i="13"/>
  <c r="I49" i="13" s="1"/>
  <c r="C49" i="13"/>
  <c r="B49" i="13"/>
  <c r="D49" i="13" s="1"/>
  <c r="I48" i="13"/>
  <c r="E48" i="13"/>
  <c r="C48" i="13"/>
  <c r="B48" i="13"/>
  <c r="D48" i="13" s="1"/>
  <c r="F48" i="13" s="1"/>
  <c r="E47" i="13"/>
  <c r="I47" i="13" s="1"/>
  <c r="C47" i="13"/>
  <c r="B47" i="13"/>
  <c r="D47" i="13" s="1"/>
  <c r="I46" i="13"/>
  <c r="E46" i="13"/>
  <c r="C46" i="13"/>
  <c r="B46" i="13"/>
  <c r="D46" i="13" s="1"/>
  <c r="F46" i="13" s="1"/>
  <c r="E45" i="13"/>
  <c r="I45" i="13" s="1"/>
  <c r="C45" i="13"/>
  <c r="B45" i="13"/>
  <c r="D45" i="13" s="1"/>
  <c r="I44" i="13"/>
  <c r="E44" i="13"/>
  <c r="C44" i="13"/>
  <c r="B44" i="13"/>
  <c r="D44" i="13" s="1"/>
  <c r="F44" i="13" s="1"/>
  <c r="E43" i="13"/>
  <c r="I43" i="13" s="1"/>
  <c r="C43" i="13"/>
  <c r="F43" i="13" s="1"/>
  <c r="B43" i="13"/>
  <c r="D43" i="13" s="1"/>
  <c r="I42" i="13"/>
  <c r="E42" i="13"/>
  <c r="C42" i="13"/>
  <c r="B42" i="13"/>
  <c r="D42" i="13" s="1"/>
  <c r="F42" i="13" s="1"/>
  <c r="E41" i="13"/>
  <c r="I41" i="13" s="1"/>
  <c r="C41" i="13"/>
  <c r="F41" i="13" s="1"/>
  <c r="B41" i="13"/>
  <c r="D41" i="13" s="1"/>
  <c r="I40" i="13"/>
  <c r="E40" i="13"/>
  <c r="C40" i="13"/>
  <c r="B40" i="13"/>
  <c r="D40" i="13" s="1"/>
  <c r="F40" i="13" s="1"/>
  <c r="E39" i="13"/>
  <c r="I39" i="13" s="1"/>
  <c r="C39" i="13"/>
  <c r="F39" i="13" s="1"/>
  <c r="B39" i="13"/>
  <c r="D39" i="13" s="1"/>
  <c r="I38" i="13"/>
  <c r="E38" i="13"/>
  <c r="C38" i="13"/>
  <c r="B38" i="13"/>
  <c r="D38" i="13" s="1"/>
  <c r="F38" i="13" s="1"/>
  <c r="E37" i="13"/>
  <c r="I37" i="13" s="1"/>
  <c r="C37" i="13"/>
  <c r="F37" i="13" s="1"/>
  <c r="B37" i="13"/>
  <c r="D37" i="13" s="1"/>
  <c r="I36" i="13"/>
  <c r="E36" i="13"/>
  <c r="C36" i="13"/>
  <c r="B36" i="13"/>
  <c r="D36" i="13" s="1"/>
  <c r="F36" i="13" s="1"/>
  <c r="E35" i="13"/>
  <c r="C35" i="13"/>
  <c r="B35" i="13"/>
  <c r="I35" i="13" s="1"/>
  <c r="I34" i="13"/>
  <c r="E34" i="13"/>
  <c r="C34" i="13"/>
  <c r="B34" i="13"/>
  <c r="D34" i="13" s="1"/>
  <c r="F34" i="13" s="1"/>
  <c r="E33" i="13"/>
  <c r="C33" i="13"/>
  <c r="B33" i="13"/>
  <c r="I33" i="13" s="1"/>
  <c r="I32" i="13"/>
  <c r="E32" i="13"/>
  <c r="C32" i="13"/>
  <c r="B32" i="13"/>
  <c r="D32" i="13" s="1"/>
  <c r="F32" i="13" s="1"/>
  <c r="E31" i="13"/>
  <c r="C31" i="13"/>
  <c r="B31" i="13"/>
  <c r="I31" i="13" s="1"/>
  <c r="I30" i="13"/>
  <c r="E30" i="13"/>
  <c r="C30" i="13"/>
  <c r="B30" i="13"/>
  <c r="D30" i="13" s="1"/>
  <c r="F30" i="13" s="1"/>
  <c r="E29" i="13"/>
  <c r="C29" i="13"/>
  <c r="B29" i="13"/>
  <c r="I29" i="13" s="1"/>
  <c r="I28" i="13"/>
  <c r="E28" i="13"/>
  <c r="C28" i="13"/>
  <c r="B28" i="13"/>
  <c r="D28" i="13" s="1"/>
  <c r="F28" i="13" s="1"/>
  <c r="E27" i="13"/>
  <c r="C27" i="13"/>
  <c r="B27" i="13"/>
  <c r="I27" i="13" s="1"/>
  <c r="I26" i="13"/>
  <c r="E26" i="13"/>
  <c r="C26" i="13"/>
  <c r="B26" i="13"/>
  <c r="D26" i="13" s="1"/>
  <c r="F26" i="13" s="1"/>
  <c r="E25" i="13"/>
  <c r="C25" i="13"/>
  <c r="B25" i="13"/>
  <c r="I25" i="13" s="1"/>
  <c r="I24" i="13"/>
  <c r="E24" i="13"/>
  <c r="C24" i="13"/>
  <c r="B24" i="13"/>
  <c r="D24" i="13" s="1"/>
  <c r="F24" i="13" s="1"/>
  <c r="E23" i="13"/>
  <c r="C23" i="13"/>
  <c r="B23" i="13"/>
  <c r="I23" i="13" s="1"/>
  <c r="I22" i="13"/>
  <c r="E22" i="13"/>
  <c r="C22" i="13"/>
  <c r="B22" i="13"/>
  <c r="D22" i="13" s="1"/>
  <c r="F22" i="13" s="1"/>
  <c r="E21" i="13"/>
  <c r="C21" i="13"/>
  <c r="B21" i="13"/>
  <c r="I21" i="13" s="1"/>
  <c r="I20" i="13"/>
  <c r="E20" i="13"/>
  <c r="C20" i="13"/>
  <c r="B20" i="13"/>
  <c r="D20" i="13" s="1"/>
  <c r="F20" i="13" s="1"/>
  <c r="E19" i="13"/>
  <c r="C19" i="13"/>
  <c r="B19" i="13"/>
  <c r="I19" i="13" s="1"/>
  <c r="I18" i="13"/>
  <c r="E18" i="13"/>
  <c r="C18" i="13"/>
  <c r="B18" i="13"/>
  <c r="D18" i="13" s="1"/>
  <c r="F18" i="13" s="1"/>
  <c r="E17" i="13"/>
  <c r="C17" i="13"/>
  <c r="B17" i="13"/>
  <c r="I17" i="13" s="1"/>
  <c r="I16" i="13"/>
  <c r="E16" i="13"/>
  <c r="C16" i="13"/>
  <c r="B16" i="13"/>
  <c r="D16" i="13" s="1"/>
  <c r="F16" i="13" s="1"/>
  <c r="E15" i="13"/>
  <c r="C15" i="13"/>
  <c r="B15" i="13"/>
  <c r="I15" i="13" s="1"/>
  <c r="I14" i="13"/>
  <c r="E14" i="13"/>
  <c r="C14" i="13"/>
  <c r="B14" i="13"/>
  <c r="D14" i="13" s="1"/>
  <c r="F14" i="13" s="1"/>
  <c r="E13" i="13"/>
  <c r="C13" i="13"/>
  <c r="B13" i="13"/>
  <c r="I13" i="13" s="1"/>
  <c r="I12" i="13"/>
  <c r="E12" i="13"/>
  <c r="C12" i="13"/>
  <c r="B12" i="13"/>
  <c r="D12" i="13" s="1"/>
  <c r="F12" i="13" s="1"/>
  <c r="E11" i="13"/>
  <c r="C11" i="13"/>
  <c r="B11" i="13"/>
  <c r="I11" i="13" s="1"/>
  <c r="I10" i="13"/>
  <c r="E10" i="13"/>
  <c r="C10" i="13"/>
  <c r="B10" i="13"/>
  <c r="D10" i="13" s="1"/>
  <c r="F10" i="13" s="1"/>
  <c r="E9" i="13"/>
  <c r="C9" i="13"/>
  <c r="B9" i="13"/>
  <c r="I9" i="13" s="1"/>
  <c r="I8" i="13"/>
  <c r="E8" i="13"/>
  <c r="C8" i="13"/>
  <c r="B8" i="13"/>
  <c r="D8" i="13" s="1"/>
  <c r="F8" i="13" s="1"/>
  <c r="E7" i="13"/>
  <c r="C7" i="13"/>
  <c r="B7" i="13"/>
  <c r="I7" i="13" s="1"/>
  <c r="I6" i="13"/>
  <c r="E6" i="13"/>
  <c r="C6" i="13"/>
  <c r="B6" i="13"/>
  <c r="D6" i="13" s="1"/>
  <c r="F6" i="13" s="1"/>
  <c r="E5" i="13"/>
  <c r="C5" i="13"/>
  <c r="B5" i="13"/>
  <c r="I5" i="13" s="1"/>
  <c r="F16" i="11"/>
  <c r="F15" i="11"/>
  <c r="F14" i="11"/>
  <c r="D14" i="11"/>
  <c r="F13" i="11"/>
  <c r="D13" i="11"/>
  <c r="F12" i="11"/>
  <c r="D12" i="11"/>
  <c r="F11" i="11"/>
  <c r="D11" i="11"/>
  <c r="F10" i="11"/>
  <c r="D10" i="11"/>
  <c r="F9" i="11"/>
  <c r="D9" i="11"/>
  <c r="F8" i="11"/>
  <c r="D8" i="11"/>
  <c r="F7" i="11"/>
  <c r="D7" i="11"/>
  <c r="F6" i="11"/>
  <c r="D6" i="11"/>
  <c r="F5" i="11"/>
  <c r="D5" i="11"/>
  <c r="P10" i="10"/>
  <c r="I10" i="10"/>
  <c r="P9" i="10"/>
  <c r="I9" i="10"/>
  <c r="P8" i="10"/>
  <c r="I8" i="10"/>
  <c r="P7" i="10"/>
  <c r="I7" i="10"/>
  <c r="P6" i="10"/>
  <c r="I6" i="10"/>
  <c r="P5" i="10"/>
  <c r="I5" i="10"/>
  <c r="X8" i="9"/>
  <c r="W8" i="9"/>
  <c r="V8" i="9"/>
  <c r="U8" i="9"/>
  <c r="X7" i="9"/>
  <c r="W7" i="9"/>
  <c r="V7" i="9"/>
  <c r="U7" i="9"/>
  <c r="W6" i="9"/>
  <c r="V6" i="9"/>
  <c r="U6" i="9"/>
  <c r="X6" i="9" s="1"/>
  <c r="W5" i="9"/>
  <c r="V5" i="9"/>
  <c r="U5" i="9"/>
  <c r="X5" i="9" s="1"/>
  <c r="K40" i="8"/>
  <c r="L40" i="8" s="1"/>
  <c r="J40" i="8"/>
  <c r="L39" i="8"/>
  <c r="K39" i="8"/>
  <c r="J39" i="8"/>
  <c r="K38" i="8"/>
  <c r="L38" i="8" s="1"/>
  <c r="J38" i="8"/>
  <c r="K37" i="8"/>
  <c r="L37" i="8" s="1"/>
  <c r="J37" i="8"/>
  <c r="K36" i="8"/>
  <c r="L36" i="8" s="1"/>
  <c r="J36" i="8"/>
  <c r="K35" i="8"/>
  <c r="J35" i="8"/>
  <c r="L35" i="8" s="1"/>
  <c r="K34" i="8"/>
  <c r="L34" i="8" s="1"/>
  <c r="J34" i="8"/>
  <c r="K33" i="8"/>
  <c r="L33" i="8" s="1"/>
  <c r="J33" i="8"/>
  <c r="K32" i="8"/>
  <c r="L32" i="8" s="1"/>
  <c r="J32" i="8"/>
  <c r="K31" i="8"/>
  <c r="L31" i="8" s="1"/>
  <c r="J31" i="8"/>
  <c r="K30" i="8"/>
  <c r="L30" i="8" s="1"/>
  <c r="J30" i="8"/>
  <c r="K29" i="8"/>
  <c r="L29" i="8" s="1"/>
  <c r="J29" i="8"/>
  <c r="K28" i="8"/>
  <c r="L28" i="8" s="1"/>
  <c r="J28" i="8"/>
  <c r="K27" i="8"/>
  <c r="J27" i="8"/>
  <c r="L27" i="8" s="1"/>
  <c r="L26" i="8"/>
  <c r="K26" i="8"/>
  <c r="J26" i="8"/>
  <c r="K25" i="8"/>
  <c r="L25" i="8" s="1"/>
  <c r="J25" i="8"/>
  <c r="L24" i="8"/>
  <c r="K24" i="8"/>
  <c r="J24" i="8"/>
  <c r="K23" i="8"/>
  <c r="L23" i="8" s="1"/>
  <c r="J23" i="8"/>
  <c r="K22" i="8"/>
  <c r="L22" i="8" s="1"/>
  <c r="J22" i="8"/>
  <c r="L21" i="8"/>
  <c r="K21" i="8"/>
  <c r="J21" i="8"/>
  <c r="K20" i="8"/>
  <c r="J20" i="8"/>
  <c r="K19" i="8"/>
  <c r="J19" i="8"/>
  <c r="K18" i="8"/>
  <c r="J18" i="8"/>
  <c r="K17" i="8"/>
  <c r="J17" i="8"/>
  <c r="L17" i="8" s="1"/>
  <c r="K16" i="8"/>
  <c r="L16" i="8" s="1"/>
  <c r="J16" i="8"/>
  <c r="K15" i="8"/>
  <c r="L15" i="8" s="1"/>
  <c r="J15" i="8"/>
  <c r="K14" i="8"/>
  <c r="J14" i="8"/>
  <c r="K13" i="8"/>
  <c r="L13" i="8" s="1"/>
  <c r="J13" i="8"/>
  <c r="K12" i="8"/>
  <c r="L12" i="8" s="1"/>
  <c r="J12" i="8"/>
  <c r="K11" i="8"/>
  <c r="L11" i="8" s="1"/>
  <c r="J11" i="8"/>
  <c r="L10" i="8"/>
  <c r="K10" i="8"/>
  <c r="J10" i="8"/>
  <c r="L9" i="8"/>
  <c r="K9" i="8"/>
  <c r="J9" i="8"/>
  <c r="K8" i="8"/>
  <c r="J8" i="8"/>
  <c r="K7" i="8"/>
  <c r="J7" i="8"/>
  <c r="K6" i="8"/>
  <c r="L6" i="8" s="1"/>
  <c r="J6" i="8"/>
  <c r="L5" i="8"/>
  <c r="K5" i="8"/>
  <c r="J5" i="8"/>
  <c r="J52" i="7"/>
  <c r="K52" i="7" s="1"/>
  <c r="J51" i="7"/>
  <c r="K51" i="7" s="1"/>
  <c r="K50" i="7"/>
  <c r="J50" i="7"/>
  <c r="J49" i="7"/>
  <c r="K49" i="7" s="1"/>
  <c r="J48" i="7"/>
  <c r="K48" i="7" s="1"/>
  <c r="J47" i="7"/>
  <c r="K47" i="7" s="1"/>
  <c r="K46" i="7"/>
  <c r="J46" i="7"/>
  <c r="K45" i="7"/>
  <c r="J45" i="7"/>
  <c r="K44" i="7"/>
  <c r="J44" i="7"/>
  <c r="K43" i="7"/>
  <c r="J43" i="7"/>
  <c r="K42" i="7"/>
  <c r="J42" i="7"/>
  <c r="J41" i="7"/>
  <c r="K41" i="7" s="1"/>
  <c r="J40" i="7"/>
  <c r="K40" i="7" s="1"/>
  <c r="J39" i="7"/>
  <c r="K39" i="7" s="1"/>
  <c r="J38" i="7"/>
  <c r="K38" i="7" s="1"/>
  <c r="K37" i="7"/>
  <c r="J37" i="7"/>
  <c r="J36" i="7"/>
  <c r="K36" i="7" s="1"/>
  <c r="K35" i="7"/>
  <c r="J35" i="7"/>
  <c r="J34" i="7"/>
  <c r="K34" i="7" s="1"/>
  <c r="J33" i="7"/>
  <c r="K33" i="7" s="1"/>
  <c r="K32" i="7"/>
  <c r="J32" i="7"/>
  <c r="K31" i="7"/>
  <c r="J31" i="7"/>
  <c r="K30" i="7"/>
  <c r="J30" i="7"/>
  <c r="K29" i="7"/>
  <c r="J29" i="7"/>
  <c r="K28" i="7"/>
  <c r="J28" i="7"/>
  <c r="J27" i="7"/>
  <c r="K27" i="7" s="1"/>
  <c r="J26" i="7"/>
  <c r="K26" i="7" s="1"/>
  <c r="K25" i="7"/>
  <c r="J25" i="7"/>
  <c r="J24" i="7"/>
  <c r="K24" i="7" s="1"/>
  <c r="K23" i="7"/>
  <c r="J23" i="7"/>
  <c r="J22" i="7"/>
  <c r="K22" i="7" s="1"/>
  <c r="J21" i="7"/>
  <c r="K21" i="7" s="1"/>
  <c r="J20" i="7"/>
  <c r="K20" i="7" s="1"/>
  <c r="K19" i="7"/>
  <c r="J19" i="7"/>
  <c r="J18" i="7"/>
  <c r="K18" i="7" s="1"/>
  <c r="J17" i="7"/>
  <c r="K17" i="7" s="1"/>
  <c r="J16" i="7"/>
  <c r="K16" i="7" s="1"/>
  <c r="K15" i="7"/>
  <c r="J15" i="7"/>
  <c r="J14" i="7"/>
  <c r="K14" i="7" s="1"/>
  <c r="K13" i="7"/>
  <c r="J13" i="7"/>
  <c r="K12" i="7"/>
  <c r="J12" i="7"/>
  <c r="K11" i="7"/>
  <c r="J11" i="7"/>
  <c r="K10" i="7"/>
  <c r="J10" i="7"/>
  <c r="K9" i="7"/>
  <c r="J9" i="7"/>
  <c r="J8" i="7"/>
  <c r="K8" i="7" s="1"/>
  <c r="K7" i="7"/>
  <c r="J7" i="7"/>
  <c r="J6" i="7"/>
  <c r="K6" i="7" s="1"/>
  <c r="K5" i="7"/>
  <c r="J5" i="7"/>
  <c r="J1" i="3"/>
  <c r="B76" i="2"/>
  <c r="B75" i="2"/>
  <c r="B74" i="2"/>
  <c r="B73" i="2"/>
  <c r="C68" i="2"/>
  <c r="C67" i="2"/>
  <c r="C66" i="2"/>
  <c r="C65" i="2"/>
  <c r="E60" i="2"/>
  <c r="D60" i="2"/>
  <c r="C60" i="2"/>
  <c r="E59" i="2"/>
  <c r="D59" i="2"/>
  <c r="C59" i="2"/>
  <c r="E58" i="2"/>
  <c r="D58" i="2"/>
  <c r="C58" i="2"/>
  <c r="E57" i="2"/>
  <c r="D57" i="2"/>
  <c r="C57" i="2"/>
  <c r="E56" i="2"/>
  <c r="D56" i="2"/>
  <c r="C56" i="2"/>
  <c r="C19" i="2"/>
  <c r="C18" i="2"/>
  <c r="C17" i="2"/>
  <c r="C16" i="2"/>
  <c r="B11" i="2"/>
  <c r="D2" i="2"/>
  <c r="F77" i="13" l="1"/>
  <c r="F9" i="13"/>
  <c r="F45" i="13"/>
  <c r="F5" i="13"/>
  <c r="L19" i="8"/>
  <c r="F59" i="13"/>
  <c r="L8" i="8"/>
  <c r="F47" i="13"/>
  <c r="L18" i="8"/>
  <c r="F57" i="13"/>
  <c r="F21" i="13"/>
  <c r="L7" i="8"/>
  <c r="F79" i="13"/>
  <c r="F53" i="13"/>
  <c r="F85" i="13"/>
  <c r="F102" i="13"/>
  <c r="L14" i="8"/>
  <c r="F73" i="13"/>
  <c r="L20" i="8"/>
  <c r="F23" i="13"/>
  <c r="F55" i="13"/>
  <c r="F87" i="13"/>
  <c r="F145" i="13"/>
  <c r="F183" i="13"/>
  <c r="G183" i="13" s="1"/>
  <c r="H183" i="13" s="1"/>
  <c r="F120" i="13"/>
  <c r="F67" i="13"/>
  <c r="F130" i="13"/>
  <c r="F49" i="13"/>
  <c r="F81" i="13"/>
  <c r="F134" i="13"/>
  <c r="F170" i="13"/>
  <c r="G170" i="13" s="1"/>
  <c r="H170" i="13" s="1"/>
  <c r="I263" i="13"/>
  <c r="D291" i="13"/>
  <c r="F291" i="13" s="1"/>
  <c r="G291" i="13" s="1"/>
  <c r="H291" i="13" s="1"/>
  <c r="F92" i="13"/>
  <c r="I98" i="13"/>
  <c r="F103" i="13"/>
  <c r="D110" i="13"/>
  <c r="F110" i="13" s="1"/>
  <c r="F112" i="13"/>
  <c r="I114" i="13"/>
  <c r="F119" i="13"/>
  <c r="D126" i="13"/>
  <c r="F126" i="13" s="1"/>
  <c r="F128" i="13"/>
  <c r="I130" i="13"/>
  <c r="F135" i="13"/>
  <c r="D142" i="13"/>
  <c r="F142" i="13" s="1"/>
  <c r="F150" i="13"/>
  <c r="I150" i="13"/>
  <c r="D225" i="13"/>
  <c r="I225" i="13"/>
  <c r="F225" i="13"/>
  <c r="G225" i="13" s="1"/>
  <c r="H225" i="13" s="1"/>
  <c r="D259" i="13"/>
  <c r="F259" i="13" s="1"/>
  <c r="G259" i="13" s="1"/>
  <c r="H259" i="13" s="1"/>
  <c r="I96" i="13"/>
  <c r="I137" i="13"/>
  <c r="D170" i="13"/>
  <c r="D178" i="13"/>
  <c r="F178" i="13" s="1"/>
  <c r="G178" i="13" s="1"/>
  <c r="H178" i="13" s="1"/>
  <c r="I178" i="13"/>
  <c r="D242" i="13"/>
  <c r="F242" i="13" s="1"/>
  <c r="G242" i="13" s="1"/>
  <c r="H242" i="13" s="1"/>
  <c r="I242" i="13"/>
  <c r="D263" i="13"/>
  <c r="F263" i="13" s="1"/>
  <c r="G263" i="13" s="1"/>
  <c r="H263" i="13" s="1"/>
  <c r="F175" i="13"/>
  <c r="G175" i="13" s="1"/>
  <c r="H175" i="13" s="1"/>
  <c r="D198" i="13"/>
  <c r="F198" i="13" s="1"/>
  <c r="G198" i="13" s="1"/>
  <c r="H198" i="13" s="1"/>
  <c r="D210" i="13"/>
  <c r="F210" i="13" s="1"/>
  <c r="G210" i="13" s="1"/>
  <c r="H210" i="13" s="1"/>
  <c r="I210" i="13"/>
  <c r="F229" i="13"/>
  <c r="G229" i="13" s="1"/>
  <c r="H229" i="13" s="1"/>
  <c r="I229" i="13"/>
  <c r="F246" i="13"/>
  <c r="G246" i="13" s="1"/>
  <c r="H246" i="13" s="1"/>
  <c r="I246" i="13"/>
  <c r="F274" i="13"/>
  <c r="G274" i="13" s="1"/>
  <c r="H274" i="13" s="1"/>
  <c r="D274" i="13"/>
  <c r="I274" i="13"/>
  <c r="I291" i="13"/>
  <c r="I135" i="13"/>
  <c r="D145" i="13"/>
  <c r="D195" i="13"/>
  <c r="F195" i="13" s="1"/>
  <c r="G195" i="13" s="1"/>
  <c r="H195" i="13" s="1"/>
  <c r="I220" i="13"/>
  <c r="D220" i="13"/>
  <c r="F220" i="13" s="1"/>
  <c r="G220" i="13" s="1"/>
  <c r="H220" i="13" s="1"/>
  <c r="I259" i="13"/>
  <c r="F278" i="13"/>
  <c r="G278" i="13" s="1"/>
  <c r="H278" i="13" s="1"/>
  <c r="I278" i="13"/>
  <c r="F99" i="13"/>
  <c r="D106" i="13"/>
  <c r="F106" i="13" s="1"/>
  <c r="F115" i="13"/>
  <c r="D122" i="13"/>
  <c r="F122" i="13" s="1"/>
  <c r="D138" i="13"/>
  <c r="F187" i="13"/>
  <c r="G187" i="13" s="1"/>
  <c r="H187" i="13" s="1"/>
  <c r="F97" i="13"/>
  <c r="I176" i="13"/>
  <c r="F217" i="13"/>
  <c r="G217" i="13" s="1"/>
  <c r="H217" i="13" s="1"/>
  <c r="F95" i="13"/>
  <c r="D104" i="13"/>
  <c r="F104" i="13" s="1"/>
  <c r="F113" i="13"/>
  <c r="D120" i="13"/>
  <c r="D136" i="13"/>
  <c r="F138" i="13"/>
  <c r="I151" i="13"/>
  <c r="D187" i="13"/>
  <c r="D205" i="13"/>
  <c r="F205" i="13" s="1"/>
  <c r="G205" i="13" s="1"/>
  <c r="H205" i="13" s="1"/>
  <c r="I230" i="13"/>
  <c r="D230" i="13"/>
  <c r="F230" i="13" s="1"/>
  <c r="G230" i="13" s="1"/>
  <c r="H230" i="13" s="1"/>
  <c r="I247" i="13"/>
  <c r="D247" i="13"/>
  <c r="D257" i="13"/>
  <c r="I257" i="13"/>
  <c r="F257" i="13"/>
  <c r="G257" i="13" s="1"/>
  <c r="H257" i="13" s="1"/>
  <c r="F298" i="13"/>
  <c r="G298" i="13" s="1"/>
  <c r="H298" i="13" s="1"/>
  <c r="F163" i="13"/>
  <c r="G163" i="13" s="1"/>
  <c r="H163" i="13" s="1"/>
  <c r="D176" i="13"/>
  <c r="F176" i="13" s="1"/>
  <c r="G176" i="13" s="1"/>
  <c r="H176" i="13" s="1"/>
  <c r="I199" i="13"/>
  <c r="F199" i="13"/>
  <c r="G199" i="13" s="1"/>
  <c r="H199" i="13" s="1"/>
  <c r="D208" i="13"/>
  <c r="I208" i="13"/>
  <c r="F208" i="13"/>
  <c r="G208" i="13" s="1"/>
  <c r="H208" i="13" s="1"/>
  <c r="F214" i="13"/>
  <c r="G214" i="13" s="1"/>
  <c r="H214" i="13" s="1"/>
  <c r="I214" i="13"/>
  <c r="F234" i="13"/>
  <c r="G234" i="13" s="1"/>
  <c r="H234" i="13" s="1"/>
  <c r="D240" i="13"/>
  <c r="I240" i="13"/>
  <c r="F240" i="13"/>
  <c r="G240" i="13" s="1"/>
  <c r="H240" i="13" s="1"/>
  <c r="I279" i="13"/>
  <c r="F279" i="13"/>
  <c r="G279" i="13" s="1"/>
  <c r="H279" i="13" s="1"/>
  <c r="D279" i="13"/>
  <c r="D5" i="13"/>
  <c r="D7" i="13"/>
  <c r="F7" i="13" s="1"/>
  <c r="D9" i="13"/>
  <c r="D11" i="13"/>
  <c r="F11" i="13" s="1"/>
  <c r="D13" i="13"/>
  <c r="F13" i="13" s="1"/>
  <c r="D15" i="13"/>
  <c r="F15" i="13" s="1"/>
  <c r="D17" i="13"/>
  <c r="F17" i="13" s="1"/>
  <c r="D19" i="13"/>
  <c r="F19" i="13" s="1"/>
  <c r="D21" i="13"/>
  <c r="D23" i="13"/>
  <c r="D25" i="13"/>
  <c r="F25" i="13" s="1"/>
  <c r="D27" i="13"/>
  <c r="F27" i="13" s="1"/>
  <c r="D29" i="13"/>
  <c r="F29" i="13" s="1"/>
  <c r="D31" i="13"/>
  <c r="F31" i="13" s="1"/>
  <c r="D33" i="13"/>
  <c r="F33" i="13" s="1"/>
  <c r="D35" i="13"/>
  <c r="F35" i="13" s="1"/>
  <c r="F91" i="13"/>
  <c r="I97" i="13"/>
  <c r="F111" i="13"/>
  <c r="F127" i="13"/>
  <c r="D134" i="13"/>
  <c r="F136" i="13"/>
  <c r="F143" i="13"/>
  <c r="D146" i="13"/>
  <c r="F146" i="13" s="1"/>
  <c r="I146" i="13"/>
  <c r="D151" i="13"/>
  <c r="I161" i="13"/>
  <c r="F161" i="13"/>
  <c r="G161" i="13" s="1"/>
  <c r="H161" i="13" s="1"/>
  <c r="I163" i="13"/>
  <c r="F182" i="13"/>
  <c r="G182" i="13" s="1"/>
  <c r="H182" i="13" s="1"/>
  <c r="I182" i="13"/>
  <c r="I187" i="13"/>
  <c r="D193" i="13"/>
  <c r="I193" i="13"/>
  <c r="F193" i="13"/>
  <c r="G193" i="13" s="1"/>
  <c r="H193" i="13" s="1"/>
  <c r="F237" i="13"/>
  <c r="G237" i="13" s="1"/>
  <c r="H237" i="13" s="1"/>
  <c r="F261" i="13"/>
  <c r="G261" i="13" s="1"/>
  <c r="H261" i="13" s="1"/>
  <c r="F283" i="13"/>
  <c r="G283" i="13" s="1"/>
  <c r="H283" i="13" s="1"/>
  <c r="I231" i="13"/>
  <c r="I269" i="13"/>
  <c r="D269" i="13"/>
  <c r="F269" i="13" s="1"/>
  <c r="G269" i="13" s="1"/>
  <c r="H269" i="13" s="1"/>
  <c r="D302" i="13"/>
  <c r="I302" i="13"/>
  <c r="F302" i="13"/>
  <c r="G302" i="13" s="1"/>
  <c r="H302" i="13" s="1"/>
  <c r="F109" i="13"/>
  <c r="F125" i="13"/>
  <c r="I143" i="13"/>
  <c r="F151" i="13"/>
  <c r="F227" i="13"/>
  <c r="G227" i="13" s="1"/>
  <c r="H227" i="13" s="1"/>
  <c r="D227" i="13"/>
  <c r="I294" i="13"/>
  <c r="F294" i="13"/>
  <c r="G294" i="13" s="1"/>
  <c r="H294" i="13" s="1"/>
  <c r="D294" i="13"/>
  <c r="I91" i="13"/>
  <c r="D98" i="13"/>
  <c r="F98" i="13" s="1"/>
  <c r="I111" i="13"/>
  <c r="I127" i="13"/>
  <c r="F144" i="13"/>
  <c r="I166" i="13"/>
  <c r="D169" i="13"/>
  <c r="D188" i="13"/>
  <c r="I215" i="13"/>
  <c r="D215" i="13"/>
  <c r="F215" i="13" s="1"/>
  <c r="G215" i="13" s="1"/>
  <c r="H215" i="13" s="1"/>
  <c r="D231" i="13"/>
  <c r="F231" i="13" s="1"/>
  <c r="G231" i="13" s="1"/>
  <c r="H231" i="13" s="1"/>
  <c r="F304" i="13"/>
  <c r="G304" i="13" s="1"/>
  <c r="H304" i="13" s="1"/>
  <c r="D96" i="13"/>
  <c r="F96" i="13" s="1"/>
  <c r="F107" i="13"/>
  <c r="D114" i="13"/>
  <c r="F114" i="13" s="1"/>
  <c r="D130" i="13"/>
  <c r="F167" i="13"/>
  <c r="G167" i="13" s="1"/>
  <c r="H167" i="13" s="1"/>
  <c r="F180" i="13"/>
  <c r="G180" i="13" s="1"/>
  <c r="H180" i="13" s="1"/>
  <c r="F200" i="13"/>
  <c r="G200" i="13" s="1"/>
  <c r="H200" i="13" s="1"/>
  <c r="F212" i="13"/>
  <c r="G212" i="13" s="1"/>
  <c r="H212" i="13" s="1"/>
  <c r="I252" i="13"/>
  <c r="F252" i="13"/>
  <c r="G252" i="13" s="1"/>
  <c r="H252" i="13" s="1"/>
  <c r="D252" i="13"/>
  <c r="I262" i="13"/>
  <c r="D262" i="13"/>
  <c r="F266" i="13"/>
  <c r="G266" i="13" s="1"/>
  <c r="H266" i="13" s="1"/>
  <c r="I284" i="13"/>
  <c r="D284" i="13"/>
  <c r="F284" i="13" s="1"/>
  <c r="G284" i="13" s="1"/>
  <c r="H284" i="13" s="1"/>
  <c r="I295" i="13"/>
  <c r="F295" i="13"/>
  <c r="G295" i="13" s="1"/>
  <c r="H295" i="13" s="1"/>
  <c r="I109" i="13"/>
  <c r="I125" i="13"/>
  <c r="D144" i="13"/>
  <c r="F147" i="13"/>
  <c r="F162" i="13"/>
  <c r="G162" i="13" s="1"/>
  <c r="H162" i="13" s="1"/>
  <c r="F169" i="13"/>
  <c r="G169" i="13" s="1"/>
  <c r="H169" i="13" s="1"/>
  <c r="D172" i="13"/>
  <c r="F172" i="13" s="1"/>
  <c r="G172" i="13" s="1"/>
  <c r="H172" i="13" s="1"/>
  <c r="I183" i="13"/>
  <c r="D183" i="13"/>
  <c r="F188" i="13"/>
  <c r="G188" i="13" s="1"/>
  <c r="H188" i="13" s="1"/>
  <c r="I227" i="13"/>
  <c r="D157" i="13"/>
  <c r="F157" i="13" s="1"/>
  <c r="G157" i="13" s="1"/>
  <c r="H157" i="13" s="1"/>
  <c r="F197" i="13"/>
  <c r="G197" i="13" s="1"/>
  <c r="H197" i="13" s="1"/>
  <c r="I197" i="13"/>
  <c r="D295" i="13"/>
  <c r="D189" i="13"/>
  <c r="D204" i="13"/>
  <c r="F204" i="13" s="1"/>
  <c r="G204" i="13" s="1"/>
  <c r="H204" i="13" s="1"/>
  <c r="D221" i="13"/>
  <c r="F221" i="13" s="1"/>
  <c r="G221" i="13" s="1"/>
  <c r="H221" i="13" s="1"/>
  <c r="D236" i="13"/>
  <c r="F236" i="13" s="1"/>
  <c r="G236" i="13" s="1"/>
  <c r="H236" i="13" s="1"/>
  <c r="D253" i="13"/>
  <c r="F253" i="13" s="1"/>
  <c r="G253" i="13" s="1"/>
  <c r="H253" i="13" s="1"/>
  <c r="I261" i="13"/>
  <c r="D268" i="13"/>
  <c r="F268" i="13" s="1"/>
  <c r="G268" i="13" s="1"/>
  <c r="H268" i="13" s="1"/>
  <c r="F272" i="13"/>
  <c r="G272" i="13" s="1"/>
  <c r="H272" i="13" s="1"/>
  <c r="D285" i="13"/>
  <c r="F289" i="13"/>
  <c r="G289" i="13" s="1"/>
  <c r="H289" i="13" s="1"/>
  <c r="I293" i="13"/>
  <c r="D300" i="13"/>
  <c r="F300" i="13" s="1"/>
  <c r="G300" i="13" s="1"/>
  <c r="H300" i="13" s="1"/>
  <c r="C12" i="14"/>
  <c r="F2" i="2" s="1"/>
  <c r="F189" i="13"/>
  <c r="G189" i="13" s="1"/>
  <c r="H189" i="13" s="1"/>
  <c r="B228" i="13"/>
  <c r="C230" i="13"/>
  <c r="C7" i="2" s="1"/>
  <c r="E234" i="13"/>
  <c r="B245" i="13"/>
  <c r="C247" i="13"/>
  <c r="F247" i="13" s="1"/>
  <c r="G247" i="13" s="1"/>
  <c r="H247" i="13" s="1"/>
  <c r="E251" i="13"/>
  <c r="B260" i="13"/>
  <c r="C262" i="13"/>
  <c r="F262" i="13" s="1"/>
  <c r="G262" i="13" s="1"/>
  <c r="H262" i="13" s="1"/>
  <c r="E266" i="13"/>
  <c r="B277" i="13"/>
  <c r="C279" i="13"/>
  <c r="E283" i="13"/>
  <c r="F285" i="13"/>
  <c r="G285" i="13" s="1"/>
  <c r="H285" i="13" s="1"/>
  <c r="I289" i="13"/>
  <c r="B292" i="13"/>
  <c r="C294" i="13"/>
  <c r="D296" i="13"/>
  <c r="I304" i="13"/>
  <c r="C13" i="14"/>
  <c r="F219" i="13"/>
  <c r="G219" i="13" s="1"/>
  <c r="H219" i="13" s="1"/>
  <c r="F251" i="13"/>
  <c r="G251" i="13" s="1"/>
  <c r="H251" i="13" s="1"/>
  <c r="I272" i="13"/>
  <c r="F296" i="13"/>
  <c r="G296" i="13" s="1"/>
  <c r="H296" i="13" s="1"/>
  <c r="D303" i="13"/>
  <c r="F303" i="13" s="1"/>
  <c r="G303" i="13" s="1"/>
  <c r="H303" i="13" s="1"/>
  <c r="D301" i="13"/>
  <c r="D297" i="13"/>
  <c r="F297" i="13" s="1"/>
  <c r="G297" i="13" s="1"/>
  <c r="H297" i="13" s="1"/>
  <c r="F301" i="13"/>
  <c r="G301" i="13" s="1"/>
  <c r="H301" i="13" s="1"/>
  <c r="D304" i="13"/>
  <c r="C8" i="2" l="1"/>
  <c r="C6" i="2"/>
  <c r="D260" i="13"/>
  <c r="F260" i="13" s="1"/>
  <c r="I260" i="13"/>
  <c r="I245" i="13"/>
  <c r="D245" i="13"/>
  <c r="F245" i="13"/>
  <c r="G245" i="13" s="1"/>
  <c r="H245" i="13" s="1"/>
  <c r="I277" i="13"/>
  <c r="D277" i="13"/>
  <c r="F277" i="13"/>
  <c r="G277" i="13" s="1"/>
  <c r="H277" i="13" s="1"/>
  <c r="D228" i="13"/>
  <c r="I228" i="13"/>
  <c r="F228" i="13"/>
  <c r="G228" i="13" s="1"/>
  <c r="H228" i="13" s="1"/>
  <c r="D292" i="13"/>
  <c r="F292" i="13" s="1"/>
  <c r="G292" i="13" s="1"/>
  <c r="H292" i="13" s="1"/>
  <c r="I292" i="13"/>
  <c r="G260" i="13" l="1"/>
  <c r="H260" i="13" s="1"/>
  <c r="G43" i="13"/>
  <c r="H43" i="13" s="1"/>
  <c r="G117" i="13"/>
  <c r="G119" i="13"/>
  <c r="G9" i="13"/>
  <c r="G20" i="13"/>
  <c r="G122" i="13"/>
  <c r="G102" i="13"/>
  <c r="G69" i="13"/>
  <c r="G62" i="13"/>
  <c r="H62" i="13" s="1"/>
  <c r="G25" i="13"/>
  <c r="H25" i="13" s="1"/>
  <c r="G6" i="13"/>
  <c r="H6" i="13" s="1"/>
  <c r="G147" i="13"/>
  <c r="G38" i="13"/>
  <c r="H38" i="13" s="1"/>
  <c r="G138" i="13"/>
  <c r="G21" i="13"/>
  <c r="G59" i="13"/>
  <c r="G18" i="13"/>
  <c r="H18" i="13" s="1"/>
  <c r="G8" i="13"/>
  <c r="H8" i="13" s="1"/>
  <c r="G120" i="13"/>
  <c r="G94" i="13"/>
  <c r="G22" i="13"/>
  <c r="G57" i="13"/>
  <c r="G58" i="13"/>
  <c r="G143" i="13"/>
  <c r="G45" i="13"/>
  <c r="H45" i="13" s="1"/>
  <c r="G14" i="13"/>
  <c r="H14" i="13" s="1"/>
  <c r="G11" i="13"/>
  <c r="H11" i="13" s="1"/>
  <c r="G131" i="13"/>
  <c r="G46" i="13"/>
  <c r="H46" i="13" s="1"/>
  <c r="G145" i="13"/>
  <c r="H145" i="13" s="1"/>
  <c r="G93" i="13"/>
  <c r="G90" i="13"/>
  <c r="G98" i="13"/>
  <c r="G108" i="13"/>
  <c r="G150" i="13"/>
  <c r="G137" i="13"/>
  <c r="G111" i="13"/>
  <c r="G127" i="13"/>
  <c r="G61" i="13"/>
  <c r="G17" i="13"/>
  <c r="G74" i="13"/>
  <c r="H74" i="13" s="1"/>
  <c r="G96" i="13"/>
  <c r="G56" i="13"/>
  <c r="G49" i="13"/>
  <c r="G133" i="13"/>
  <c r="G28" i="13"/>
  <c r="H28" i="13" s="1"/>
  <c r="G136" i="13"/>
  <c r="G130" i="13"/>
  <c r="G44" i="13"/>
  <c r="H44" i="13" s="1"/>
  <c r="G48" i="13"/>
  <c r="G92" i="13"/>
  <c r="G26" i="13"/>
  <c r="G79" i="13"/>
  <c r="G110" i="13"/>
  <c r="G76" i="13"/>
  <c r="G97" i="13"/>
  <c r="G123" i="13"/>
  <c r="G78" i="13"/>
  <c r="G99" i="13"/>
  <c r="G71" i="13"/>
  <c r="G27" i="13"/>
  <c r="H27" i="13" s="1"/>
  <c r="G54" i="13"/>
  <c r="G77" i="13"/>
  <c r="G82" i="13"/>
  <c r="G52" i="13"/>
  <c r="G84" i="13"/>
  <c r="G91" i="13"/>
  <c r="G53" i="13"/>
  <c r="G29" i="13"/>
  <c r="G10" i="13"/>
  <c r="H10" i="13" s="1"/>
  <c r="G113" i="13"/>
  <c r="G140" i="13"/>
  <c r="G23" i="13"/>
  <c r="H23" i="13" s="1"/>
  <c r="G135" i="13"/>
  <c r="G125" i="13"/>
  <c r="G55" i="13"/>
  <c r="G31" i="13"/>
  <c r="H31" i="13" s="1"/>
  <c r="G124" i="13"/>
  <c r="G37" i="13"/>
  <c r="H37" i="13" s="1"/>
  <c r="G126" i="13"/>
  <c r="G116" i="13"/>
  <c r="G12" i="13"/>
  <c r="G7" i="13"/>
  <c r="H7" i="13" s="1"/>
  <c r="G95" i="13"/>
  <c r="G148" i="13"/>
  <c r="G89" i="13"/>
  <c r="G81" i="13"/>
  <c r="H81" i="13" s="1"/>
  <c r="G86" i="13"/>
  <c r="G129" i="13"/>
  <c r="G33" i="13"/>
  <c r="G80" i="13"/>
  <c r="H80" i="13" s="1"/>
  <c r="G103" i="13"/>
  <c r="G100" i="13"/>
  <c r="G85" i="13"/>
  <c r="G68" i="13"/>
  <c r="G60" i="13"/>
  <c r="G35" i="13"/>
  <c r="H35" i="13" s="1"/>
  <c r="G42" i="13"/>
  <c r="H42" i="13" s="1"/>
  <c r="G87" i="13"/>
  <c r="G121" i="13"/>
  <c r="G134" i="13"/>
  <c r="G115" i="13"/>
  <c r="G142" i="13"/>
  <c r="G105" i="13"/>
  <c r="H105" i="13" s="1"/>
  <c r="G47" i="13"/>
  <c r="H47" i="13" s="1"/>
  <c r="G141" i="13"/>
  <c r="G5" i="13"/>
  <c r="H5" i="13" s="1"/>
  <c r="G75" i="13"/>
  <c r="G104" i="13"/>
  <c r="G16" i="13"/>
  <c r="H16" i="13" s="1"/>
  <c r="G128" i="13"/>
  <c r="H128" i="13" s="1"/>
  <c r="G83" i="13"/>
  <c r="G132" i="13"/>
  <c r="G32" i="13"/>
  <c r="G63" i="13"/>
  <c r="G50" i="13"/>
  <c r="G40" i="13"/>
  <c r="G101" i="13"/>
  <c r="G112" i="13"/>
  <c r="G24" i="13"/>
  <c r="G106" i="13"/>
  <c r="H106" i="13" s="1"/>
  <c r="G36" i="13"/>
  <c r="H36" i="13" s="1"/>
  <c r="G114" i="13"/>
  <c r="G151" i="13"/>
  <c r="G41" i="13"/>
  <c r="H41" i="13" s="1"/>
  <c r="G73" i="13"/>
  <c r="G109" i="13"/>
  <c r="G70" i="13"/>
  <c r="G19" i="13"/>
  <c r="G34" i="13"/>
  <c r="G13" i="13"/>
  <c r="H13" i="13" s="1"/>
  <c r="G72" i="13"/>
  <c r="G88" i="13"/>
  <c r="G51" i="13"/>
  <c r="G152" i="13"/>
  <c r="G67" i="13"/>
  <c r="G64" i="13"/>
  <c r="H64" i="13" s="1"/>
  <c r="G65" i="13"/>
  <c r="G139" i="13"/>
  <c r="G144" i="13"/>
  <c r="G107" i="13"/>
  <c r="G149" i="13"/>
  <c r="G30" i="13"/>
  <c r="G146" i="13"/>
  <c r="G39" i="13"/>
  <c r="H39" i="13" s="1"/>
  <c r="G15" i="13"/>
  <c r="H140" i="13" l="1"/>
  <c r="H34" i="13"/>
  <c r="H68" i="13"/>
  <c r="H77" i="13"/>
  <c r="H136" i="13"/>
  <c r="H93" i="13"/>
  <c r="H21" i="13"/>
  <c r="H17" i="13"/>
  <c r="H32" i="13"/>
  <c r="H109" i="13"/>
  <c r="H124" i="13"/>
  <c r="H54" i="13"/>
  <c r="H138" i="13"/>
  <c r="H129" i="13"/>
  <c r="H24" i="13"/>
  <c r="AG145" i="4" s="1"/>
  <c r="H146" i="13"/>
  <c r="H30" i="13"/>
  <c r="H149" i="13"/>
  <c r="H73" i="13"/>
  <c r="H85" i="13"/>
  <c r="H107" i="13"/>
  <c r="H104" i="13"/>
  <c r="H100" i="13"/>
  <c r="H133" i="13"/>
  <c r="H147" i="13"/>
  <c r="H67" i="13"/>
  <c r="H143" i="13"/>
  <c r="H61" i="13"/>
  <c r="H144" i="13"/>
  <c r="H75" i="13"/>
  <c r="H103" i="13"/>
  <c r="H71" i="13"/>
  <c r="H49" i="13"/>
  <c r="H131" i="13"/>
  <c r="H139" i="13"/>
  <c r="H114" i="13"/>
  <c r="H125" i="13"/>
  <c r="H99" i="13"/>
  <c r="H56" i="13"/>
  <c r="H86" i="13"/>
  <c r="H58" i="13"/>
  <c r="H151" i="13"/>
  <c r="H55" i="13"/>
  <c r="H65" i="13"/>
  <c r="H141" i="13"/>
  <c r="H33" i="13"/>
  <c r="H135" i="13"/>
  <c r="H78" i="13"/>
  <c r="H96" i="13"/>
  <c r="H69" i="13"/>
  <c r="H102" i="13"/>
  <c r="H76" i="13"/>
  <c r="H101" i="13"/>
  <c r="H115" i="13"/>
  <c r="H89" i="13"/>
  <c r="H110" i="13"/>
  <c r="H127" i="13"/>
  <c r="H57" i="13"/>
  <c r="H122" i="13"/>
  <c r="H142" i="13"/>
  <c r="H88" i="13"/>
  <c r="H134" i="13"/>
  <c r="H148" i="13"/>
  <c r="H29" i="13"/>
  <c r="H79" i="13"/>
  <c r="H111" i="13"/>
  <c r="H22" i="13"/>
  <c r="H20" i="13"/>
  <c r="H123" i="13"/>
  <c r="H152" i="13"/>
  <c r="H51" i="13"/>
  <c r="H40" i="13"/>
  <c r="H72" i="13"/>
  <c r="H50" i="13"/>
  <c r="AG6" i="4" s="1"/>
  <c r="H121" i="13"/>
  <c r="H95" i="13"/>
  <c r="H53" i="13"/>
  <c r="H26" i="13"/>
  <c r="H137" i="13"/>
  <c r="H94" i="13"/>
  <c r="H9" i="13"/>
  <c r="AG137" i="4" s="1"/>
  <c r="H97" i="13"/>
  <c r="H63" i="13"/>
  <c r="H87" i="13"/>
  <c r="H91" i="13"/>
  <c r="H92" i="13"/>
  <c r="H150" i="13"/>
  <c r="H120" i="13"/>
  <c r="H119" i="13"/>
  <c r="H117" i="13"/>
  <c r="H112" i="13"/>
  <c r="H15" i="13"/>
  <c r="H12" i="13"/>
  <c r="H84" i="13"/>
  <c r="H48" i="13"/>
  <c r="H108" i="13"/>
  <c r="H19" i="13"/>
  <c r="H132" i="13"/>
  <c r="H116" i="13"/>
  <c r="H52" i="13"/>
  <c r="H98" i="13"/>
  <c r="H113" i="13"/>
  <c r="H70" i="13"/>
  <c r="H83" i="13"/>
  <c r="H60" i="13"/>
  <c r="H126" i="13"/>
  <c r="H82" i="13"/>
  <c r="H130" i="13"/>
  <c r="H90" i="13"/>
  <c r="H59" i="13"/>
  <c r="F145" i="4" l="1"/>
  <c r="U145" i="4"/>
  <c r="T145" i="4"/>
  <c r="D145" i="4"/>
  <c r="K145" i="4"/>
  <c r="J145" i="4"/>
  <c r="I145" i="4"/>
  <c r="H145" i="4"/>
  <c r="B145" i="4"/>
  <c r="S145" i="4"/>
  <c r="A145" i="4"/>
  <c r="R145" i="4"/>
  <c r="Q145" i="4"/>
  <c r="N145" i="4"/>
  <c r="M145" i="4"/>
  <c r="L145" i="4"/>
  <c r="C145" i="4"/>
  <c r="P145" i="4"/>
  <c r="O145" i="4"/>
  <c r="P6" i="4"/>
  <c r="O6" i="4"/>
  <c r="N6" i="4"/>
  <c r="M6" i="4"/>
  <c r="I6" i="4"/>
  <c r="H6" i="4"/>
  <c r="F6" i="4"/>
  <c r="D6" i="4"/>
  <c r="C6" i="4"/>
  <c r="U6" i="4"/>
  <c r="A6" i="4"/>
  <c r="T6" i="4"/>
  <c r="S6" i="4"/>
  <c r="R6" i="4"/>
  <c r="L6" i="4"/>
  <c r="J6" i="4"/>
  <c r="B6" i="4"/>
  <c r="Q6" i="4"/>
  <c r="K6" i="4"/>
  <c r="S137" i="4"/>
  <c r="C137" i="4"/>
  <c r="R137" i="4"/>
  <c r="B137" i="4"/>
  <c r="Q137" i="4"/>
  <c r="A137" i="4"/>
  <c r="P137" i="4"/>
  <c r="O137" i="4"/>
  <c r="K137" i="4"/>
  <c r="J137" i="4"/>
  <c r="I137" i="4"/>
  <c r="F137" i="4"/>
  <c r="D137" i="4"/>
  <c r="U137" i="4"/>
  <c r="T137" i="4"/>
  <c r="L137" i="4"/>
  <c r="N137" i="4"/>
  <c r="M137" i="4"/>
  <c r="H137" i="4"/>
  <c r="AG12" i="4"/>
  <c r="AG67" i="4"/>
  <c r="AG125" i="4"/>
  <c r="AG57" i="4"/>
  <c r="AG93" i="4"/>
  <c r="AG46" i="4"/>
  <c r="AG115" i="4"/>
  <c r="AG75" i="4"/>
  <c r="AG107" i="4"/>
  <c r="AG122" i="4"/>
  <c r="AG17" i="4"/>
  <c r="AG82" i="4"/>
  <c r="AG13" i="4"/>
  <c r="AG96" i="4"/>
  <c r="AG142" i="4"/>
  <c r="AG72" i="4"/>
  <c r="AG119" i="4"/>
  <c r="AG91" i="4"/>
  <c r="AG123" i="4"/>
  <c r="AG8" i="4"/>
  <c r="AG99" i="4"/>
  <c r="AG36" i="4"/>
  <c r="AG81" i="4"/>
  <c r="AG104" i="4"/>
  <c r="AG77" i="4"/>
  <c r="AG71" i="4"/>
  <c r="AG112" i="4"/>
  <c r="AG144" i="4"/>
  <c r="AG148" i="4"/>
  <c r="AG53" i="4"/>
  <c r="AG64" i="4"/>
  <c r="AG108" i="4"/>
  <c r="AG25" i="4"/>
  <c r="AG51" i="4"/>
  <c r="AG78" i="4"/>
  <c r="AG130" i="4"/>
  <c r="AG41" i="4"/>
  <c r="AG69" i="4"/>
  <c r="AG54" i="4"/>
  <c r="AG30" i="4"/>
  <c r="AG5" i="4"/>
  <c r="AG95" i="4"/>
  <c r="AG94" i="4"/>
  <c r="AG111" i="4"/>
  <c r="AG131" i="4"/>
  <c r="AG153" i="4"/>
  <c r="AG19" i="4"/>
  <c r="AG101" i="4"/>
  <c r="AG138" i="4"/>
  <c r="AG24" i="4"/>
  <c r="AG50" i="4"/>
  <c r="AG47" i="4"/>
  <c r="AG134" i="4"/>
  <c r="AG154" i="4"/>
  <c r="AG34" i="4"/>
  <c r="AG42" i="4"/>
  <c r="AG66" i="4"/>
  <c r="AG83" i="4"/>
  <c r="AG21" i="4"/>
  <c r="AG97" i="4"/>
  <c r="AG103" i="4"/>
  <c r="AG127" i="4"/>
  <c r="AG143" i="4"/>
  <c r="AG149" i="4"/>
  <c r="AG39" i="4"/>
  <c r="AG26" i="4"/>
  <c r="AG52" i="4"/>
  <c r="AG27" i="4"/>
  <c r="AG61" i="4"/>
  <c r="AG37" i="4"/>
  <c r="AG100" i="4"/>
  <c r="AG113" i="4"/>
  <c r="AG129" i="4"/>
  <c r="AG140" i="4"/>
  <c r="AG152" i="4"/>
  <c r="AG7" i="4"/>
  <c r="AG9" i="4"/>
  <c r="AG33" i="4"/>
  <c r="AG55" i="4"/>
  <c r="AG59" i="4"/>
  <c r="AG124" i="4"/>
  <c r="AG126" i="4"/>
  <c r="AG135" i="4"/>
  <c r="AG146" i="4"/>
  <c r="AG150" i="4"/>
  <c r="AG16" i="4"/>
  <c r="AG15" i="4"/>
  <c r="AG49" i="4"/>
  <c r="AG62" i="4"/>
  <c r="AG85" i="4"/>
  <c r="AG86" i="4"/>
  <c r="AG132" i="4"/>
  <c r="AG88" i="4"/>
  <c r="AG120" i="4"/>
  <c r="AG151" i="4"/>
  <c r="AG92" i="4"/>
  <c r="AG84" i="4"/>
  <c r="AG29" i="4"/>
  <c r="AG63" i="4"/>
  <c r="AG114" i="4"/>
  <c r="AG147" i="4"/>
  <c r="AG14" i="4"/>
  <c r="AG35" i="4"/>
  <c r="AG28" i="4"/>
  <c r="AG70" i="4"/>
  <c r="AG106" i="4"/>
  <c r="AG128" i="4"/>
  <c r="AG102" i="4"/>
  <c r="AG110" i="4"/>
  <c r="AG136" i="4"/>
  <c r="AG118" i="4"/>
  <c r="AG10" i="4"/>
  <c r="AG56" i="4"/>
  <c r="AG32" i="4"/>
  <c r="AG18" i="4"/>
  <c r="AG141" i="4"/>
  <c r="AG44" i="4"/>
  <c r="AG117" i="4"/>
  <c r="AG89" i="4"/>
  <c r="AG139" i="4"/>
  <c r="AG60" i="4"/>
  <c r="AG73" i="4"/>
  <c r="AG68" i="4"/>
  <c r="AG76" i="4"/>
  <c r="AG43" i="4"/>
  <c r="AG79" i="4"/>
  <c r="AG116" i="4"/>
  <c r="AG105" i="4"/>
  <c r="AG20" i="4"/>
  <c r="AG31" i="4"/>
  <c r="AG22" i="4"/>
  <c r="AG11" i="4"/>
  <c r="AG40" i="4"/>
  <c r="AG38" i="4"/>
  <c r="AG65" i="4"/>
  <c r="AG74" i="4"/>
  <c r="AG133" i="4"/>
  <c r="AG109" i="4"/>
  <c r="AG121" i="4"/>
  <c r="AG23" i="4"/>
  <c r="AG87" i="4"/>
  <c r="AG58" i="4"/>
  <c r="AG48" i="4"/>
  <c r="AG80" i="4"/>
  <c r="AG45" i="4"/>
  <c r="AG98" i="4"/>
  <c r="AG90" i="4"/>
  <c r="N154" i="4" l="1"/>
  <c r="S154" i="4"/>
  <c r="B154" i="4"/>
  <c r="R154" i="4"/>
  <c r="A154" i="4"/>
  <c r="Q154" i="4"/>
  <c r="P154" i="4"/>
  <c r="O154" i="4"/>
  <c r="M154" i="4"/>
  <c r="L154" i="4"/>
  <c r="K154" i="4"/>
  <c r="J154" i="4"/>
  <c r="F154" i="4"/>
  <c r="D154" i="4"/>
  <c r="C154" i="4"/>
  <c r="T154" i="4"/>
  <c r="U154" i="4"/>
  <c r="I154" i="4"/>
  <c r="H154" i="4"/>
  <c r="H40" i="4"/>
  <c r="F40" i="4"/>
  <c r="D40" i="4"/>
  <c r="U40" i="4"/>
  <c r="C40" i="4"/>
  <c r="T40" i="4"/>
  <c r="B40" i="4"/>
  <c r="S40" i="4"/>
  <c r="A40" i="4"/>
  <c r="Q40" i="4"/>
  <c r="P40" i="4"/>
  <c r="O40" i="4"/>
  <c r="N40" i="4"/>
  <c r="K40" i="4"/>
  <c r="R40" i="4"/>
  <c r="L40" i="4"/>
  <c r="M40" i="4"/>
  <c r="J40" i="4"/>
  <c r="I40" i="4"/>
  <c r="T44" i="4"/>
  <c r="D44" i="4"/>
  <c r="R44" i="4"/>
  <c r="B44" i="4"/>
  <c r="C44" i="4"/>
  <c r="U44" i="4"/>
  <c r="A44" i="4"/>
  <c r="S44" i="4"/>
  <c r="Q44" i="4"/>
  <c r="P44" i="4"/>
  <c r="O44" i="4"/>
  <c r="M44" i="4"/>
  <c r="L44" i="4"/>
  <c r="K44" i="4"/>
  <c r="J44" i="4"/>
  <c r="N44" i="4"/>
  <c r="I44" i="4"/>
  <c r="H44" i="4"/>
  <c r="F44" i="4"/>
  <c r="T147" i="4"/>
  <c r="D147" i="4"/>
  <c r="S147" i="4"/>
  <c r="C147" i="4"/>
  <c r="R147" i="4"/>
  <c r="B147" i="4"/>
  <c r="Q147" i="4"/>
  <c r="A147" i="4"/>
  <c r="H147" i="4"/>
  <c r="F147" i="4"/>
  <c r="U147" i="4"/>
  <c r="P147" i="4"/>
  <c r="O147" i="4"/>
  <c r="N147" i="4"/>
  <c r="K147" i="4"/>
  <c r="L147" i="4"/>
  <c r="I147" i="4"/>
  <c r="M147" i="4"/>
  <c r="J147" i="4"/>
  <c r="Q150" i="4"/>
  <c r="A150" i="4"/>
  <c r="P150" i="4"/>
  <c r="O150" i="4"/>
  <c r="N150" i="4"/>
  <c r="M150" i="4"/>
  <c r="L150" i="4"/>
  <c r="K150" i="4"/>
  <c r="J150" i="4"/>
  <c r="I150" i="4"/>
  <c r="F150" i="4"/>
  <c r="D150" i="4"/>
  <c r="C150" i="4"/>
  <c r="T150" i="4"/>
  <c r="S150" i="4"/>
  <c r="R150" i="4"/>
  <c r="H150" i="4"/>
  <c r="B150" i="4"/>
  <c r="U150" i="4"/>
  <c r="O61" i="4"/>
  <c r="U61" i="4"/>
  <c r="D61" i="4"/>
  <c r="T61" i="4"/>
  <c r="C61" i="4"/>
  <c r="S61" i="4"/>
  <c r="B61" i="4"/>
  <c r="K61" i="4"/>
  <c r="N61" i="4"/>
  <c r="M61" i="4"/>
  <c r="L61" i="4"/>
  <c r="J61" i="4"/>
  <c r="I61" i="4"/>
  <c r="H61" i="4"/>
  <c r="F61" i="4"/>
  <c r="A61" i="4"/>
  <c r="R61" i="4"/>
  <c r="Q61" i="4"/>
  <c r="P61" i="4"/>
  <c r="F134" i="4"/>
  <c r="U134" i="4"/>
  <c r="T134" i="4"/>
  <c r="D134" i="4"/>
  <c r="S134" i="4"/>
  <c r="C134" i="4"/>
  <c r="N134" i="4"/>
  <c r="M134" i="4"/>
  <c r="L134" i="4"/>
  <c r="Q134" i="4"/>
  <c r="P134" i="4"/>
  <c r="O134" i="4"/>
  <c r="K134" i="4"/>
  <c r="J134" i="4"/>
  <c r="I134" i="4"/>
  <c r="B134" i="4"/>
  <c r="A134" i="4"/>
  <c r="R134" i="4"/>
  <c r="H134" i="4"/>
  <c r="U41" i="4"/>
  <c r="K41" i="4"/>
  <c r="J41" i="4"/>
  <c r="I41" i="4"/>
  <c r="H41" i="4"/>
  <c r="F41" i="4"/>
  <c r="D41" i="4"/>
  <c r="T41" i="4"/>
  <c r="B41" i="4"/>
  <c r="S41" i="4"/>
  <c r="A41" i="4"/>
  <c r="R41" i="4"/>
  <c r="Q41" i="4"/>
  <c r="N41" i="4"/>
  <c r="P41" i="4"/>
  <c r="O41" i="4"/>
  <c r="M41" i="4"/>
  <c r="L41" i="4"/>
  <c r="C41" i="4"/>
  <c r="I99" i="4"/>
  <c r="H99" i="4"/>
  <c r="F99" i="4"/>
  <c r="P99" i="4"/>
  <c r="A99" i="4"/>
  <c r="U99" i="4"/>
  <c r="T99" i="4"/>
  <c r="S99" i="4"/>
  <c r="R99" i="4"/>
  <c r="Q99" i="4"/>
  <c r="N99" i="4"/>
  <c r="M99" i="4"/>
  <c r="L99" i="4"/>
  <c r="K99" i="4"/>
  <c r="D99" i="4"/>
  <c r="O99" i="4"/>
  <c r="J99" i="4"/>
  <c r="C99" i="4"/>
  <c r="B99" i="4"/>
  <c r="O93" i="4"/>
  <c r="N93" i="4"/>
  <c r="M93" i="4"/>
  <c r="L93" i="4"/>
  <c r="B93" i="4"/>
  <c r="U93" i="4"/>
  <c r="A93" i="4"/>
  <c r="T93" i="4"/>
  <c r="S93" i="4"/>
  <c r="R93" i="4"/>
  <c r="Q93" i="4"/>
  <c r="K93" i="4"/>
  <c r="J93" i="4"/>
  <c r="I93" i="4"/>
  <c r="H93" i="4"/>
  <c r="D93" i="4"/>
  <c r="C93" i="4"/>
  <c r="P93" i="4"/>
  <c r="F93" i="4"/>
  <c r="A6" i="5"/>
  <c r="AD6" i="4"/>
  <c r="AB6" i="4"/>
  <c r="AA6" i="4"/>
  <c r="G6" i="4"/>
  <c r="Z6" i="4"/>
  <c r="E6" i="4"/>
  <c r="W6" i="4"/>
  <c r="X6" i="4" s="1"/>
  <c r="V6" i="4"/>
  <c r="Y6" i="4" s="1"/>
  <c r="K81" i="4"/>
  <c r="J81" i="4"/>
  <c r="I81" i="4"/>
  <c r="H81" i="4"/>
  <c r="F81" i="4"/>
  <c r="T81" i="4"/>
  <c r="C81" i="4"/>
  <c r="S81" i="4"/>
  <c r="B81" i="4"/>
  <c r="R81" i="4"/>
  <c r="A81" i="4"/>
  <c r="Q81" i="4"/>
  <c r="N81" i="4"/>
  <c r="L81" i="4"/>
  <c r="D81" i="4"/>
  <c r="P81" i="4"/>
  <c r="U81" i="4"/>
  <c r="O81" i="4"/>
  <c r="M81" i="4"/>
  <c r="J114" i="4"/>
  <c r="F114" i="4"/>
  <c r="U114" i="4"/>
  <c r="D114" i="4"/>
  <c r="T114" i="4"/>
  <c r="C114" i="4"/>
  <c r="S114" i="4"/>
  <c r="B114" i="4"/>
  <c r="R114" i="4"/>
  <c r="A114" i="4"/>
  <c r="P114" i="4"/>
  <c r="O114" i="4"/>
  <c r="N114" i="4"/>
  <c r="M114" i="4"/>
  <c r="I114" i="4"/>
  <c r="K114" i="4"/>
  <c r="Q114" i="4"/>
  <c r="L114" i="4"/>
  <c r="H114" i="4"/>
  <c r="M51" i="4"/>
  <c r="L51" i="4"/>
  <c r="K51" i="4"/>
  <c r="J51" i="4"/>
  <c r="U51" i="4"/>
  <c r="A51" i="4"/>
  <c r="T51" i="4"/>
  <c r="S51" i="4"/>
  <c r="R51" i="4"/>
  <c r="Q51" i="4"/>
  <c r="P51" i="4"/>
  <c r="N51" i="4"/>
  <c r="I51" i="4"/>
  <c r="H51" i="4"/>
  <c r="D51" i="4"/>
  <c r="O51" i="4"/>
  <c r="F51" i="4"/>
  <c r="C51" i="4"/>
  <c r="B51" i="4"/>
  <c r="Q91" i="4"/>
  <c r="A91" i="4"/>
  <c r="P91" i="4"/>
  <c r="O91" i="4"/>
  <c r="N91" i="4"/>
  <c r="D91" i="4"/>
  <c r="C91" i="4"/>
  <c r="B91" i="4"/>
  <c r="U91" i="4"/>
  <c r="T91" i="4"/>
  <c r="S91" i="4"/>
  <c r="M91" i="4"/>
  <c r="L91" i="4"/>
  <c r="K91" i="4"/>
  <c r="J91" i="4"/>
  <c r="I91" i="4"/>
  <c r="R91" i="4"/>
  <c r="H91" i="4"/>
  <c r="F91" i="4"/>
  <c r="I67" i="4"/>
  <c r="L67" i="4"/>
  <c r="K67" i="4"/>
  <c r="J67" i="4"/>
  <c r="H67" i="4"/>
  <c r="T67" i="4"/>
  <c r="C67" i="4"/>
  <c r="S67" i="4"/>
  <c r="B67" i="4"/>
  <c r="R67" i="4"/>
  <c r="A67" i="4"/>
  <c r="U67" i="4"/>
  <c r="Q67" i="4"/>
  <c r="P67" i="4"/>
  <c r="N67" i="4"/>
  <c r="M67" i="4"/>
  <c r="F67" i="4"/>
  <c r="O67" i="4"/>
  <c r="D67" i="4"/>
  <c r="A145" i="5"/>
  <c r="V145" i="4"/>
  <c r="AD145" i="4"/>
  <c r="AC145" i="4"/>
  <c r="AB145" i="4"/>
  <c r="AA145" i="4"/>
  <c r="Z145" i="4"/>
  <c r="G145" i="4"/>
  <c r="W145" i="4"/>
  <c r="E145" i="4"/>
  <c r="AF145" i="4"/>
  <c r="X145" i="4"/>
  <c r="Y145" i="4"/>
  <c r="AE145" i="4"/>
  <c r="N34" i="4"/>
  <c r="J34" i="4"/>
  <c r="I34" i="4"/>
  <c r="H34" i="4"/>
  <c r="F34" i="4"/>
  <c r="T34" i="4"/>
  <c r="C34" i="4"/>
  <c r="S34" i="4"/>
  <c r="B34" i="4"/>
  <c r="R34" i="4"/>
  <c r="A34" i="4"/>
  <c r="Q34" i="4"/>
  <c r="M34" i="4"/>
  <c r="U34" i="4"/>
  <c r="P34" i="4"/>
  <c r="O34" i="4"/>
  <c r="L34" i="4"/>
  <c r="K34" i="4"/>
  <c r="D34" i="4"/>
  <c r="J38" i="4"/>
  <c r="H38" i="4"/>
  <c r="R38" i="4"/>
  <c r="Q38" i="4"/>
  <c r="P38" i="4"/>
  <c r="O38" i="4"/>
  <c r="N38" i="4"/>
  <c r="M38" i="4"/>
  <c r="K38" i="4"/>
  <c r="I38" i="4"/>
  <c r="F38" i="4"/>
  <c r="U38" i="4"/>
  <c r="C38" i="4"/>
  <c r="D38" i="4"/>
  <c r="B38" i="4"/>
  <c r="A38" i="4"/>
  <c r="T38" i="4"/>
  <c r="S38" i="4"/>
  <c r="L38" i="4"/>
  <c r="N126" i="4"/>
  <c r="M126" i="4"/>
  <c r="L126" i="4"/>
  <c r="K126" i="4"/>
  <c r="F126" i="4"/>
  <c r="D126" i="4"/>
  <c r="C126" i="4"/>
  <c r="B126" i="4"/>
  <c r="U126" i="4"/>
  <c r="A126" i="4"/>
  <c r="S126" i="4"/>
  <c r="R126" i="4"/>
  <c r="Q126" i="4"/>
  <c r="P126" i="4"/>
  <c r="I126" i="4"/>
  <c r="T126" i="4"/>
  <c r="O126" i="4"/>
  <c r="J126" i="4"/>
  <c r="H126" i="4"/>
  <c r="S45" i="4"/>
  <c r="C45" i="4"/>
  <c r="Q45" i="4"/>
  <c r="A45" i="4"/>
  <c r="P45" i="4"/>
  <c r="H45" i="4"/>
  <c r="F45" i="4"/>
  <c r="D45" i="4"/>
  <c r="B45" i="4"/>
  <c r="T45" i="4"/>
  <c r="R45" i="4"/>
  <c r="O45" i="4"/>
  <c r="N45" i="4"/>
  <c r="K45" i="4"/>
  <c r="L45" i="4"/>
  <c r="J45" i="4"/>
  <c r="I45" i="4"/>
  <c r="U45" i="4"/>
  <c r="M45" i="4"/>
  <c r="R20" i="4"/>
  <c r="B20" i="4"/>
  <c r="Q20" i="4"/>
  <c r="A20" i="4"/>
  <c r="P20" i="4"/>
  <c r="O20" i="4"/>
  <c r="M20" i="4"/>
  <c r="J20" i="4"/>
  <c r="I20" i="4"/>
  <c r="H20" i="4"/>
  <c r="K20" i="4"/>
  <c r="F20" i="4"/>
  <c r="D20" i="4"/>
  <c r="C20" i="4"/>
  <c r="U20" i="4"/>
  <c r="S20" i="4"/>
  <c r="T20" i="4"/>
  <c r="N20" i="4"/>
  <c r="L20" i="4"/>
  <c r="H56" i="4"/>
  <c r="F56" i="4"/>
  <c r="U56" i="4"/>
  <c r="D56" i="4"/>
  <c r="C56" i="4"/>
  <c r="B56" i="4"/>
  <c r="A56" i="4"/>
  <c r="T56" i="4"/>
  <c r="S56" i="4"/>
  <c r="Q56" i="4"/>
  <c r="P56" i="4"/>
  <c r="O56" i="4"/>
  <c r="N56" i="4"/>
  <c r="K56" i="4"/>
  <c r="R56" i="4"/>
  <c r="M56" i="4"/>
  <c r="L56" i="4"/>
  <c r="I56" i="4"/>
  <c r="J56" i="4"/>
  <c r="H84" i="4"/>
  <c r="F84" i="4"/>
  <c r="U84" i="4"/>
  <c r="S84" i="4"/>
  <c r="R84" i="4"/>
  <c r="Q84" i="4"/>
  <c r="P84" i="4"/>
  <c r="O84" i="4"/>
  <c r="N84" i="4"/>
  <c r="L84" i="4"/>
  <c r="K84" i="4"/>
  <c r="J84" i="4"/>
  <c r="I84" i="4"/>
  <c r="B84" i="4"/>
  <c r="T84" i="4"/>
  <c r="M84" i="4"/>
  <c r="D84" i="4"/>
  <c r="C84" i="4"/>
  <c r="A84" i="4"/>
  <c r="P124" i="4"/>
  <c r="O124" i="4"/>
  <c r="N124" i="4"/>
  <c r="M124" i="4"/>
  <c r="H124" i="4"/>
  <c r="F124" i="4"/>
  <c r="D124" i="4"/>
  <c r="C124" i="4"/>
  <c r="U124" i="4"/>
  <c r="A124" i="4"/>
  <c r="T124" i="4"/>
  <c r="S124" i="4"/>
  <c r="R124" i="4"/>
  <c r="K124" i="4"/>
  <c r="Q124" i="4"/>
  <c r="L124" i="4"/>
  <c r="J124" i="4"/>
  <c r="I124" i="4"/>
  <c r="B124" i="4"/>
  <c r="I39" i="4"/>
  <c r="U39" i="4"/>
  <c r="C39" i="4"/>
  <c r="T39" i="4"/>
  <c r="B39" i="4"/>
  <c r="S39" i="4"/>
  <c r="A39" i="4"/>
  <c r="R39" i="4"/>
  <c r="Q39" i="4"/>
  <c r="P39" i="4"/>
  <c r="N39" i="4"/>
  <c r="M39" i="4"/>
  <c r="L39" i="4"/>
  <c r="K39" i="4"/>
  <c r="F39" i="4"/>
  <c r="O39" i="4"/>
  <c r="J39" i="4"/>
  <c r="H39" i="4"/>
  <c r="D39" i="4"/>
  <c r="R138" i="4"/>
  <c r="B138" i="4"/>
  <c r="Q138" i="4"/>
  <c r="A138" i="4"/>
  <c r="P138" i="4"/>
  <c r="O138" i="4"/>
  <c r="N138" i="4"/>
  <c r="J138" i="4"/>
  <c r="I138" i="4"/>
  <c r="H138" i="4"/>
  <c r="D138" i="4"/>
  <c r="C138" i="4"/>
  <c r="U138" i="4"/>
  <c r="T138" i="4"/>
  <c r="S138" i="4"/>
  <c r="K138" i="4"/>
  <c r="F138" i="4"/>
  <c r="M138" i="4"/>
  <c r="L138" i="4"/>
  <c r="M25" i="4"/>
  <c r="L25" i="4"/>
  <c r="K25" i="4"/>
  <c r="J25" i="4"/>
  <c r="I25" i="4"/>
  <c r="H25" i="4"/>
  <c r="F25" i="4"/>
  <c r="U25" i="4"/>
  <c r="T25" i="4"/>
  <c r="D25" i="4"/>
  <c r="S25" i="4"/>
  <c r="C25" i="4"/>
  <c r="P25" i="4"/>
  <c r="N25" i="4"/>
  <c r="B25" i="4"/>
  <c r="A25" i="4"/>
  <c r="R25" i="4"/>
  <c r="Q25" i="4"/>
  <c r="O25" i="4"/>
  <c r="U119" i="4"/>
  <c r="T119" i="4"/>
  <c r="D119" i="4"/>
  <c r="S119" i="4"/>
  <c r="C119" i="4"/>
  <c r="R119" i="4"/>
  <c r="B119" i="4"/>
  <c r="A119" i="4"/>
  <c r="Q119" i="4"/>
  <c r="P119" i="4"/>
  <c r="N119" i="4"/>
  <c r="M119" i="4"/>
  <c r="L119" i="4"/>
  <c r="K119" i="4"/>
  <c r="H119" i="4"/>
  <c r="I119" i="4"/>
  <c r="F119" i="4"/>
  <c r="O119" i="4"/>
  <c r="J119" i="4"/>
  <c r="J12" i="4"/>
  <c r="I12" i="4"/>
  <c r="H12" i="4"/>
  <c r="C12" i="4"/>
  <c r="B12" i="4"/>
  <c r="U12" i="4"/>
  <c r="A12" i="4"/>
  <c r="T12" i="4"/>
  <c r="S12" i="4"/>
  <c r="R12" i="4"/>
  <c r="Q12" i="4"/>
  <c r="O12" i="4"/>
  <c r="N12" i="4"/>
  <c r="M12" i="4"/>
  <c r="L12" i="4"/>
  <c r="F12" i="4"/>
  <c r="P12" i="4"/>
  <c r="K12" i="4"/>
  <c r="D12" i="4"/>
  <c r="K65" i="4"/>
  <c r="I65" i="4"/>
  <c r="H65" i="4"/>
  <c r="F65" i="4"/>
  <c r="R65" i="4"/>
  <c r="A65" i="4"/>
  <c r="Q65" i="4"/>
  <c r="P65" i="4"/>
  <c r="B65" i="4"/>
  <c r="U65" i="4"/>
  <c r="S65" i="4"/>
  <c r="O65" i="4"/>
  <c r="N65" i="4"/>
  <c r="M65" i="4"/>
  <c r="D65" i="4"/>
  <c r="C65" i="4"/>
  <c r="T65" i="4"/>
  <c r="J65" i="4"/>
  <c r="L65" i="4"/>
  <c r="J141" i="4"/>
  <c r="U141" i="4"/>
  <c r="D141" i="4"/>
  <c r="T141" i="4"/>
  <c r="C141" i="4"/>
  <c r="S141" i="4"/>
  <c r="B141" i="4"/>
  <c r="R141" i="4"/>
  <c r="A141" i="4"/>
  <c r="Q141" i="4"/>
  <c r="M141" i="4"/>
  <c r="L141" i="4"/>
  <c r="K141" i="4"/>
  <c r="H141" i="4"/>
  <c r="F141" i="4"/>
  <c r="O141" i="4"/>
  <c r="N141" i="4"/>
  <c r="I141" i="4"/>
  <c r="P141" i="4"/>
  <c r="R90" i="4"/>
  <c r="B90" i="4"/>
  <c r="Q90" i="4"/>
  <c r="A90" i="4"/>
  <c r="P90" i="4"/>
  <c r="O90" i="4"/>
  <c r="M90" i="4"/>
  <c r="L90" i="4"/>
  <c r="K90" i="4"/>
  <c r="J90" i="4"/>
  <c r="I90" i="4"/>
  <c r="H90" i="4"/>
  <c r="F90" i="4"/>
  <c r="D90" i="4"/>
  <c r="C90" i="4"/>
  <c r="T90" i="4"/>
  <c r="U90" i="4"/>
  <c r="S90" i="4"/>
  <c r="N90" i="4"/>
  <c r="Q123" i="4"/>
  <c r="A123" i="4"/>
  <c r="P123" i="4"/>
  <c r="O123" i="4"/>
  <c r="N123" i="4"/>
  <c r="U123" i="4"/>
  <c r="T123" i="4"/>
  <c r="S123" i="4"/>
  <c r="R123" i="4"/>
  <c r="M123" i="4"/>
  <c r="L123" i="4"/>
  <c r="J123" i="4"/>
  <c r="I123" i="4"/>
  <c r="H123" i="4"/>
  <c r="D123" i="4"/>
  <c r="K123" i="4"/>
  <c r="F123" i="4"/>
  <c r="C123" i="4"/>
  <c r="B123" i="4"/>
  <c r="J98" i="4"/>
  <c r="I98" i="4"/>
  <c r="H98" i="4"/>
  <c r="Q98" i="4"/>
  <c r="A98" i="4"/>
  <c r="L98" i="4"/>
  <c r="K98" i="4"/>
  <c r="F98" i="4"/>
  <c r="D98" i="4"/>
  <c r="C98" i="4"/>
  <c r="U98" i="4"/>
  <c r="T98" i="4"/>
  <c r="S98" i="4"/>
  <c r="O98" i="4"/>
  <c r="R98" i="4"/>
  <c r="P98" i="4"/>
  <c r="N98" i="4"/>
  <c r="M98" i="4"/>
  <c r="B98" i="4"/>
  <c r="P92" i="4"/>
  <c r="O92" i="4"/>
  <c r="N92" i="4"/>
  <c r="M92" i="4"/>
  <c r="K92" i="4"/>
  <c r="J92" i="4"/>
  <c r="I92" i="4"/>
  <c r="H92" i="4"/>
  <c r="F92" i="4"/>
  <c r="D92" i="4"/>
  <c r="C92" i="4"/>
  <c r="B92" i="4"/>
  <c r="U92" i="4"/>
  <c r="A92" i="4"/>
  <c r="R92" i="4"/>
  <c r="T92" i="4"/>
  <c r="S92" i="4"/>
  <c r="Q92" i="4"/>
  <c r="L92" i="4"/>
  <c r="U59" i="4"/>
  <c r="T59" i="4"/>
  <c r="D59" i="4"/>
  <c r="S59" i="4"/>
  <c r="C59" i="4"/>
  <c r="R59" i="4"/>
  <c r="B59" i="4"/>
  <c r="M59" i="4"/>
  <c r="L59" i="4"/>
  <c r="K59" i="4"/>
  <c r="J59" i="4"/>
  <c r="I59" i="4"/>
  <c r="H59" i="4"/>
  <c r="F59" i="4"/>
  <c r="A59" i="4"/>
  <c r="P59" i="4"/>
  <c r="Q59" i="4"/>
  <c r="O59" i="4"/>
  <c r="N59" i="4"/>
  <c r="R149" i="4"/>
  <c r="B149" i="4"/>
  <c r="Q149" i="4"/>
  <c r="A149" i="4"/>
  <c r="P149" i="4"/>
  <c r="O149" i="4"/>
  <c r="F149" i="4"/>
  <c r="D149" i="4"/>
  <c r="C149" i="4"/>
  <c r="S149" i="4"/>
  <c r="N149" i="4"/>
  <c r="M149" i="4"/>
  <c r="L149" i="4"/>
  <c r="I149" i="4"/>
  <c r="U149" i="4"/>
  <c r="T149" i="4"/>
  <c r="K149" i="4"/>
  <c r="J149" i="4"/>
  <c r="H149" i="4"/>
  <c r="I101" i="4"/>
  <c r="H101" i="4"/>
  <c r="F101" i="4"/>
  <c r="P101" i="4"/>
  <c r="O101" i="4"/>
  <c r="L101" i="4"/>
  <c r="K101" i="4"/>
  <c r="J101" i="4"/>
  <c r="D101" i="4"/>
  <c r="C101" i="4"/>
  <c r="B101" i="4"/>
  <c r="U101" i="4"/>
  <c r="T101" i="4"/>
  <c r="Q101" i="4"/>
  <c r="S101" i="4"/>
  <c r="R101" i="4"/>
  <c r="N101" i="4"/>
  <c r="M101" i="4"/>
  <c r="A101" i="4"/>
  <c r="P108" i="4"/>
  <c r="Q108" i="4"/>
  <c r="O108" i="4"/>
  <c r="N108" i="4"/>
  <c r="M108" i="4"/>
  <c r="H108" i="4"/>
  <c r="F108" i="4"/>
  <c r="U108" i="4"/>
  <c r="T108" i="4"/>
  <c r="S108" i="4"/>
  <c r="R108" i="4"/>
  <c r="L108" i="4"/>
  <c r="K108" i="4"/>
  <c r="I108" i="4"/>
  <c r="D108" i="4"/>
  <c r="C108" i="4"/>
  <c r="A108" i="4"/>
  <c r="J108" i="4"/>
  <c r="B108" i="4"/>
  <c r="T72" i="4"/>
  <c r="D72" i="4"/>
  <c r="Q72" i="4"/>
  <c r="P72" i="4"/>
  <c r="O72" i="4"/>
  <c r="N72" i="4"/>
  <c r="M72" i="4"/>
  <c r="L72" i="4"/>
  <c r="J72" i="4"/>
  <c r="I72" i="4"/>
  <c r="H72" i="4"/>
  <c r="U72" i="4"/>
  <c r="C72" i="4"/>
  <c r="S72" i="4"/>
  <c r="R72" i="4"/>
  <c r="F72" i="4"/>
  <c r="B72" i="4"/>
  <c r="A72" i="4"/>
  <c r="K72" i="4"/>
  <c r="M35" i="4"/>
  <c r="K35" i="4"/>
  <c r="J35" i="4"/>
  <c r="I35" i="4"/>
  <c r="H35" i="4"/>
  <c r="F35" i="4"/>
  <c r="U35" i="4"/>
  <c r="D35" i="4"/>
  <c r="T35" i="4"/>
  <c r="C35" i="4"/>
  <c r="S35" i="4"/>
  <c r="B35" i="4"/>
  <c r="R35" i="4"/>
  <c r="A35" i="4"/>
  <c r="O35" i="4"/>
  <c r="Q35" i="4"/>
  <c r="P35" i="4"/>
  <c r="N35" i="4"/>
  <c r="L35" i="4"/>
  <c r="H14" i="4"/>
  <c r="F14" i="4"/>
  <c r="U14" i="4"/>
  <c r="P14" i="4"/>
  <c r="C14" i="4"/>
  <c r="B14" i="4"/>
  <c r="A14" i="4"/>
  <c r="T14" i="4"/>
  <c r="S14" i="4"/>
  <c r="R14" i="4"/>
  <c r="Q14" i="4"/>
  <c r="O14" i="4"/>
  <c r="N14" i="4"/>
  <c r="M14" i="4"/>
  <c r="L14" i="4"/>
  <c r="J14" i="4"/>
  <c r="I14" i="4"/>
  <c r="D14" i="4"/>
  <c r="K14" i="4"/>
  <c r="Q47" i="4"/>
  <c r="A47" i="4"/>
  <c r="P47" i="4"/>
  <c r="O47" i="4"/>
  <c r="N47" i="4"/>
  <c r="D47" i="4"/>
  <c r="C47" i="4"/>
  <c r="B47" i="4"/>
  <c r="U47" i="4"/>
  <c r="T47" i="4"/>
  <c r="R47" i="4"/>
  <c r="M47" i="4"/>
  <c r="L47" i="4"/>
  <c r="K47" i="4"/>
  <c r="H47" i="4"/>
  <c r="J47" i="4"/>
  <c r="I47" i="4"/>
  <c r="F47" i="4"/>
  <c r="S47" i="4"/>
  <c r="P22" i="4"/>
  <c r="O22" i="4"/>
  <c r="N22" i="4"/>
  <c r="M22" i="4"/>
  <c r="L22" i="4"/>
  <c r="K22" i="4"/>
  <c r="H22" i="4"/>
  <c r="F22" i="4"/>
  <c r="S22" i="4"/>
  <c r="C22" i="4"/>
  <c r="T22" i="4"/>
  <c r="R22" i="4"/>
  <c r="Q22" i="4"/>
  <c r="J22" i="4"/>
  <c r="I22" i="4"/>
  <c r="D22" i="4"/>
  <c r="B22" i="4"/>
  <c r="A22" i="4"/>
  <c r="U22" i="4"/>
  <c r="H143" i="4"/>
  <c r="F143" i="4"/>
  <c r="U143" i="4"/>
  <c r="D143" i="4"/>
  <c r="T143" i="4"/>
  <c r="C143" i="4"/>
  <c r="S143" i="4"/>
  <c r="B143" i="4"/>
  <c r="P143" i="4"/>
  <c r="O143" i="4"/>
  <c r="N143" i="4"/>
  <c r="M143" i="4"/>
  <c r="J143" i="4"/>
  <c r="R143" i="4"/>
  <c r="Q143" i="4"/>
  <c r="K143" i="4"/>
  <c r="I143" i="4"/>
  <c r="A143" i="4"/>
  <c r="L143" i="4"/>
  <c r="L64" i="4"/>
  <c r="H64" i="4"/>
  <c r="F64" i="4"/>
  <c r="Q64" i="4"/>
  <c r="P64" i="4"/>
  <c r="O64" i="4"/>
  <c r="C64" i="4"/>
  <c r="B64" i="4"/>
  <c r="A64" i="4"/>
  <c r="T64" i="4"/>
  <c r="S64" i="4"/>
  <c r="R64" i="4"/>
  <c r="N64" i="4"/>
  <c r="J64" i="4"/>
  <c r="U64" i="4"/>
  <c r="M64" i="4"/>
  <c r="K64" i="4"/>
  <c r="I64" i="4"/>
  <c r="D64" i="4"/>
  <c r="I142" i="4"/>
  <c r="U142" i="4"/>
  <c r="D142" i="4"/>
  <c r="T142" i="4"/>
  <c r="C142" i="4"/>
  <c r="S142" i="4"/>
  <c r="B142" i="4"/>
  <c r="R142" i="4"/>
  <c r="A142" i="4"/>
  <c r="O142" i="4"/>
  <c r="N142" i="4"/>
  <c r="M142" i="4"/>
  <c r="L142" i="4"/>
  <c r="H142" i="4"/>
  <c r="Q142" i="4"/>
  <c r="P142" i="4"/>
  <c r="K142" i="4"/>
  <c r="J142" i="4"/>
  <c r="F142" i="4"/>
  <c r="U135" i="4"/>
  <c r="T135" i="4"/>
  <c r="D135" i="4"/>
  <c r="S135" i="4"/>
  <c r="C135" i="4"/>
  <c r="R135" i="4"/>
  <c r="B135" i="4"/>
  <c r="M135" i="4"/>
  <c r="L135" i="4"/>
  <c r="K135" i="4"/>
  <c r="N135" i="4"/>
  <c r="J135" i="4"/>
  <c r="I135" i="4"/>
  <c r="H135" i="4"/>
  <c r="F135" i="4"/>
  <c r="Q135" i="4"/>
  <c r="A135" i="4"/>
  <c r="P135" i="4"/>
  <c r="O135" i="4"/>
  <c r="P32" i="4"/>
  <c r="H32" i="4"/>
  <c r="F32" i="4"/>
  <c r="U32" i="4"/>
  <c r="D32" i="4"/>
  <c r="T32" i="4"/>
  <c r="C32" i="4"/>
  <c r="R32" i="4"/>
  <c r="A32" i="4"/>
  <c r="Q32" i="4"/>
  <c r="O32" i="4"/>
  <c r="N32" i="4"/>
  <c r="K32" i="4"/>
  <c r="S32" i="4"/>
  <c r="M32" i="4"/>
  <c r="L32" i="4"/>
  <c r="J32" i="4"/>
  <c r="I32" i="4"/>
  <c r="B32" i="4"/>
  <c r="S105" i="4"/>
  <c r="C105" i="4"/>
  <c r="M105" i="4"/>
  <c r="L105" i="4"/>
  <c r="K105" i="4"/>
  <c r="J105" i="4"/>
  <c r="U105" i="4"/>
  <c r="D105" i="4"/>
  <c r="T105" i="4"/>
  <c r="B105" i="4"/>
  <c r="R105" i="4"/>
  <c r="P105" i="4"/>
  <c r="O105" i="4"/>
  <c r="N105" i="4"/>
  <c r="I105" i="4"/>
  <c r="F105" i="4"/>
  <c r="A105" i="4"/>
  <c r="Q105" i="4"/>
  <c r="H105" i="4"/>
  <c r="O153" i="4"/>
  <c r="R153" i="4"/>
  <c r="A153" i="4"/>
  <c r="Q153" i="4"/>
  <c r="P153" i="4"/>
  <c r="N153" i="4"/>
  <c r="D153" i="4"/>
  <c r="C153" i="4"/>
  <c r="B153" i="4"/>
  <c r="S153" i="4"/>
  <c r="M153" i="4"/>
  <c r="L153" i="4"/>
  <c r="K153" i="4"/>
  <c r="H153" i="4"/>
  <c r="U153" i="4"/>
  <c r="T153" i="4"/>
  <c r="I153" i="4"/>
  <c r="F153" i="4"/>
  <c r="J153" i="4"/>
  <c r="K53" i="4"/>
  <c r="J53" i="4"/>
  <c r="I53" i="4"/>
  <c r="H53" i="4"/>
  <c r="S53" i="4"/>
  <c r="R53" i="4"/>
  <c r="Q53" i="4"/>
  <c r="P53" i="4"/>
  <c r="O53" i="4"/>
  <c r="N53" i="4"/>
  <c r="L53" i="4"/>
  <c r="F53" i="4"/>
  <c r="B53" i="4"/>
  <c r="U53" i="4"/>
  <c r="T53" i="4"/>
  <c r="M53" i="4"/>
  <c r="D53" i="4"/>
  <c r="C53" i="4"/>
  <c r="A53" i="4"/>
  <c r="L96" i="4"/>
  <c r="K96" i="4"/>
  <c r="J96" i="4"/>
  <c r="I96" i="4"/>
  <c r="F96" i="4"/>
  <c r="D96" i="4"/>
  <c r="C96" i="4"/>
  <c r="B96" i="4"/>
  <c r="T96" i="4"/>
  <c r="S96" i="4"/>
  <c r="R96" i="4"/>
  <c r="Q96" i="4"/>
  <c r="N96" i="4"/>
  <c r="U96" i="4"/>
  <c r="P96" i="4"/>
  <c r="O96" i="4"/>
  <c r="M96" i="4"/>
  <c r="H96" i="4"/>
  <c r="A96" i="4"/>
  <c r="K37" i="4"/>
  <c r="I37" i="4"/>
  <c r="O37" i="4"/>
  <c r="N37" i="4"/>
  <c r="M37" i="4"/>
  <c r="L37" i="4"/>
  <c r="J37" i="4"/>
  <c r="H37" i="4"/>
  <c r="F37" i="4"/>
  <c r="D37" i="4"/>
  <c r="U37" i="4"/>
  <c r="C37" i="4"/>
  <c r="R37" i="4"/>
  <c r="T37" i="4"/>
  <c r="S37" i="4"/>
  <c r="Q37" i="4"/>
  <c r="P37" i="4"/>
  <c r="B37" i="4"/>
  <c r="A37" i="4"/>
  <c r="F118" i="4"/>
  <c r="U118" i="4"/>
  <c r="T118" i="4"/>
  <c r="D118" i="4"/>
  <c r="S118" i="4"/>
  <c r="C118" i="4"/>
  <c r="N118" i="4"/>
  <c r="M118" i="4"/>
  <c r="L118" i="4"/>
  <c r="K118" i="4"/>
  <c r="J118" i="4"/>
  <c r="I118" i="4"/>
  <c r="B118" i="4"/>
  <c r="A118" i="4"/>
  <c r="Q118" i="4"/>
  <c r="R118" i="4"/>
  <c r="O118" i="4"/>
  <c r="H118" i="4"/>
  <c r="P118" i="4"/>
  <c r="S148" i="4"/>
  <c r="C148" i="4"/>
  <c r="R148" i="4"/>
  <c r="B148" i="4"/>
  <c r="Q148" i="4"/>
  <c r="A148" i="4"/>
  <c r="P148" i="4"/>
  <c r="O148" i="4"/>
  <c r="N148" i="4"/>
  <c r="M148" i="4"/>
  <c r="L148" i="4"/>
  <c r="K148" i="4"/>
  <c r="H148" i="4"/>
  <c r="F148" i="4"/>
  <c r="U148" i="4"/>
  <c r="T148" i="4"/>
  <c r="J148" i="4"/>
  <c r="I148" i="4"/>
  <c r="D148" i="4"/>
  <c r="I13" i="4"/>
  <c r="H13" i="4"/>
  <c r="F13" i="4"/>
  <c r="Q13" i="4"/>
  <c r="N13" i="4"/>
  <c r="M13" i="4"/>
  <c r="L13" i="4"/>
  <c r="K13" i="4"/>
  <c r="J13" i="4"/>
  <c r="D13" i="4"/>
  <c r="B13" i="4"/>
  <c r="A13" i="4"/>
  <c r="U13" i="4"/>
  <c r="T13" i="4"/>
  <c r="R13" i="4"/>
  <c r="S13" i="4"/>
  <c r="P13" i="4"/>
  <c r="O13" i="4"/>
  <c r="C13" i="4"/>
  <c r="S89" i="4"/>
  <c r="C89" i="4"/>
  <c r="R89" i="4"/>
  <c r="B89" i="4"/>
  <c r="Q89" i="4"/>
  <c r="A89" i="4"/>
  <c r="P89" i="4"/>
  <c r="F89" i="4"/>
  <c r="D89" i="4"/>
  <c r="U89" i="4"/>
  <c r="O89" i="4"/>
  <c r="N89" i="4"/>
  <c r="M89" i="4"/>
  <c r="L89" i="4"/>
  <c r="I89" i="4"/>
  <c r="J89" i="4"/>
  <c r="H89" i="4"/>
  <c r="K89" i="4"/>
  <c r="T89" i="4"/>
  <c r="L36" i="4"/>
  <c r="M36" i="4"/>
  <c r="K36" i="4"/>
  <c r="J36" i="4"/>
  <c r="I36" i="4"/>
  <c r="H36" i="4"/>
  <c r="U36" i="4"/>
  <c r="D36" i="4"/>
  <c r="T36" i="4"/>
  <c r="C36" i="4"/>
  <c r="S36" i="4"/>
  <c r="B36" i="4"/>
  <c r="P36" i="4"/>
  <c r="Q36" i="4"/>
  <c r="O36" i="4"/>
  <c r="N36" i="4"/>
  <c r="F36" i="4"/>
  <c r="A36" i="4"/>
  <c r="R36" i="4"/>
  <c r="N8" i="4"/>
  <c r="M8" i="4"/>
  <c r="L8" i="4"/>
  <c r="K8" i="4"/>
  <c r="F8" i="4"/>
  <c r="D8" i="4"/>
  <c r="C8" i="4"/>
  <c r="B8" i="4"/>
  <c r="U8" i="4"/>
  <c r="A8" i="4"/>
  <c r="S8" i="4"/>
  <c r="R8" i="4"/>
  <c r="Q8" i="4"/>
  <c r="P8" i="4"/>
  <c r="J8" i="4"/>
  <c r="T8" i="4"/>
  <c r="O8" i="4"/>
  <c r="I8" i="4"/>
  <c r="H8" i="4"/>
  <c r="T18" i="4"/>
  <c r="D18" i="4"/>
  <c r="S18" i="4"/>
  <c r="C18" i="4"/>
  <c r="R18" i="4"/>
  <c r="B18" i="4"/>
  <c r="Q18" i="4"/>
  <c r="A18" i="4"/>
  <c r="L18" i="4"/>
  <c r="K18" i="4"/>
  <c r="J18" i="4"/>
  <c r="U18" i="4"/>
  <c r="P18" i="4"/>
  <c r="O18" i="4"/>
  <c r="N18" i="4"/>
  <c r="M18" i="4"/>
  <c r="I18" i="4"/>
  <c r="H18" i="4"/>
  <c r="F18" i="4"/>
  <c r="P151" i="4"/>
  <c r="O151" i="4"/>
  <c r="N151" i="4"/>
  <c r="M151" i="4"/>
  <c r="D151" i="4"/>
  <c r="C151" i="4"/>
  <c r="B151" i="4"/>
  <c r="U151" i="4"/>
  <c r="A151" i="4"/>
  <c r="T151" i="4"/>
  <c r="Q151" i="4"/>
  <c r="L151" i="4"/>
  <c r="K151" i="4"/>
  <c r="J151" i="4"/>
  <c r="R151" i="4"/>
  <c r="I151" i="4"/>
  <c r="H151" i="4"/>
  <c r="F151" i="4"/>
  <c r="S151" i="4"/>
  <c r="M79" i="4"/>
  <c r="H79" i="4"/>
  <c r="F79" i="4"/>
  <c r="U79" i="4"/>
  <c r="D79" i="4"/>
  <c r="T79" i="4"/>
  <c r="C79" i="4"/>
  <c r="R79" i="4"/>
  <c r="A79" i="4"/>
  <c r="Q79" i="4"/>
  <c r="P79" i="4"/>
  <c r="O79" i="4"/>
  <c r="K79" i="4"/>
  <c r="S79" i="4"/>
  <c r="N79" i="4"/>
  <c r="L79" i="4"/>
  <c r="J79" i="4"/>
  <c r="I79" i="4"/>
  <c r="B79" i="4"/>
  <c r="K97" i="4"/>
  <c r="J97" i="4"/>
  <c r="I97" i="4"/>
  <c r="H97" i="4"/>
  <c r="R97" i="4"/>
  <c r="B97" i="4"/>
  <c r="T97" i="4"/>
  <c r="S97" i="4"/>
  <c r="Q97" i="4"/>
  <c r="P97" i="4"/>
  <c r="O97" i="4"/>
  <c r="N97" i="4"/>
  <c r="L97" i="4"/>
  <c r="F97" i="4"/>
  <c r="A97" i="4"/>
  <c r="D97" i="4"/>
  <c r="C97" i="4"/>
  <c r="U97" i="4"/>
  <c r="M97" i="4"/>
  <c r="J82" i="4"/>
  <c r="L82" i="4"/>
  <c r="K82" i="4"/>
  <c r="I82" i="4"/>
  <c r="H82" i="4"/>
  <c r="F82" i="4"/>
  <c r="U82" i="4"/>
  <c r="D82" i="4"/>
  <c r="T82" i="4"/>
  <c r="C82" i="4"/>
  <c r="S82" i="4"/>
  <c r="B82" i="4"/>
  <c r="R82" i="4"/>
  <c r="A82" i="4"/>
  <c r="O82" i="4"/>
  <c r="Q82" i="4"/>
  <c r="P82" i="4"/>
  <c r="N82" i="4"/>
  <c r="M82" i="4"/>
  <c r="F15" i="4"/>
  <c r="U15" i="4"/>
  <c r="T15" i="4"/>
  <c r="D15" i="4"/>
  <c r="O15" i="4"/>
  <c r="Q15" i="4"/>
  <c r="P15" i="4"/>
  <c r="N15" i="4"/>
  <c r="M15" i="4"/>
  <c r="L15" i="4"/>
  <c r="K15" i="4"/>
  <c r="J15" i="4"/>
  <c r="I15" i="4"/>
  <c r="H15" i="4"/>
  <c r="C15" i="4"/>
  <c r="B15" i="4"/>
  <c r="A15" i="4"/>
  <c r="R15" i="4"/>
  <c r="S15" i="4"/>
  <c r="J117" i="4"/>
  <c r="I117" i="4"/>
  <c r="H117" i="4"/>
  <c r="F117" i="4"/>
  <c r="U117" i="4"/>
  <c r="D117" i="4"/>
  <c r="S117" i="4"/>
  <c r="B117" i="4"/>
  <c r="R117" i="4"/>
  <c r="A117" i="4"/>
  <c r="Q117" i="4"/>
  <c r="P117" i="4"/>
  <c r="M117" i="4"/>
  <c r="L117" i="4"/>
  <c r="K117" i="4"/>
  <c r="C117" i="4"/>
  <c r="T117" i="4"/>
  <c r="O117" i="4"/>
  <c r="N117" i="4"/>
  <c r="N69" i="4"/>
  <c r="M69" i="4"/>
  <c r="L69" i="4"/>
  <c r="K69" i="4"/>
  <c r="J69" i="4"/>
  <c r="U69" i="4"/>
  <c r="D69" i="4"/>
  <c r="T69" i="4"/>
  <c r="C69" i="4"/>
  <c r="S69" i="4"/>
  <c r="R69" i="4"/>
  <c r="Q69" i="4"/>
  <c r="P69" i="4"/>
  <c r="I69" i="4"/>
  <c r="H69" i="4"/>
  <c r="F69" i="4"/>
  <c r="B69" i="4"/>
  <c r="O69" i="4"/>
  <c r="A69" i="4"/>
  <c r="K27" i="4"/>
  <c r="J27" i="4"/>
  <c r="I27" i="4"/>
  <c r="H27" i="4"/>
  <c r="F27" i="4"/>
  <c r="T27" i="4"/>
  <c r="D27" i="4"/>
  <c r="S27" i="4"/>
  <c r="C27" i="4"/>
  <c r="R27" i="4"/>
  <c r="B27" i="4"/>
  <c r="Q27" i="4"/>
  <c r="A27" i="4"/>
  <c r="N27" i="4"/>
  <c r="U27" i="4"/>
  <c r="P27" i="4"/>
  <c r="O27" i="4"/>
  <c r="M27" i="4"/>
  <c r="L27" i="4"/>
  <c r="N50" i="4"/>
  <c r="M50" i="4"/>
  <c r="L50" i="4"/>
  <c r="K50" i="4"/>
  <c r="J50" i="4"/>
  <c r="I50" i="4"/>
  <c r="H50" i="4"/>
  <c r="F50" i="4"/>
  <c r="C50" i="4"/>
  <c r="B50" i="4"/>
  <c r="U50" i="4"/>
  <c r="A50" i="4"/>
  <c r="T50" i="4"/>
  <c r="Q50" i="4"/>
  <c r="S50" i="4"/>
  <c r="R50" i="4"/>
  <c r="P50" i="4"/>
  <c r="O50" i="4"/>
  <c r="D50" i="4"/>
  <c r="A137" i="5"/>
  <c r="AF137" i="4"/>
  <c r="AE137" i="4"/>
  <c r="AA137" i="4"/>
  <c r="Z137" i="4"/>
  <c r="Y137" i="4"/>
  <c r="E137" i="4"/>
  <c r="AD137" i="4"/>
  <c r="AC137" i="4"/>
  <c r="AB137" i="4"/>
  <c r="W137" i="4"/>
  <c r="V137" i="4"/>
  <c r="X137" i="4"/>
  <c r="G137" i="4"/>
  <c r="I29" i="4"/>
  <c r="H29" i="4"/>
  <c r="F29" i="4"/>
  <c r="U29" i="4"/>
  <c r="T29" i="4"/>
  <c r="D29" i="4"/>
  <c r="R29" i="4"/>
  <c r="B29" i="4"/>
  <c r="Q29" i="4"/>
  <c r="A29" i="4"/>
  <c r="P29" i="4"/>
  <c r="O29" i="4"/>
  <c r="L29" i="4"/>
  <c r="S29" i="4"/>
  <c r="N29" i="4"/>
  <c r="M29" i="4"/>
  <c r="K29" i="4"/>
  <c r="J29" i="4"/>
  <c r="C29" i="4"/>
  <c r="P48" i="4"/>
  <c r="O48" i="4"/>
  <c r="N48" i="4"/>
  <c r="M48" i="4"/>
  <c r="L48" i="4"/>
  <c r="K48" i="4"/>
  <c r="J48" i="4"/>
  <c r="I48" i="4"/>
  <c r="H48" i="4"/>
  <c r="D48" i="4"/>
  <c r="C48" i="4"/>
  <c r="B48" i="4"/>
  <c r="S48" i="4"/>
  <c r="U48" i="4"/>
  <c r="T48" i="4"/>
  <c r="R48" i="4"/>
  <c r="Q48" i="4"/>
  <c r="F48" i="4"/>
  <c r="A48" i="4"/>
  <c r="S19" i="4"/>
  <c r="C19" i="4"/>
  <c r="R19" i="4"/>
  <c r="B19" i="4"/>
  <c r="Q19" i="4"/>
  <c r="A19" i="4"/>
  <c r="P19" i="4"/>
  <c r="K19" i="4"/>
  <c r="J19" i="4"/>
  <c r="I19" i="4"/>
  <c r="N19" i="4"/>
  <c r="M19" i="4"/>
  <c r="L19" i="4"/>
  <c r="H19" i="4"/>
  <c r="F19" i="4"/>
  <c r="D19" i="4"/>
  <c r="U19" i="4"/>
  <c r="T19" i="4"/>
  <c r="O19" i="4"/>
  <c r="U87" i="4"/>
  <c r="T87" i="4"/>
  <c r="D87" i="4"/>
  <c r="S87" i="4"/>
  <c r="C87" i="4"/>
  <c r="R87" i="4"/>
  <c r="B87" i="4"/>
  <c r="H87" i="4"/>
  <c r="F87" i="4"/>
  <c r="A87" i="4"/>
  <c r="Q87" i="4"/>
  <c r="P87" i="4"/>
  <c r="O87" i="4"/>
  <c r="N87" i="4"/>
  <c r="K87" i="4"/>
  <c r="J87" i="4"/>
  <c r="M87" i="4"/>
  <c r="L87" i="4"/>
  <c r="I87" i="4"/>
  <c r="I131" i="4"/>
  <c r="H131" i="4"/>
  <c r="F131" i="4"/>
  <c r="Q131" i="4"/>
  <c r="A131" i="4"/>
  <c r="P131" i="4"/>
  <c r="O131" i="4"/>
  <c r="C131" i="4"/>
  <c r="B131" i="4"/>
  <c r="U131" i="4"/>
  <c r="S131" i="4"/>
  <c r="R131" i="4"/>
  <c r="N131" i="4"/>
  <c r="M131" i="4"/>
  <c r="J131" i="4"/>
  <c r="T131" i="4"/>
  <c r="L131" i="4"/>
  <c r="D131" i="4"/>
  <c r="K131" i="4"/>
  <c r="O23" i="4"/>
  <c r="N23" i="4"/>
  <c r="M23" i="4"/>
  <c r="L23" i="4"/>
  <c r="K23" i="4"/>
  <c r="J23" i="4"/>
  <c r="F23" i="4"/>
  <c r="U23" i="4"/>
  <c r="R23" i="4"/>
  <c r="B23" i="4"/>
  <c r="T23" i="4"/>
  <c r="S23" i="4"/>
  <c r="Q23" i="4"/>
  <c r="P23" i="4"/>
  <c r="I23" i="4"/>
  <c r="H23" i="4"/>
  <c r="D23" i="4"/>
  <c r="C23" i="4"/>
  <c r="A23" i="4"/>
  <c r="F102" i="4"/>
  <c r="J102" i="4"/>
  <c r="I102" i="4"/>
  <c r="H102" i="4"/>
  <c r="R102" i="4"/>
  <c r="A102" i="4"/>
  <c r="Q102" i="4"/>
  <c r="P102" i="4"/>
  <c r="D102" i="4"/>
  <c r="C102" i="4"/>
  <c r="B102" i="4"/>
  <c r="U102" i="4"/>
  <c r="T102" i="4"/>
  <c r="S102" i="4"/>
  <c r="M102" i="4"/>
  <c r="K102" i="4"/>
  <c r="O102" i="4"/>
  <c r="N102" i="4"/>
  <c r="L102" i="4"/>
  <c r="O7" i="4"/>
  <c r="N7" i="4"/>
  <c r="M7" i="4"/>
  <c r="L7" i="4"/>
  <c r="T7" i="4"/>
  <c r="S7" i="4"/>
  <c r="R7" i="4"/>
  <c r="Q7" i="4"/>
  <c r="P7" i="4"/>
  <c r="K7" i="4"/>
  <c r="J7" i="4"/>
  <c r="H7" i="4"/>
  <c r="F7" i="4"/>
  <c r="C7" i="4"/>
  <c r="A7" i="4"/>
  <c r="U7" i="4"/>
  <c r="I7" i="4"/>
  <c r="D7" i="4"/>
  <c r="B7" i="4"/>
  <c r="H68" i="4"/>
  <c r="M68" i="4"/>
  <c r="L68" i="4"/>
  <c r="K68" i="4"/>
  <c r="J68" i="4"/>
  <c r="U68" i="4"/>
  <c r="D68" i="4"/>
  <c r="T68" i="4"/>
  <c r="C68" i="4"/>
  <c r="S68" i="4"/>
  <c r="B68" i="4"/>
  <c r="R68" i="4"/>
  <c r="Q68" i="4"/>
  <c r="P68" i="4"/>
  <c r="O68" i="4"/>
  <c r="I68" i="4"/>
  <c r="F68" i="4"/>
  <c r="N68" i="4"/>
  <c r="A68" i="4"/>
  <c r="F86" i="4"/>
  <c r="U86" i="4"/>
  <c r="T86" i="4"/>
  <c r="D86" i="4"/>
  <c r="S86" i="4"/>
  <c r="C86" i="4"/>
  <c r="Q86" i="4"/>
  <c r="P86" i="4"/>
  <c r="O86" i="4"/>
  <c r="N86" i="4"/>
  <c r="M86" i="4"/>
  <c r="L86" i="4"/>
  <c r="J86" i="4"/>
  <c r="I86" i="4"/>
  <c r="H86" i="4"/>
  <c r="R86" i="4"/>
  <c r="K86" i="4"/>
  <c r="B86" i="4"/>
  <c r="A86" i="4"/>
  <c r="P152" i="4"/>
  <c r="Q152" i="4"/>
  <c r="O152" i="4"/>
  <c r="N152" i="4"/>
  <c r="M152" i="4"/>
  <c r="L152" i="4"/>
  <c r="K152" i="4"/>
  <c r="J152" i="4"/>
  <c r="I152" i="4"/>
  <c r="H152" i="4"/>
  <c r="D152" i="4"/>
  <c r="C152" i="4"/>
  <c r="B152" i="4"/>
  <c r="T152" i="4"/>
  <c r="F152" i="4"/>
  <c r="A152" i="4"/>
  <c r="U152" i="4"/>
  <c r="S152" i="4"/>
  <c r="R152" i="4"/>
  <c r="Q21" i="4"/>
  <c r="A21" i="4"/>
  <c r="P21" i="4"/>
  <c r="O21" i="4"/>
  <c r="N21" i="4"/>
  <c r="M21" i="4"/>
  <c r="L21" i="4"/>
  <c r="I21" i="4"/>
  <c r="H21" i="4"/>
  <c r="K21" i="4"/>
  <c r="J21" i="4"/>
  <c r="F21" i="4"/>
  <c r="D21" i="4"/>
  <c r="C21" i="4"/>
  <c r="B21" i="4"/>
  <c r="T21" i="4"/>
  <c r="U21" i="4"/>
  <c r="S21" i="4"/>
  <c r="R21" i="4"/>
  <c r="N94" i="4"/>
  <c r="M94" i="4"/>
  <c r="L94" i="4"/>
  <c r="K94" i="4"/>
  <c r="I94" i="4"/>
  <c r="H94" i="4"/>
  <c r="F94" i="4"/>
  <c r="D94" i="4"/>
  <c r="B94" i="4"/>
  <c r="U94" i="4"/>
  <c r="A94" i="4"/>
  <c r="T94" i="4"/>
  <c r="S94" i="4"/>
  <c r="P94" i="4"/>
  <c r="R94" i="4"/>
  <c r="Q94" i="4"/>
  <c r="O94" i="4"/>
  <c r="J94" i="4"/>
  <c r="C94" i="4"/>
  <c r="L112" i="4"/>
  <c r="U112" i="4"/>
  <c r="D112" i="4"/>
  <c r="T112" i="4"/>
  <c r="C112" i="4"/>
  <c r="S112" i="4"/>
  <c r="B112" i="4"/>
  <c r="R112" i="4"/>
  <c r="A112" i="4"/>
  <c r="Q112" i="4"/>
  <c r="N112" i="4"/>
  <c r="M112" i="4"/>
  <c r="K112" i="4"/>
  <c r="J112" i="4"/>
  <c r="O112" i="4"/>
  <c r="I112" i="4"/>
  <c r="H112" i="4"/>
  <c r="F112" i="4"/>
  <c r="P112" i="4"/>
  <c r="U17" i="4"/>
  <c r="T17" i="4"/>
  <c r="D17" i="4"/>
  <c r="S17" i="4"/>
  <c r="C17" i="4"/>
  <c r="R17" i="4"/>
  <c r="B17" i="4"/>
  <c r="M17" i="4"/>
  <c r="K17" i="4"/>
  <c r="Q17" i="4"/>
  <c r="P17" i="4"/>
  <c r="O17" i="4"/>
  <c r="N17" i="4"/>
  <c r="L17" i="4"/>
  <c r="J17" i="4"/>
  <c r="I17" i="4"/>
  <c r="H17" i="4"/>
  <c r="F17" i="4"/>
  <c r="A17" i="4"/>
  <c r="J54" i="4"/>
  <c r="I54" i="4"/>
  <c r="H54" i="4"/>
  <c r="F54" i="4"/>
  <c r="D54" i="4"/>
  <c r="C54" i="4"/>
  <c r="B54" i="4"/>
  <c r="U54" i="4"/>
  <c r="A54" i="4"/>
  <c r="S54" i="4"/>
  <c r="R54" i="4"/>
  <c r="Q54" i="4"/>
  <c r="P54" i="4"/>
  <c r="M54" i="4"/>
  <c r="T54" i="4"/>
  <c r="O54" i="4"/>
  <c r="N54" i="4"/>
  <c r="L54" i="4"/>
  <c r="K54" i="4"/>
  <c r="F16" i="4"/>
  <c r="U16" i="4"/>
  <c r="T16" i="4"/>
  <c r="D16" i="4"/>
  <c r="S16" i="4"/>
  <c r="C16" i="4"/>
  <c r="N16" i="4"/>
  <c r="I16" i="4"/>
  <c r="H16" i="4"/>
  <c r="B16" i="4"/>
  <c r="A16" i="4"/>
  <c r="R16" i="4"/>
  <c r="Q16" i="4"/>
  <c r="P16" i="4"/>
  <c r="O16" i="4"/>
  <c r="L16" i="4"/>
  <c r="M16" i="4"/>
  <c r="K16" i="4"/>
  <c r="J16" i="4"/>
  <c r="K11" i="4"/>
  <c r="J11" i="4"/>
  <c r="I11" i="4"/>
  <c r="H11" i="4"/>
  <c r="P11" i="4"/>
  <c r="O11" i="4"/>
  <c r="N11" i="4"/>
  <c r="M11" i="4"/>
  <c r="L11" i="4"/>
  <c r="F11" i="4"/>
  <c r="D11" i="4"/>
  <c r="C11" i="4"/>
  <c r="B11" i="4"/>
  <c r="U11" i="4"/>
  <c r="A11" i="4"/>
  <c r="S11" i="4"/>
  <c r="Q11" i="4"/>
  <c r="R11" i="4"/>
  <c r="T11" i="4"/>
  <c r="F57" i="4"/>
  <c r="U57" i="4"/>
  <c r="T57" i="4"/>
  <c r="D57" i="4"/>
  <c r="O57" i="4"/>
  <c r="N57" i="4"/>
  <c r="M57" i="4"/>
  <c r="L57" i="4"/>
  <c r="K57" i="4"/>
  <c r="J57" i="4"/>
  <c r="H57" i="4"/>
  <c r="C57" i="4"/>
  <c r="B57" i="4"/>
  <c r="A57" i="4"/>
  <c r="R57" i="4"/>
  <c r="S57" i="4"/>
  <c r="Q57" i="4"/>
  <c r="P57" i="4"/>
  <c r="I57" i="4"/>
  <c r="M63" i="4"/>
  <c r="F63" i="4"/>
  <c r="U63" i="4"/>
  <c r="D63" i="4"/>
  <c r="P63" i="4"/>
  <c r="O63" i="4"/>
  <c r="N63" i="4"/>
  <c r="H63" i="4"/>
  <c r="C63" i="4"/>
  <c r="B63" i="4"/>
  <c r="A63" i="4"/>
  <c r="T63" i="4"/>
  <c r="S63" i="4"/>
  <c r="R63" i="4"/>
  <c r="K63" i="4"/>
  <c r="Q63" i="4"/>
  <c r="L63" i="4"/>
  <c r="J63" i="4"/>
  <c r="I63" i="4"/>
  <c r="N78" i="4"/>
  <c r="F78" i="4"/>
  <c r="U78" i="4"/>
  <c r="D78" i="4"/>
  <c r="T78" i="4"/>
  <c r="C78" i="4"/>
  <c r="S78" i="4"/>
  <c r="B78" i="4"/>
  <c r="Q78" i="4"/>
  <c r="P78" i="4"/>
  <c r="O78" i="4"/>
  <c r="M78" i="4"/>
  <c r="J78" i="4"/>
  <c r="R78" i="4"/>
  <c r="I78" i="4"/>
  <c r="K78" i="4"/>
  <c r="L78" i="4"/>
  <c r="H78" i="4"/>
  <c r="A78" i="4"/>
  <c r="L26" i="4"/>
  <c r="K26" i="4"/>
  <c r="J26" i="4"/>
  <c r="I26" i="4"/>
  <c r="H26" i="4"/>
  <c r="U26" i="4"/>
  <c r="T26" i="4"/>
  <c r="D26" i="4"/>
  <c r="S26" i="4"/>
  <c r="C26" i="4"/>
  <c r="R26" i="4"/>
  <c r="B26" i="4"/>
  <c r="O26" i="4"/>
  <c r="Q26" i="4"/>
  <c r="P26" i="4"/>
  <c r="N26" i="4"/>
  <c r="M26" i="4"/>
  <c r="F26" i="4"/>
  <c r="A26" i="4"/>
  <c r="L80" i="4"/>
  <c r="I80" i="4"/>
  <c r="H80" i="4"/>
  <c r="F80" i="4"/>
  <c r="U80" i="4"/>
  <c r="D80" i="4"/>
  <c r="S80" i="4"/>
  <c r="B80" i="4"/>
  <c r="R80" i="4"/>
  <c r="A80" i="4"/>
  <c r="Q80" i="4"/>
  <c r="P80" i="4"/>
  <c r="M80" i="4"/>
  <c r="O80" i="4"/>
  <c r="N80" i="4"/>
  <c r="K80" i="4"/>
  <c r="J80" i="4"/>
  <c r="T80" i="4"/>
  <c r="C80" i="4"/>
  <c r="H116" i="4"/>
  <c r="I116" i="4"/>
  <c r="F116" i="4"/>
  <c r="U116" i="4"/>
  <c r="D116" i="4"/>
  <c r="T116" i="4"/>
  <c r="C116" i="4"/>
  <c r="R116" i="4"/>
  <c r="A116" i="4"/>
  <c r="Q116" i="4"/>
  <c r="P116" i="4"/>
  <c r="O116" i="4"/>
  <c r="L116" i="4"/>
  <c r="S116" i="4"/>
  <c r="N116" i="4"/>
  <c r="M116" i="4"/>
  <c r="K116" i="4"/>
  <c r="J116" i="4"/>
  <c r="B116" i="4"/>
  <c r="F58" i="4"/>
  <c r="U58" i="4"/>
  <c r="T58" i="4"/>
  <c r="D58" i="4"/>
  <c r="S58" i="4"/>
  <c r="C58" i="4"/>
  <c r="B58" i="4"/>
  <c r="A58" i="4"/>
  <c r="R58" i="4"/>
  <c r="Q58" i="4"/>
  <c r="O58" i="4"/>
  <c r="N58" i="4"/>
  <c r="M58" i="4"/>
  <c r="L58" i="4"/>
  <c r="I58" i="4"/>
  <c r="P58" i="4"/>
  <c r="K58" i="4"/>
  <c r="H58" i="4"/>
  <c r="J58" i="4"/>
  <c r="T120" i="4"/>
  <c r="D120" i="4"/>
  <c r="S120" i="4"/>
  <c r="C120" i="4"/>
  <c r="R120" i="4"/>
  <c r="B120" i="4"/>
  <c r="Q120" i="4"/>
  <c r="A120" i="4"/>
  <c r="L120" i="4"/>
  <c r="K120" i="4"/>
  <c r="J120" i="4"/>
  <c r="I120" i="4"/>
  <c r="H120" i="4"/>
  <c r="O120" i="4"/>
  <c r="U120" i="4"/>
  <c r="N120" i="4"/>
  <c r="M120" i="4"/>
  <c r="F120" i="4"/>
  <c r="P120" i="4"/>
  <c r="O33" i="4"/>
  <c r="I33" i="4"/>
  <c r="H33" i="4"/>
  <c r="F33" i="4"/>
  <c r="U33" i="4"/>
  <c r="D33" i="4"/>
  <c r="S33" i="4"/>
  <c r="B33" i="4"/>
  <c r="R33" i="4"/>
  <c r="A33" i="4"/>
  <c r="Q33" i="4"/>
  <c r="P33" i="4"/>
  <c r="L33" i="4"/>
  <c r="J33" i="4"/>
  <c r="C33" i="4"/>
  <c r="N33" i="4"/>
  <c r="T33" i="4"/>
  <c r="K33" i="4"/>
  <c r="M33" i="4"/>
  <c r="N110" i="4"/>
  <c r="S110" i="4"/>
  <c r="B110" i="4"/>
  <c r="R110" i="4"/>
  <c r="A110" i="4"/>
  <c r="Q110" i="4"/>
  <c r="P110" i="4"/>
  <c r="O110" i="4"/>
  <c r="K110" i="4"/>
  <c r="J110" i="4"/>
  <c r="I110" i="4"/>
  <c r="H110" i="4"/>
  <c r="U110" i="4"/>
  <c r="M110" i="4"/>
  <c r="L110" i="4"/>
  <c r="F110" i="4"/>
  <c r="T110" i="4"/>
  <c r="D110" i="4"/>
  <c r="C110" i="4"/>
  <c r="U103" i="4"/>
  <c r="K103" i="4"/>
  <c r="J103" i="4"/>
  <c r="I103" i="4"/>
  <c r="H103" i="4"/>
  <c r="S103" i="4"/>
  <c r="B103" i="4"/>
  <c r="R103" i="4"/>
  <c r="A103" i="4"/>
  <c r="Q103" i="4"/>
  <c r="D103" i="4"/>
  <c r="C103" i="4"/>
  <c r="T103" i="4"/>
  <c r="P103" i="4"/>
  <c r="O103" i="4"/>
  <c r="L103" i="4"/>
  <c r="N103" i="4"/>
  <c r="M103" i="4"/>
  <c r="F103" i="4"/>
  <c r="U144" i="4"/>
  <c r="H144" i="4"/>
  <c r="F144" i="4"/>
  <c r="D144" i="4"/>
  <c r="T144" i="4"/>
  <c r="C144" i="4"/>
  <c r="Q144" i="4"/>
  <c r="P144" i="4"/>
  <c r="O144" i="4"/>
  <c r="N144" i="4"/>
  <c r="K144" i="4"/>
  <c r="S144" i="4"/>
  <c r="R144" i="4"/>
  <c r="M144" i="4"/>
  <c r="I144" i="4"/>
  <c r="L144" i="4"/>
  <c r="J144" i="4"/>
  <c r="B144" i="4"/>
  <c r="A144" i="4"/>
  <c r="L128" i="4"/>
  <c r="K128" i="4"/>
  <c r="J128" i="4"/>
  <c r="I128" i="4"/>
  <c r="D128" i="4"/>
  <c r="C128" i="4"/>
  <c r="B128" i="4"/>
  <c r="U128" i="4"/>
  <c r="A128" i="4"/>
  <c r="T128" i="4"/>
  <c r="S128" i="4"/>
  <c r="Q128" i="4"/>
  <c r="P128" i="4"/>
  <c r="O128" i="4"/>
  <c r="N128" i="4"/>
  <c r="R128" i="4"/>
  <c r="M128" i="4"/>
  <c r="H128" i="4"/>
  <c r="F128" i="4"/>
  <c r="O109" i="4"/>
  <c r="R109" i="4"/>
  <c r="A109" i="4"/>
  <c r="Q109" i="4"/>
  <c r="P109" i="4"/>
  <c r="N109" i="4"/>
  <c r="J109" i="4"/>
  <c r="I109" i="4"/>
  <c r="H109" i="4"/>
  <c r="U109" i="4"/>
  <c r="T109" i="4"/>
  <c r="S109" i="4"/>
  <c r="M109" i="4"/>
  <c r="L109" i="4"/>
  <c r="K109" i="4"/>
  <c r="D109" i="4"/>
  <c r="C109" i="4"/>
  <c r="B109" i="4"/>
  <c r="F109" i="4"/>
  <c r="S73" i="4"/>
  <c r="C73" i="4"/>
  <c r="R73" i="4"/>
  <c r="A73" i="4"/>
  <c r="Q73" i="4"/>
  <c r="P73" i="4"/>
  <c r="O73" i="4"/>
  <c r="N73" i="4"/>
  <c r="M73" i="4"/>
  <c r="K73" i="4"/>
  <c r="J73" i="4"/>
  <c r="I73" i="4"/>
  <c r="H73" i="4"/>
  <c r="B73" i="4"/>
  <c r="U73" i="4"/>
  <c r="T73" i="4"/>
  <c r="F73" i="4"/>
  <c r="L73" i="4"/>
  <c r="D73" i="4"/>
  <c r="R106" i="4"/>
  <c r="B106" i="4"/>
  <c r="N106" i="4"/>
  <c r="M106" i="4"/>
  <c r="L106" i="4"/>
  <c r="K106" i="4"/>
  <c r="F106" i="4"/>
  <c r="U106" i="4"/>
  <c r="D106" i="4"/>
  <c r="T106" i="4"/>
  <c r="S106" i="4"/>
  <c r="Q106" i="4"/>
  <c r="O106" i="4"/>
  <c r="J106" i="4"/>
  <c r="I106" i="4"/>
  <c r="H106" i="4"/>
  <c r="A106" i="4"/>
  <c r="P106" i="4"/>
  <c r="C106" i="4"/>
  <c r="F85" i="4"/>
  <c r="U85" i="4"/>
  <c r="T85" i="4"/>
  <c r="D85" i="4"/>
  <c r="J85" i="4"/>
  <c r="I85" i="4"/>
  <c r="H85" i="4"/>
  <c r="C85" i="4"/>
  <c r="B85" i="4"/>
  <c r="A85" i="4"/>
  <c r="S85" i="4"/>
  <c r="R85" i="4"/>
  <c r="Q85" i="4"/>
  <c r="P85" i="4"/>
  <c r="M85" i="4"/>
  <c r="O85" i="4"/>
  <c r="K85" i="4"/>
  <c r="N85" i="4"/>
  <c r="L85" i="4"/>
  <c r="K140" i="4"/>
  <c r="T140" i="4"/>
  <c r="C140" i="4"/>
  <c r="S140" i="4"/>
  <c r="B140" i="4"/>
  <c r="R140" i="4"/>
  <c r="A140" i="4"/>
  <c r="Q140" i="4"/>
  <c r="P140" i="4"/>
  <c r="L140" i="4"/>
  <c r="J140" i="4"/>
  <c r="I140" i="4"/>
  <c r="F140" i="4"/>
  <c r="D140" i="4"/>
  <c r="U140" i="4"/>
  <c r="M140" i="4"/>
  <c r="O140" i="4"/>
  <c r="N140" i="4"/>
  <c r="H140" i="4"/>
  <c r="I83" i="4"/>
  <c r="M83" i="4"/>
  <c r="L83" i="4"/>
  <c r="K83" i="4"/>
  <c r="J83" i="4"/>
  <c r="H83" i="4"/>
  <c r="U83" i="4"/>
  <c r="D83" i="4"/>
  <c r="T83" i="4"/>
  <c r="C83" i="4"/>
  <c r="S83" i="4"/>
  <c r="B83" i="4"/>
  <c r="P83" i="4"/>
  <c r="R83" i="4"/>
  <c r="Q83" i="4"/>
  <c r="F83" i="4"/>
  <c r="O83" i="4"/>
  <c r="N83" i="4"/>
  <c r="A83" i="4"/>
  <c r="M95" i="4"/>
  <c r="L95" i="4"/>
  <c r="K95" i="4"/>
  <c r="J95" i="4"/>
  <c r="T95" i="4"/>
  <c r="S95" i="4"/>
  <c r="R95" i="4"/>
  <c r="Q95" i="4"/>
  <c r="P95" i="4"/>
  <c r="O95" i="4"/>
  <c r="I95" i="4"/>
  <c r="H95" i="4"/>
  <c r="F95" i="4"/>
  <c r="C95" i="4"/>
  <c r="D95" i="4"/>
  <c r="B95" i="4"/>
  <c r="A95" i="4"/>
  <c r="U95" i="4"/>
  <c r="N95" i="4"/>
  <c r="U71" i="4"/>
  <c r="P71" i="4"/>
  <c r="O71" i="4"/>
  <c r="N71" i="4"/>
  <c r="M71" i="4"/>
  <c r="L71" i="4"/>
  <c r="K71" i="4"/>
  <c r="I71" i="4"/>
  <c r="H71" i="4"/>
  <c r="F71" i="4"/>
  <c r="S71" i="4"/>
  <c r="B71" i="4"/>
  <c r="J71" i="4"/>
  <c r="D71" i="4"/>
  <c r="C71" i="4"/>
  <c r="A71" i="4"/>
  <c r="T71" i="4"/>
  <c r="R71" i="4"/>
  <c r="Q71" i="4"/>
  <c r="R122" i="4"/>
  <c r="B122" i="4"/>
  <c r="Q122" i="4"/>
  <c r="A122" i="4"/>
  <c r="P122" i="4"/>
  <c r="O122" i="4"/>
  <c r="J122" i="4"/>
  <c r="I122" i="4"/>
  <c r="H122" i="4"/>
  <c r="F122" i="4"/>
  <c r="C122" i="4"/>
  <c r="U122" i="4"/>
  <c r="T122" i="4"/>
  <c r="M122" i="4"/>
  <c r="N122" i="4"/>
  <c r="L122" i="4"/>
  <c r="K122" i="4"/>
  <c r="D122" i="4"/>
  <c r="S122" i="4"/>
  <c r="H100" i="4"/>
  <c r="F100" i="4"/>
  <c r="U100" i="4"/>
  <c r="O100" i="4"/>
  <c r="N100" i="4"/>
  <c r="Q100" i="4"/>
  <c r="P100" i="4"/>
  <c r="M100" i="4"/>
  <c r="L100" i="4"/>
  <c r="K100" i="4"/>
  <c r="J100" i="4"/>
  <c r="D100" i="4"/>
  <c r="C100" i="4"/>
  <c r="B100" i="4"/>
  <c r="A100" i="4"/>
  <c r="T100" i="4"/>
  <c r="S100" i="4"/>
  <c r="R100" i="4"/>
  <c r="I100" i="4"/>
  <c r="I115" i="4"/>
  <c r="F115" i="4"/>
  <c r="U115" i="4"/>
  <c r="D115" i="4"/>
  <c r="T115" i="4"/>
  <c r="C115" i="4"/>
  <c r="S115" i="4"/>
  <c r="B115" i="4"/>
  <c r="Q115" i="4"/>
  <c r="P115" i="4"/>
  <c r="O115" i="4"/>
  <c r="N115" i="4"/>
  <c r="K115" i="4"/>
  <c r="R115" i="4"/>
  <c r="M115" i="4"/>
  <c r="L115" i="4"/>
  <c r="J115" i="4"/>
  <c r="H115" i="4"/>
  <c r="A115" i="4"/>
  <c r="R46" i="4"/>
  <c r="B46" i="4"/>
  <c r="Q46" i="4"/>
  <c r="A46" i="4"/>
  <c r="P46" i="4"/>
  <c r="O46" i="4"/>
  <c r="N46" i="4"/>
  <c r="M46" i="4"/>
  <c r="L46" i="4"/>
  <c r="K46" i="4"/>
  <c r="J46" i="4"/>
  <c r="I46" i="4"/>
  <c r="F46" i="4"/>
  <c r="D46" i="4"/>
  <c r="U46" i="4"/>
  <c r="T46" i="4"/>
  <c r="S46" i="4"/>
  <c r="H46" i="4"/>
  <c r="C46" i="4"/>
  <c r="J130" i="4"/>
  <c r="I130" i="4"/>
  <c r="H130" i="4"/>
  <c r="R130" i="4"/>
  <c r="B130" i="4"/>
  <c r="Q130" i="4"/>
  <c r="A130" i="4"/>
  <c r="P130" i="4"/>
  <c r="F130" i="4"/>
  <c r="D130" i="4"/>
  <c r="C130" i="4"/>
  <c r="U130" i="4"/>
  <c r="T130" i="4"/>
  <c r="S130" i="4"/>
  <c r="M130" i="4"/>
  <c r="O130" i="4"/>
  <c r="K130" i="4"/>
  <c r="N130" i="4"/>
  <c r="L130" i="4"/>
  <c r="O125" i="4"/>
  <c r="N125" i="4"/>
  <c r="M125" i="4"/>
  <c r="L125" i="4"/>
  <c r="S125" i="4"/>
  <c r="R125" i="4"/>
  <c r="Q125" i="4"/>
  <c r="P125" i="4"/>
  <c r="K125" i="4"/>
  <c r="J125" i="4"/>
  <c r="H125" i="4"/>
  <c r="F125" i="4"/>
  <c r="B125" i="4"/>
  <c r="T125" i="4"/>
  <c r="I125" i="4"/>
  <c r="D125" i="4"/>
  <c r="C125" i="4"/>
  <c r="A125" i="4"/>
  <c r="U125" i="4"/>
  <c r="Q31" i="4"/>
  <c r="F31" i="4"/>
  <c r="U31" i="4"/>
  <c r="D31" i="4"/>
  <c r="T31" i="4"/>
  <c r="C31" i="4"/>
  <c r="S31" i="4"/>
  <c r="B31" i="4"/>
  <c r="P31" i="4"/>
  <c r="O31" i="4"/>
  <c r="N31" i="4"/>
  <c r="M31" i="4"/>
  <c r="J31" i="4"/>
  <c r="R31" i="4"/>
  <c r="L31" i="4"/>
  <c r="K31" i="4"/>
  <c r="I31" i="4"/>
  <c r="H31" i="4"/>
  <c r="A31" i="4"/>
  <c r="N24" i="4"/>
  <c r="M24" i="4"/>
  <c r="L24" i="4"/>
  <c r="K24" i="4"/>
  <c r="J24" i="4"/>
  <c r="I24" i="4"/>
  <c r="F24" i="4"/>
  <c r="U24" i="4"/>
  <c r="T24" i="4"/>
  <c r="D24" i="4"/>
  <c r="Q24" i="4"/>
  <c r="A24" i="4"/>
  <c r="S24" i="4"/>
  <c r="R24" i="4"/>
  <c r="P24" i="4"/>
  <c r="O24" i="4"/>
  <c r="H24" i="4"/>
  <c r="C24" i="4"/>
  <c r="B24" i="4"/>
  <c r="I55" i="4"/>
  <c r="H55" i="4"/>
  <c r="F55" i="4"/>
  <c r="Q55" i="4"/>
  <c r="P55" i="4"/>
  <c r="O55" i="4"/>
  <c r="N55" i="4"/>
  <c r="M55" i="4"/>
  <c r="L55" i="4"/>
  <c r="J55" i="4"/>
  <c r="D55" i="4"/>
  <c r="C55" i="4"/>
  <c r="T55" i="4"/>
  <c r="U55" i="4"/>
  <c r="S55" i="4"/>
  <c r="R55" i="4"/>
  <c r="K55" i="4"/>
  <c r="B55" i="4"/>
  <c r="A55" i="4"/>
  <c r="M127" i="4"/>
  <c r="L127" i="4"/>
  <c r="K127" i="4"/>
  <c r="J127" i="4"/>
  <c r="Q127" i="4"/>
  <c r="P127" i="4"/>
  <c r="O127" i="4"/>
  <c r="N127" i="4"/>
  <c r="I127" i="4"/>
  <c r="H127" i="4"/>
  <c r="F127" i="4"/>
  <c r="D127" i="4"/>
  <c r="C127" i="4"/>
  <c r="T127" i="4"/>
  <c r="S127" i="4"/>
  <c r="R127" i="4"/>
  <c r="B127" i="4"/>
  <c r="A127" i="4"/>
  <c r="U127" i="4"/>
  <c r="M9" i="4"/>
  <c r="L9" i="4"/>
  <c r="K9" i="4"/>
  <c r="J9" i="4"/>
  <c r="R9" i="4"/>
  <c r="Q9" i="4"/>
  <c r="P9" i="4"/>
  <c r="O9" i="4"/>
  <c r="N9" i="4"/>
  <c r="I9" i="4"/>
  <c r="H9" i="4"/>
  <c r="F9" i="4"/>
  <c r="D9" i="4"/>
  <c r="C9" i="4"/>
  <c r="U9" i="4"/>
  <c r="A9" i="4"/>
  <c r="S9" i="4"/>
  <c r="T9" i="4"/>
  <c r="B9" i="4"/>
  <c r="H132" i="4"/>
  <c r="F132" i="4"/>
  <c r="U132" i="4"/>
  <c r="P132" i="4"/>
  <c r="O132" i="4"/>
  <c r="N132" i="4"/>
  <c r="T132" i="4"/>
  <c r="S132" i="4"/>
  <c r="R132" i="4"/>
  <c r="M132" i="4"/>
  <c r="L132" i="4"/>
  <c r="K132" i="4"/>
  <c r="J132" i="4"/>
  <c r="C132" i="4"/>
  <c r="I132" i="4"/>
  <c r="D132" i="4"/>
  <c r="B132" i="4"/>
  <c r="A132" i="4"/>
  <c r="Q132" i="4"/>
  <c r="M111" i="4"/>
  <c r="T111" i="4"/>
  <c r="C111" i="4"/>
  <c r="S111" i="4"/>
  <c r="B111" i="4"/>
  <c r="R111" i="4"/>
  <c r="A111" i="4"/>
  <c r="Q111" i="4"/>
  <c r="P111" i="4"/>
  <c r="L111" i="4"/>
  <c r="K111" i="4"/>
  <c r="J111" i="4"/>
  <c r="I111" i="4"/>
  <c r="F111" i="4"/>
  <c r="D111" i="4"/>
  <c r="U111" i="4"/>
  <c r="H111" i="4"/>
  <c r="O111" i="4"/>
  <c r="N111" i="4"/>
  <c r="S121" i="4"/>
  <c r="C121" i="4"/>
  <c r="R121" i="4"/>
  <c r="B121" i="4"/>
  <c r="Q121" i="4"/>
  <c r="A121" i="4"/>
  <c r="P121" i="4"/>
  <c r="U121" i="4"/>
  <c r="T121" i="4"/>
  <c r="O121" i="4"/>
  <c r="N121" i="4"/>
  <c r="L121" i="4"/>
  <c r="K121" i="4"/>
  <c r="J121" i="4"/>
  <c r="I121" i="4"/>
  <c r="F121" i="4"/>
  <c r="H121" i="4"/>
  <c r="D121" i="4"/>
  <c r="M121" i="4"/>
  <c r="F133" i="4"/>
  <c r="U133" i="4"/>
  <c r="T133" i="4"/>
  <c r="D133" i="4"/>
  <c r="O133" i="4"/>
  <c r="N133" i="4"/>
  <c r="M133" i="4"/>
  <c r="S133" i="4"/>
  <c r="R133" i="4"/>
  <c r="Q133" i="4"/>
  <c r="P133" i="4"/>
  <c r="L133" i="4"/>
  <c r="J133" i="4"/>
  <c r="I133" i="4"/>
  <c r="H133" i="4"/>
  <c r="C133" i="4"/>
  <c r="K133" i="4"/>
  <c r="B133" i="4"/>
  <c r="A133" i="4"/>
  <c r="P60" i="4"/>
  <c r="U60" i="4"/>
  <c r="D60" i="4"/>
  <c r="T60" i="4"/>
  <c r="C60" i="4"/>
  <c r="S60" i="4"/>
  <c r="B60" i="4"/>
  <c r="R60" i="4"/>
  <c r="A60" i="4"/>
  <c r="Q60" i="4"/>
  <c r="O60" i="4"/>
  <c r="M60" i="4"/>
  <c r="L60" i="4"/>
  <c r="K60" i="4"/>
  <c r="J60" i="4"/>
  <c r="N60" i="4"/>
  <c r="H60" i="4"/>
  <c r="I60" i="4"/>
  <c r="F60" i="4"/>
  <c r="F70" i="4"/>
  <c r="O70" i="4"/>
  <c r="N70" i="4"/>
  <c r="M70" i="4"/>
  <c r="L70" i="4"/>
  <c r="K70" i="4"/>
  <c r="J70" i="4"/>
  <c r="U70" i="4"/>
  <c r="D70" i="4"/>
  <c r="R70" i="4"/>
  <c r="A70" i="4"/>
  <c r="S70" i="4"/>
  <c r="Q70" i="4"/>
  <c r="P70" i="4"/>
  <c r="I70" i="4"/>
  <c r="B70" i="4"/>
  <c r="T70" i="4"/>
  <c r="H70" i="4"/>
  <c r="C70" i="4"/>
  <c r="N62" i="4"/>
  <c r="F62" i="4"/>
  <c r="U62" i="4"/>
  <c r="D62" i="4"/>
  <c r="T62" i="4"/>
  <c r="C62" i="4"/>
  <c r="O62" i="4"/>
  <c r="M62" i="4"/>
  <c r="L62" i="4"/>
  <c r="I62" i="4"/>
  <c r="H62" i="4"/>
  <c r="B62" i="4"/>
  <c r="A62" i="4"/>
  <c r="S62" i="4"/>
  <c r="P62" i="4"/>
  <c r="J62" i="4"/>
  <c r="R62" i="4"/>
  <c r="Q62" i="4"/>
  <c r="K62" i="4"/>
  <c r="K129" i="4"/>
  <c r="J129" i="4"/>
  <c r="I129" i="4"/>
  <c r="H129" i="4"/>
  <c r="S129" i="4"/>
  <c r="R129" i="4"/>
  <c r="O129" i="4"/>
  <c r="N129" i="4"/>
  <c r="M129" i="4"/>
  <c r="L129" i="4"/>
  <c r="F129" i="4"/>
  <c r="D129" i="4"/>
  <c r="C129" i="4"/>
  <c r="B129" i="4"/>
  <c r="A129" i="4"/>
  <c r="T129" i="4"/>
  <c r="U129" i="4"/>
  <c r="Q129" i="4"/>
  <c r="P129" i="4"/>
  <c r="J66" i="4"/>
  <c r="K66" i="4"/>
  <c r="I66" i="4"/>
  <c r="H66" i="4"/>
  <c r="S66" i="4"/>
  <c r="B66" i="4"/>
  <c r="R66" i="4"/>
  <c r="A66" i="4"/>
  <c r="Q66" i="4"/>
  <c r="U66" i="4"/>
  <c r="T66" i="4"/>
  <c r="O66" i="4"/>
  <c r="N66" i="4"/>
  <c r="M66" i="4"/>
  <c r="L66" i="4"/>
  <c r="D66" i="4"/>
  <c r="P66" i="4"/>
  <c r="F66" i="4"/>
  <c r="C66" i="4"/>
  <c r="Q5" i="4"/>
  <c r="A5" i="4"/>
  <c r="P5" i="4"/>
  <c r="O5" i="4"/>
  <c r="N5" i="4"/>
  <c r="B5" i="4"/>
  <c r="U5" i="4"/>
  <c r="T5" i="4"/>
  <c r="S5" i="4"/>
  <c r="R5" i="4"/>
  <c r="M5" i="4"/>
  <c r="L5" i="4"/>
  <c r="J5" i="4"/>
  <c r="I5" i="4"/>
  <c r="H5" i="4"/>
  <c r="K5" i="4"/>
  <c r="F5" i="4"/>
  <c r="D5" i="4"/>
  <c r="C5" i="4"/>
  <c r="O77" i="4"/>
  <c r="F77" i="4"/>
  <c r="U77" i="4"/>
  <c r="D77" i="4"/>
  <c r="T77" i="4"/>
  <c r="C77" i="4"/>
  <c r="S77" i="4"/>
  <c r="B77" i="4"/>
  <c r="R77" i="4"/>
  <c r="A77" i="4"/>
  <c r="P77" i="4"/>
  <c r="N77" i="4"/>
  <c r="M77" i="4"/>
  <c r="L77" i="4"/>
  <c r="I77" i="4"/>
  <c r="Q77" i="4"/>
  <c r="K77" i="4"/>
  <c r="H77" i="4"/>
  <c r="J77" i="4"/>
  <c r="Q107" i="4"/>
  <c r="A107" i="4"/>
  <c r="O107" i="4"/>
  <c r="N107" i="4"/>
  <c r="M107" i="4"/>
  <c r="L107" i="4"/>
  <c r="F107" i="4"/>
  <c r="U107" i="4"/>
  <c r="T107" i="4"/>
  <c r="S107" i="4"/>
  <c r="R107" i="4"/>
  <c r="P107" i="4"/>
  <c r="J107" i="4"/>
  <c r="I107" i="4"/>
  <c r="H107" i="4"/>
  <c r="D107" i="4"/>
  <c r="K107" i="4"/>
  <c r="C107" i="4"/>
  <c r="B107" i="4"/>
  <c r="U146" i="4"/>
  <c r="T146" i="4"/>
  <c r="D146" i="4"/>
  <c r="S146" i="4"/>
  <c r="C146" i="4"/>
  <c r="R146" i="4"/>
  <c r="B146" i="4"/>
  <c r="Q146" i="4"/>
  <c r="P146" i="4"/>
  <c r="O146" i="4"/>
  <c r="N146" i="4"/>
  <c r="M146" i="4"/>
  <c r="J146" i="4"/>
  <c r="I146" i="4"/>
  <c r="H146" i="4"/>
  <c r="K146" i="4"/>
  <c r="F146" i="4"/>
  <c r="A146" i="4"/>
  <c r="L146" i="4"/>
  <c r="L52" i="4"/>
  <c r="K52" i="4"/>
  <c r="J52" i="4"/>
  <c r="I52" i="4"/>
  <c r="H52" i="4"/>
  <c r="F52" i="4"/>
  <c r="D52" i="4"/>
  <c r="C52" i="4"/>
  <c r="U52" i="4"/>
  <c r="A52" i="4"/>
  <c r="T52" i="4"/>
  <c r="S52" i="4"/>
  <c r="R52" i="4"/>
  <c r="O52" i="4"/>
  <c r="Q52" i="4"/>
  <c r="P52" i="4"/>
  <c r="N52" i="4"/>
  <c r="M52" i="4"/>
  <c r="B52" i="4"/>
  <c r="L10" i="4"/>
  <c r="K10" i="4"/>
  <c r="J10" i="4"/>
  <c r="I10" i="4"/>
  <c r="D10" i="4"/>
  <c r="C10" i="4"/>
  <c r="B10" i="4"/>
  <c r="U10" i="4"/>
  <c r="A10" i="4"/>
  <c r="T10" i="4"/>
  <c r="S10" i="4"/>
  <c r="Q10" i="4"/>
  <c r="P10" i="4"/>
  <c r="O10" i="4"/>
  <c r="N10" i="4"/>
  <c r="H10" i="4"/>
  <c r="R10" i="4"/>
  <c r="M10" i="4"/>
  <c r="F10" i="4"/>
  <c r="T136" i="4"/>
  <c r="D136" i="4"/>
  <c r="S136" i="4"/>
  <c r="C136" i="4"/>
  <c r="R136" i="4"/>
  <c r="B136" i="4"/>
  <c r="Q136" i="4"/>
  <c r="A136" i="4"/>
  <c r="L136" i="4"/>
  <c r="K136" i="4"/>
  <c r="J136" i="4"/>
  <c r="H136" i="4"/>
  <c r="F136" i="4"/>
  <c r="U136" i="4"/>
  <c r="N136" i="4"/>
  <c r="P136" i="4"/>
  <c r="O136" i="4"/>
  <c r="M136" i="4"/>
  <c r="I136" i="4"/>
  <c r="U43" i="4"/>
  <c r="S43" i="4"/>
  <c r="C43" i="4"/>
  <c r="Q43" i="4"/>
  <c r="P43" i="4"/>
  <c r="O43" i="4"/>
  <c r="N43" i="4"/>
  <c r="M43" i="4"/>
  <c r="L43" i="4"/>
  <c r="J43" i="4"/>
  <c r="I43" i="4"/>
  <c r="H43" i="4"/>
  <c r="B43" i="4"/>
  <c r="T43" i="4"/>
  <c r="R43" i="4"/>
  <c r="K43" i="4"/>
  <c r="F43" i="4"/>
  <c r="D43" i="4"/>
  <c r="A43" i="4"/>
  <c r="T88" i="4"/>
  <c r="D88" i="4"/>
  <c r="S88" i="4"/>
  <c r="C88" i="4"/>
  <c r="R88" i="4"/>
  <c r="B88" i="4"/>
  <c r="Q88" i="4"/>
  <c r="A88" i="4"/>
  <c r="O88" i="4"/>
  <c r="N88" i="4"/>
  <c r="M88" i="4"/>
  <c r="L88" i="4"/>
  <c r="K88" i="4"/>
  <c r="J88" i="4"/>
  <c r="H88" i="4"/>
  <c r="F88" i="4"/>
  <c r="U88" i="4"/>
  <c r="P88" i="4"/>
  <c r="I88" i="4"/>
  <c r="P76" i="4"/>
  <c r="U76" i="4"/>
  <c r="D76" i="4"/>
  <c r="T76" i="4"/>
  <c r="C76" i="4"/>
  <c r="S76" i="4"/>
  <c r="B76" i="4"/>
  <c r="R76" i="4"/>
  <c r="A76" i="4"/>
  <c r="Q76" i="4"/>
  <c r="N76" i="4"/>
  <c r="M76" i="4"/>
  <c r="L76" i="4"/>
  <c r="K76" i="4"/>
  <c r="H76" i="4"/>
  <c r="I76" i="4"/>
  <c r="F76" i="4"/>
  <c r="O76" i="4"/>
  <c r="J76" i="4"/>
  <c r="R74" i="4"/>
  <c r="B74" i="4"/>
  <c r="T74" i="4"/>
  <c r="C74" i="4"/>
  <c r="S74" i="4"/>
  <c r="A74" i="4"/>
  <c r="Q74" i="4"/>
  <c r="P74" i="4"/>
  <c r="O74" i="4"/>
  <c r="N74" i="4"/>
  <c r="L74" i="4"/>
  <c r="K74" i="4"/>
  <c r="J74" i="4"/>
  <c r="I74" i="4"/>
  <c r="F74" i="4"/>
  <c r="U74" i="4"/>
  <c r="M74" i="4"/>
  <c r="H74" i="4"/>
  <c r="D74" i="4"/>
  <c r="L139" i="4"/>
  <c r="S139" i="4"/>
  <c r="B139" i="4"/>
  <c r="R139" i="4"/>
  <c r="A139" i="4"/>
  <c r="Q139" i="4"/>
  <c r="P139" i="4"/>
  <c r="O139" i="4"/>
  <c r="J139" i="4"/>
  <c r="I139" i="4"/>
  <c r="H139" i="4"/>
  <c r="D139" i="4"/>
  <c r="C139" i="4"/>
  <c r="U139" i="4"/>
  <c r="T139" i="4"/>
  <c r="K139" i="4"/>
  <c r="N139" i="4"/>
  <c r="M139" i="4"/>
  <c r="F139" i="4"/>
  <c r="J28" i="4"/>
  <c r="I28" i="4"/>
  <c r="H28" i="4"/>
  <c r="F28" i="4"/>
  <c r="U28" i="4"/>
  <c r="S28" i="4"/>
  <c r="C28" i="4"/>
  <c r="R28" i="4"/>
  <c r="B28" i="4"/>
  <c r="Q28" i="4"/>
  <c r="A28" i="4"/>
  <c r="P28" i="4"/>
  <c r="M28" i="4"/>
  <c r="N28" i="4"/>
  <c r="L28" i="4"/>
  <c r="K28" i="4"/>
  <c r="D28" i="4"/>
  <c r="T28" i="4"/>
  <c r="O28" i="4"/>
  <c r="O49" i="4"/>
  <c r="N49" i="4"/>
  <c r="M49" i="4"/>
  <c r="L49" i="4"/>
  <c r="C49" i="4"/>
  <c r="B49" i="4"/>
  <c r="U49" i="4"/>
  <c r="A49" i="4"/>
  <c r="T49" i="4"/>
  <c r="S49" i="4"/>
  <c r="R49" i="4"/>
  <c r="P49" i="4"/>
  <c r="K49" i="4"/>
  <c r="J49" i="4"/>
  <c r="I49" i="4"/>
  <c r="F49" i="4"/>
  <c r="Q49" i="4"/>
  <c r="H49" i="4"/>
  <c r="D49" i="4"/>
  <c r="K113" i="4"/>
  <c r="U113" i="4"/>
  <c r="D113" i="4"/>
  <c r="T113" i="4"/>
  <c r="C113" i="4"/>
  <c r="S113" i="4"/>
  <c r="B113" i="4"/>
  <c r="R113" i="4"/>
  <c r="A113" i="4"/>
  <c r="Q113" i="4"/>
  <c r="O113" i="4"/>
  <c r="N113" i="4"/>
  <c r="M113" i="4"/>
  <c r="L113" i="4"/>
  <c r="H113" i="4"/>
  <c r="P113" i="4"/>
  <c r="I113" i="4"/>
  <c r="F113" i="4"/>
  <c r="J113" i="4"/>
  <c r="F42" i="4"/>
  <c r="T42" i="4"/>
  <c r="D42" i="4"/>
  <c r="N42" i="4"/>
  <c r="M42" i="4"/>
  <c r="L42" i="4"/>
  <c r="K42" i="4"/>
  <c r="J42" i="4"/>
  <c r="I42" i="4"/>
  <c r="C42" i="4"/>
  <c r="U42" i="4"/>
  <c r="B42" i="4"/>
  <c r="Q42" i="4"/>
  <c r="S42" i="4"/>
  <c r="R42" i="4"/>
  <c r="P42" i="4"/>
  <c r="O42" i="4"/>
  <c r="A42" i="4"/>
  <c r="H42" i="4"/>
  <c r="H30" i="4"/>
  <c r="F30" i="4"/>
  <c r="U30" i="4"/>
  <c r="T30" i="4"/>
  <c r="D30" i="4"/>
  <c r="S30" i="4"/>
  <c r="C30" i="4"/>
  <c r="Q30" i="4"/>
  <c r="A30" i="4"/>
  <c r="P30" i="4"/>
  <c r="O30" i="4"/>
  <c r="N30" i="4"/>
  <c r="K30" i="4"/>
  <c r="R30" i="4"/>
  <c r="M30" i="4"/>
  <c r="J30" i="4"/>
  <c r="L30" i="4"/>
  <c r="I30" i="4"/>
  <c r="B30" i="4"/>
  <c r="T104" i="4"/>
  <c r="D104" i="4"/>
  <c r="L104" i="4"/>
  <c r="K104" i="4"/>
  <c r="J104" i="4"/>
  <c r="I104" i="4"/>
  <c r="U104" i="4"/>
  <c r="C104" i="4"/>
  <c r="S104" i="4"/>
  <c r="B104" i="4"/>
  <c r="R104" i="4"/>
  <c r="A104" i="4"/>
  <c r="Q104" i="4"/>
  <c r="P104" i="4"/>
  <c r="O104" i="4"/>
  <c r="N104" i="4"/>
  <c r="M104" i="4"/>
  <c r="H104" i="4"/>
  <c r="F104" i="4"/>
  <c r="Q75" i="4"/>
  <c r="A75" i="4"/>
  <c r="U75" i="4"/>
  <c r="D75" i="4"/>
  <c r="T75" i="4"/>
  <c r="C75" i="4"/>
  <c r="S75" i="4"/>
  <c r="B75" i="4"/>
  <c r="R75" i="4"/>
  <c r="P75" i="4"/>
  <c r="O75" i="4"/>
  <c r="M75" i="4"/>
  <c r="L75" i="4"/>
  <c r="K75" i="4"/>
  <c r="J75" i="4"/>
  <c r="N75" i="4"/>
  <c r="I75" i="4"/>
  <c r="H75" i="4"/>
  <c r="F75" i="4"/>
  <c r="A100" i="5" l="1"/>
  <c r="W100" i="4"/>
  <c r="X100" i="4" s="1"/>
  <c r="G100" i="4"/>
  <c r="V100" i="4"/>
  <c r="Y100" i="4" s="1"/>
  <c r="E100" i="4"/>
  <c r="AD100" i="4"/>
  <c r="AB100" i="4"/>
  <c r="AA100" i="4"/>
  <c r="Z100" i="4"/>
  <c r="A72" i="5"/>
  <c r="AD72" i="4"/>
  <c r="AA72" i="4"/>
  <c r="Z72" i="4"/>
  <c r="G72" i="4"/>
  <c r="AB72" i="4"/>
  <c r="W72" i="4"/>
  <c r="X72" i="4" s="1"/>
  <c r="V72" i="4"/>
  <c r="Y72" i="4" s="1"/>
  <c r="E72" i="4"/>
  <c r="A41" i="5"/>
  <c r="W41" i="4"/>
  <c r="X41" i="4" s="1"/>
  <c r="G41" i="4"/>
  <c r="E41" i="4"/>
  <c r="AB41" i="4"/>
  <c r="AA41" i="4"/>
  <c r="Z41" i="4"/>
  <c r="AD41" i="4"/>
  <c r="V41" i="4"/>
  <c r="Y41" i="4" s="1"/>
  <c r="A66" i="5"/>
  <c r="Z66" i="4"/>
  <c r="AB66" i="4"/>
  <c r="AA66" i="4"/>
  <c r="Y66" i="4"/>
  <c r="G66" i="4"/>
  <c r="AD66" i="4"/>
  <c r="W66" i="4"/>
  <c r="X66" i="4" s="1"/>
  <c r="V66" i="4"/>
  <c r="E66" i="4"/>
  <c r="A54" i="5"/>
  <c r="Z54" i="4"/>
  <c r="Y54" i="4"/>
  <c r="W54" i="4"/>
  <c r="X54" i="4" s="1"/>
  <c r="G54" i="4"/>
  <c r="AD54" i="4"/>
  <c r="E54" i="4"/>
  <c r="AB54" i="4"/>
  <c r="AA54" i="4"/>
  <c r="V54" i="4"/>
  <c r="A48" i="5"/>
  <c r="AD48" i="4"/>
  <c r="AB48" i="4"/>
  <c r="AA48" i="4"/>
  <c r="G48" i="4"/>
  <c r="Y48" i="4"/>
  <c r="E48" i="4"/>
  <c r="X48" i="4"/>
  <c r="W48" i="4"/>
  <c r="V48" i="4"/>
  <c r="Z48" i="4"/>
  <c r="A143" i="5"/>
  <c r="X143" i="4"/>
  <c r="W143" i="4"/>
  <c r="V143" i="4"/>
  <c r="E143" i="4"/>
  <c r="AF143" i="4"/>
  <c r="AE143" i="4"/>
  <c r="AD143" i="4"/>
  <c r="AA143" i="4"/>
  <c r="AC143" i="4"/>
  <c r="AB143" i="4"/>
  <c r="Z143" i="4"/>
  <c r="Y143" i="4"/>
  <c r="G143" i="4"/>
  <c r="A35" i="5"/>
  <c r="AB35" i="4"/>
  <c r="AA35" i="4"/>
  <c r="Z35" i="4"/>
  <c r="X35" i="4"/>
  <c r="G35" i="4"/>
  <c r="W35" i="4"/>
  <c r="AD35" i="4"/>
  <c r="V35" i="4"/>
  <c r="Y35" i="4" s="1"/>
  <c r="E35" i="4"/>
  <c r="A56" i="5"/>
  <c r="W56" i="4"/>
  <c r="X56" i="4" s="1"/>
  <c r="G56" i="4"/>
  <c r="V56" i="4"/>
  <c r="E56" i="4"/>
  <c r="AB56" i="4"/>
  <c r="AA56" i="4"/>
  <c r="Z56" i="4"/>
  <c r="Y56" i="4"/>
  <c r="AD56" i="4"/>
  <c r="Z6" i="5"/>
  <c r="J6" i="5"/>
  <c r="S6" i="5"/>
  <c r="U6" i="5" s="1"/>
  <c r="B6" i="5"/>
  <c r="Q6" i="5"/>
  <c r="P6" i="5"/>
  <c r="R6" i="5" s="1"/>
  <c r="Y6" i="5"/>
  <c r="AA6" i="5" s="1"/>
  <c r="N6" i="5"/>
  <c r="M6" i="5"/>
  <c r="O6" i="5" s="1"/>
  <c r="AC6" i="4" s="1"/>
  <c r="AE6" i="4" s="1"/>
  <c r="AF6" i="4" s="1"/>
  <c r="K6" i="5"/>
  <c r="L6" i="5" s="1"/>
  <c r="AD6" i="5"/>
  <c r="G6" i="5"/>
  <c r="AC6" i="5"/>
  <c r="AB6" i="5"/>
  <c r="E6" i="5"/>
  <c r="D6" i="5"/>
  <c r="F6" i="5" s="1"/>
  <c r="V6" i="5"/>
  <c r="AE6" i="5"/>
  <c r="AG6" i="5" s="1"/>
  <c r="X6" i="5"/>
  <c r="W6" i="5"/>
  <c r="H6" i="5"/>
  <c r="AF6" i="5"/>
  <c r="T6" i="5"/>
  <c r="I6" i="5"/>
  <c r="C6" i="5"/>
  <c r="A61" i="5"/>
  <c r="V61" i="4"/>
  <c r="E61" i="4"/>
  <c r="AB61" i="4"/>
  <c r="AD61" i="4"/>
  <c r="AA61" i="4"/>
  <c r="Z61" i="4"/>
  <c r="Y61" i="4"/>
  <c r="W61" i="4"/>
  <c r="X61" i="4" s="1"/>
  <c r="G61" i="4"/>
  <c r="A52" i="5"/>
  <c r="AB52" i="4"/>
  <c r="AA52" i="4"/>
  <c r="Z52" i="4"/>
  <c r="G52" i="4"/>
  <c r="AD52" i="4"/>
  <c r="E52" i="4"/>
  <c r="X52" i="4"/>
  <c r="W52" i="4"/>
  <c r="V52" i="4"/>
  <c r="Y52" i="4" s="1"/>
  <c r="A24" i="5"/>
  <c r="AD24" i="4"/>
  <c r="AB24" i="4"/>
  <c r="AA24" i="4"/>
  <c r="Z24" i="4"/>
  <c r="Y24" i="4"/>
  <c r="W24" i="4"/>
  <c r="V24" i="4"/>
  <c r="E24" i="4"/>
  <c r="X24" i="4"/>
  <c r="G24" i="4"/>
  <c r="A125" i="5"/>
  <c r="AE125" i="4"/>
  <c r="AD125" i="4"/>
  <c r="AC125" i="4"/>
  <c r="AB125" i="4"/>
  <c r="AF125" i="4"/>
  <c r="AA125" i="4"/>
  <c r="G125" i="4"/>
  <c r="Z125" i="4"/>
  <c r="Y125" i="4"/>
  <c r="E125" i="4"/>
  <c r="V125" i="4"/>
  <c r="X125" i="4"/>
  <c r="W125" i="4"/>
  <c r="A110" i="5"/>
  <c r="AD110" i="4"/>
  <c r="AB110" i="4"/>
  <c r="AA110" i="4"/>
  <c r="Z110" i="4"/>
  <c r="Y110" i="4"/>
  <c r="V110" i="4"/>
  <c r="E110" i="4"/>
  <c r="X110" i="4"/>
  <c r="W110" i="4"/>
  <c r="G110" i="4"/>
  <c r="A74" i="5"/>
  <c r="AB74" i="4"/>
  <c r="AA74" i="4"/>
  <c r="Z74" i="4"/>
  <c r="W74" i="4"/>
  <c r="X74" i="4" s="1"/>
  <c r="V74" i="4"/>
  <c r="Y74" i="4" s="1"/>
  <c r="G74" i="4"/>
  <c r="E74" i="4"/>
  <c r="AD74" i="4"/>
  <c r="A76" i="5"/>
  <c r="V76" i="4"/>
  <c r="E76" i="4"/>
  <c r="AD76" i="4"/>
  <c r="AB76" i="4"/>
  <c r="Y76" i="4"/>
  <c r="G76" i="4"/>
  <c r="AA76" i="4"/>
  <c r="W76" i="4"/>
  <c r="Z76" i="4"/>
  <c r="X76" i="4"/>
  <c r="A62" i="5"/>
  <c r="AD62" i="4"/>
  <c r="W62" i="4"/>
  <c r="V62" i="4"/>
  <c r="E62" i="4"/>
  <c r="G62" i="4"/>
  <c r="AB62" i="4"/>
  <c r="Z62" i="4"/>
  <c r="Y62" i="4"/>
  <c r="X62" i="4"/>
  <c r="AA62" i="4"/>
  <c r="A84" i="5"/>
  <c r="X84" i="4"/>
  <c r="W84" i="4"/>
  <c r="G84" i="4"/>
  <c r="V84" i="4"/>
  <c r="E84" i="4"/>
  <c r="AD84" i="4"/>
  <c r="Z84" i="4"/>
  <c r="AA84" i="4"/>
  <c r="Y84" i="4"/>
  <c r="AB84" i="4"/>
  <c r="A150" i="5"/>
  <c r="AF150" i="4"/>
  <c r="AE150" i="4"/>
  <c r="AD150" i="4"/>
  <c r="AC150" i="4"/>
  <c r="Z150" i="4"/>
  <c r="Y150" i="4"/>
  <c r="E150" i="4"/>
  <c r="X150" i="4"/>
  <c r="W150" i="4"/>
  <c r="G150" i="4"/>
  <c r="AA150" i="4"/>
  <c r="AB150" i="4"/>
  <c r="V150" i="4"/>
  <c r="D5" i="9"/>
  <c r="D6" i="9"/>
  <c r="D7" i="9"/>
  <c r="C7" i="9"/>
  <c r="C8" i="9"/>
  <c r="D8" i="9"/>
  <c r="C5" i="9"/>
  <c r="C6" i="9"/>
  <c r="C39" i="2"/>
  <c r="D42" i="2"/>
  <c r="C42" i="2"/>
  <c r="C40" i="2"/>
  <c r="D41" i="2"/>
  <c r="C41" i="2"/>
  <c r="D39" i="2"/>
  <c r="D40" i="2"/>
  <c r="A63" i="5"/>
  <c r="X63" i="4"/>
  <c r="G63" i="4"/>
  <c r="W63" i="4"/>
  <c r="V63" i="4"/>
  <c r="E63" i="4"/>
  <c r="AD63" i="4"/>
  <c r="AB63" i="4"/>
  <c r="AA63" i="4"/>
  <c r="Y63" i="4"/>
  <c r="Z63" i="4"/>
  <c r="A7" i="5"/>
  <c r="AD7" i="4"/>
  <c r="AB7" i="4"/>
  <c r="AA7" i="4"/>
  <c r="G7" i="4"/>
  <c r="Z7" i="4"/>
  <c r="E7" i="4"/>
  <c r="W7" i="4"/>
  <c r="X7" i="4" s="1"/>
  <c r="V7" i="4"/>
  <c r="Y7" i="4" s="1"/>
  <c r="A44" i="5"/>
  <c r="V44" i="4"/>
  <c r="Y44" i="4" s="1"/>
  <c r="AD44" i="4"/>
  <c r="AB44" i="4"/>
  <c r="G44" i="4"/>
  <c r="AA44" i="4"/>
  <c r="Z44" i="4"/>
  <c r="W44" i="4"/>
  <c r="X44" i="4" s="1"/>
  <c r="E44" i="4"/>
  <c r="A23" i="5"/>
  <c r="AD23" i="4"/>
  <c r="AB23" i="4"/>
  <c r="AA23" i="4"/>
  <c r="Z23" i="4"/>
  <c r="W23" i="4"/>
  <c r="X23" i="4" s="1"/>
  <c r="G23" i="4"/>
  <c r="V23" i="4"/>
  <c r="Y23" i="4" s="1"/>
  <c r="E23" i="4"/>
  <c r="A88" i="5"/>
  <c r="AD88" i="4"/>
  <c r="AB88" i="4"/>
  <c r="AA88" i="4"/>
  <c r="G88" i="4"/>
  <c r="Z88" i="4"/>
  <c r="Y88" i="4"/>
  <c r="E88" i="4"/>
  <c r="V88" i="4"/>
  <c r="W88" i="4"/>
  <c r="X88" i="4" s="1"/>
  <c r="A131" i="5"/>
  <c r="Y131" i="4"/>
  <c r="X131" i="4"/>
  <c r="W131" i="4"/>
  <c r="G131" i="4"/>
  <c r="V131" i="4"/>
  <c r="AF131" i="4"/>
  <c r="AE131" i="4"/>
  <c r="AD131" i="4"/>
  <c r="AC131" i="4"/>
  <c r="AB131" i="4"/>
  <c r="AA131" i="4"/>
  <c r="Z131" i="4"/>
  <c r="E131" i="4"/>
  <c r="A89" i="5"/>
  <c r="Z89" i="4"/>
  <c r="E89" i="4"/>
  <c r="X89" i="4"/>
  <c r="W89" i="4"/>
  <c r="V89" i="4"/>
  <c r="Y89" i="4" s="1"/>
  <c r="AD89" i="4"/>
  <c r="AB89" i="4"/>
  <c r="AA89" i="4"/>
  <c r="G89" i="4"/>
  <c r="A90" i="5"/>
  <c r="AD90" i="4"/>
  <c r="AB90" i="4"/>
  <c r="Z90" i="4"/>
  <c r="E90" i="4"/>
  <c r="W90" i="4"/>
  <c r="X90" i="4" s="1"/>
  <c r="AA90" i="4"/>
  <c r="V90" i="4"/>
  <c r="Y90" i="4" s="1"/>
  <c r="G90" i="4"/>
  <c r="A108" i="5"/>
  <c r="AD108" i="4"/>
  <c r="X108" i="4"/>
  <c r="G108" i="4"/>
  <c r="W108" i="4"/>
  <c r="E108" i="4"/>
  <c r="AA108" i="4"/>
  <c r="V108" i="4"/>
  <c r="Y108" i="4" s="1"/>
  <c r="Z108" i="4"/>
  <c r="AB108" i="4"/>
  <c r="A141" i="5"/>
  <c r="Z141" i="4"/>
  <c r="AE141" i="4"/>
  <c r="AD141" i="4"/>
  <c r="AC141" i="4"/>
  <c r="AB141" i="4"/>
  <c r="X141" i="4"/>
  <c r="G141" i="4"/>
  <c r="E141" i="4"/>
  <c r="AF141" i="4"/>
  <c r="AA141" i="4"/>
  <c r="Y141" i="4"/>
  <c r="W141" i="4"/>
  <c r="V141" i="4"/>
  <c r="A104" i="5"/>
  <c r="AB104" i="4"/>
  <c r="AA104" i="4"/>
  <c r="Z104" i="4"/>
  <c r="AD104" i="4"/>
  <c r="X104" i="4"/>
  <c r="W104" i="4"/>
  <c r="G104" i="4"/>
  <c r="V104" i="4"/>
  <c r="Y104" i="4" s="1"/>
  <c r="E104" i="4"/>
  <c r="C5" i="2"/>
  <c r="A70" i="5"/>
  <c r="V70" i="4"/>
  <c r="Y70" i="4" s="1"/>
  <c r="AD70" i="4"/>
  <c r="AB70" i="4"/>
  <c r="AA70" i="4"/>
  <c r="G70" i="4"/>
  <c r="W70" i="4"/>
  <c r="X70" i="4" s="1"/>
  <c r="E70" i="4"/>
  <c r="Z70" i="4"/>
  <c r="A111" i="5"/>
  <c r="AD111" i="4"/>
  <c r="AB111" i="4"/>
  <c r="AA111" i="4"/>
  <c r="Z111" i="4"/>
  <c r="W111" i="4"/>
  <c r="X111" i="4" s="1"/>
  <c r="Y111" i="4"/>
  <c r="V111" i="4"/>
  <c r="G111" i="4"/>
  <c r="E111" i="4"/>
  <c r="A55" i="5"/>
  <c r="X55" i="4"/>
  <c r="W55" i="4"/>
  <c r="G55" i="4"/>
  <c r="V55" i="4"/>
  <c r="Y55" i="4" s="1"/>
  <c r="AD55" i="4"/>
  <c r="E55" i="4"/>
  <c r="AB55" i="4"/>
  <c r="AA55" i="4"/>
  <c r="Z55" i="4"/>
  <c r="A95" i="5"/>
  <c r="AB95" i="4"/>
  <c r="AA95" i="4"/>
  <c r="Z95" i="4"/>
  <c r="G95" i="4"/>
  <c r="AD95" i="4"/>
  <c r="W95" i="4"/>
  <c r="X95" i="4" s="1"/>
  <c r="Y95" i="4"/>
  <c r="V95" i="4"/>
  <c r="E95" i="4"/>
  <c r="A140" i="5"/>
  <c r="AA140" i="4"/>
  <c r="AC140" i="4"/>
  <c r="AB140" i="4"/>
  <c r="Z140" i="4"/>
  <c r="E140" i="4"/>
  <c r="AF140" i="4"/>
  <c r="AE140" i="4"/>
  <c r="AD140" i="4"/>
  <c r="X140" i="4"/>
  <c r="W140" i="4"/>
  <c r="V140" i="4"/>
  <c r="Y140" i="4"/>
  <c r="G140" i="4"/>
  <c r="A85" i="5"/>
  <c r="W85" i="4"/>
  <c r="G85" i="4"/>
  <c r="V85" i="4"/>
  <c r="E85" i="4"/>
  <c r="AD85" i="4"/>
  <c r="AB85" i="4"/>
  <c r="AA85" i="4"/>
  <c r="Z85" i="4"/>
  <c r="Y85" i="4"/>
  <c r="X85" i="4"/>
  <c r="A109" i="5"/>
  <c r="AD109" i="4"/>
  <c r="AA109" i="4"/>
  <c r="Z109" i="4"/>
  <c r="G109" i="4"/>
  <c r="V109" i="4"/>
  <c r="Y109" i="4" s="1"/>
  <c r="E109" i="4"/>
  <c r="AB109" i="4"/>
  <c r="W109" i="4"/>
  <c r="X109" i="4" s="1"/>
  <c r="A58" i="5"/>
  <c r="V58" i="4"/>
  <c r="Y58" i="4" s="1"/>
  <c r="E58" i="4"/>
  <c r="Z58" i="4"/>
  <c r="X58" i="4"/>
  <c r="W58" i="4"/>
  <c r="AD58" i="4"/>
  <c r="AB58" i="4"/>
  <c r="AA58" i="4"/>
  <c r="G58" i="4"/>
  <c r="A112" i="5"/>
  <c r="AB112" i="4"/>
  <c r="AD112" i="4"/>
  <c r="AA112" i="4"/>
  <c r="G112" i="4"/>
  <c r="E112" i="4"/>
  <c r="W112" i="4"/>
  <c r="X112" i="4" s="1"/>
  <c r="V112" i="4"/>
  <c r="Z112" i="4"/>
  <c r="Y112" i="4"/>
  <c r="A117" i="5"/>
  <c r="W117" i="4"/>
  <c r="G117" i="4"/>
  <c r="AA117" i="4"/>
  <c r="Z117" i="4"/>
  <c r="Y117" i="4"/>
  <c r="X117" i="4"/>
  <c r="V117" i="4"/>
  <c r="E117" i="4"/>
  <c r="AD117" i="4"/>
  <c r="AB117" i="4"/>
  <c r="A151" i="5"/>
  <c r="AF151" i="4"/>
  <c r="AE151" i="4"/>
  <c r="AD151" i="4"/>
  <c r="AC151" i="4"/>
  <c r="X151" i="4"/>
  <c r="W151" i="4"/>
  <c r="V151" i="4"/>
  <c r="AA151" i="4"/>
  <c r="G151" i="4"/>
  <c r="AB151" i="4"/>
  <c r="Z151" i="4"/>
  <c r="Y151" i="4"/>
  <c r="E151" i="4"/>
  <c r="A36" i="5"/>
  <c r="AB36" i="4"/>
  <c r="AD36" i="4"/>
  <c r="AA36" i="4"/>
  <c r="Z36" i="4"/>
  <c r="X36" i="4"/>
  <c r="G36" i="4"/>
  <c r="V36" i="4"/>
  <c r="Y36" i="4" s="1"/>
  <c r="E36" i="4"/>
  <c r="W36" i="4"/>
  <c r="A118" i="5"/>
  <c r="V118" i="4"/>
  <c r="E118" i="4"/>
  <c r="AD118" i="4"/>
  <c r="AA118" i="4"/>
  <c r="G118" i="4"/>
  <c r="Z118" i="4"/>
  <c r="Y118" i="4"/>
  <c r="X118" i="4"/>
  <c r="AB118" i="4"/>
  <c r="W118" i="4"/>
  <c r="A64" i="5"/>
  <c r="AB64" i="4"/>
  <c r="G64" i="4"/>
  <c r="W64" i="4"/>
  <c r="X64" i="4" s="1"/>
  <c r="V64" i="4"/>
  <c r="Y64" i="4" s="1"/>
  <c r="E64" i="4"/>
  <c r="AD64" i="4"/>
  <c r="AA64" i="4"/>
  <c r="Z64" i="4"/>
  <c r="A47" i="5"/>
  <c r="AD47" i="4"/>
  <c r="E47" i="4"/>
  <c r="X47" i="4"/>
  <c r="W47" i="4"/>
  <c r="V47" i="4"/>
  <c r="Y47" i="4" s="1"/>
  <c r="AB47" i="4"/>
  <c r="G47" i="4"/>
  <c r="AA47" i="4"/>
  <c r="Z47" i="4"/>
  <c r="A149" i="5"/>
  <c r="AF149" i="4"/>
  <c r="AE149" i="4"/>
  <c r="Z149" i="4"/>
  <c r="Y149" i="4"/>
  <c r="E149" i="4"/>
  <c r="X149" i="4"/>
  <c r="W149" i="4"/>
  <c r="V149" i="4"/>
  <c r="AC149" i="4"/>
  <c r="AD149" i="4"/>
  <c r="AA149" i="4"/>
  <c r="G149" i="4"/>
  <c r="AB149" i="4"/>
  <c r="A20" i="5"/>
  <c r="AD20" i="4"/>
  <c r="Z20" i="4"/>
  <c r="X20" i="4"/>
  <c r="G20" i="4"/>
  <c r="E20" i="4"/>
  <c r="AB20" i="4"/>
  <c r="AA20" i="4"/>
  <c r="W20" i="4"/>
  <c r="V20" i="4"/>
  <c r="Y20" i="4" s="1"/>
  <c r="A126" i="5"/>
  <c r="AD126" i="4"/>
  <c r="AC126" i="4"/>
  <c r="AB126" i="4"/>
  <c r="AA126" i="4"/>
  <c r="Z126" i="4"/>
  <c r="Y126" i="4"/>
  <c r="E126" i="4"/>
  <c r="X126" i="4"/>
  <c r="W126" i="4"/>
  <c r="V126" i="4"/>
  <c r="AF126" i="4"/>
  <c r="AE126" i="4"/>
  <c r="G126" i="4"/>
  <c r="A114" i="5"/>
  <c r="Z114" i="4"/>
  <c r="W114" i="4"/>
  <c r="X114" i="4" s="1"/>
  <c r="V114" i="4"/>
  <c r="Y114" i="4" s="1"/>
  <c r="E114" i="4"/>
  <c r="AD114" i="4"/>
  <c r="AA114" i="4"/>
  <c r="AB114" i="4"/>
  <c r="G114" i="4"/>
  <c r="A99" i="5"/>
  <c r="W99" i="4"/>
  <c r="X99" i="4" s="1"/>
  <c r="G99" i="4"/>
  <c r="V99" i="4"/>
  <c r="Y99" i="4" s="1"/>
  <c r="Z99" i="4"/>
  <c r="E99" i="4"/>
  <c r="AD99" i="4"/>
  <c r="AB99" i="4"/>
  <c r="AA99" i="4"/>
  <c r="AC137" i="5"/>
  <c r="M137" i="5"/>
  <c r="AD137" i="5"/>
  <c r="L137" i="5"/>
  <c r="AB137" i="5"/>
  <c r="K137" i="5"/>
  <c r="AI137" i="5"/>
  <c r="P137" i="5"/>
  <c r="AH137" i="5"/>
  <c r="O137" i="5"/>
  <c r="AG137" i="5"/>
  <c r="N137" i="5"/>
  <c r="AE137" i="5"/>
  <c r="I137" i="5"/>
  <c r="U137" i="5"/>
  <c r="T137" i="5"/>
  <c r="S137" i="5"/>
  <c r="R137" i="5"/>
  <c r="Q137" i="5"/>
  <c r="Z137" i="5"/>
  <c r="C137" i="5"/>
  <c r="AF137" i="5"/>
  <c r="AA137" i="5"/>
  <c r="Y137" i="5"/>
  <c r="X137" i="5"/>
  <c r="W137" i="5"/>
  <c r="J137" i="5"/>
  <c r="H137" i="5"/>
  <c r="E137" i="5"/>
  <c r="D137" i="5"/>
  <c r="B137" i="5"/>
  <c r="V137" i="5"/>
  <c r="G137" i="5"/>
  <c r="F137" i="5"/>
  <c r="A46" i="5"/>
  <c r="AD46" i="4"/>
  <c r="AA46" i="4"/>
  <c r="G46" i="4"/>
  <c r="Z46" i="4"/>
  <c r="Y46" i="4"/>
  <c r="E46" i="4"/>
  <c r="X46" i="4"/>
  <c r="AB46" i="4"/>
  <c r="W46" i="4"/>
  <c r="V46" i="4"/>
  <c r="A83" i="5"/>
  <c r="X83" i="4"/>
  <c r="W83" i="4"/>
  <c r="AD83" i="4"/>
  <c r="AB83" i="4"/>
  <c r="AA83" i="4"/>
  <c r="G83" i="4"/>
  <c r="V83" i="4"/>
  <c r="Y83" i="4" s="1"/>
  <c r="E83" i="4"/>
  <c r="Z83" i="4"/>
  <c r="A78" i="5"/>
  <c r="AD78" i="4"/>
  <c r="G78" i="4"/>
  <c r="W78" i="4"/>
  <c r="X78" i="4" s="1"/>
  <c r="V78" i="4"/>
  <c r="E78" i="4"/>
  <c r="AA78" i="4"/>
  <c r="AB78" i="4"/>
  <c r="Z78" i="4"/>
  <c r="Y78" i="4"/>
  <c r="A94" i="5"/>
  <c r="AD94" i="4"/>
  <c r="AB94" i="4"/>
  <c r="AA94" i="4"/>
  <c r="G94" i="4"/>
  <c r="Z94" i="4"/>
  <c r="E94" i="4"/>
  <c r="V94" i="4"/>
  <c r="Y94" i="4" s="1"/>
  <c r="W94" i="4"/>
  <c r="X94" i="4" s="1"/>
  <c r="A96" i="5"/>
  <c r="AB96" i="4"/>
  <c r="AA96" i="4"/>
  <c r="Z96" i="4"/>
  <c r="G96" i="4"/>
  <c r="AD96" i="4"/>
  <c r="E96" i="4"/>
  <c r="W96" i="4"/>
  <c r="X96" i="4" s="1"/>
  <c r="V96" i="4"/>
  <c r="Y96" i="4" s="1"/>
  <c r="AC138" i="4"/>
  <c r="AF138" i="4"/>
  <c r="AE138" i="4"/>
  <c r="Z138" i="4"/>
  <c r="Y138" i="4"/>
  <c r="A138" i="5"/>
  <c r="X138" i="4"/>
  <c r="E138" i="4"/>
  <c r="AD138" i="4"/>
  <c r="AB138" i="4"/>
  <c r="AA138" i="4"/>
  <c r="V138" i="4"/>
  <c r="W138" i="4"/>
  <c r="G138" i="4"/>
  <c r="A39" i="5"/>
  <c r="W39" i="4"/>
  <c r="X39" i="4" s="1"/>
  <c r="G39" i="4"/>
  <c r="AD39" i="4"/>
  <c r="Z39" i="4"/>
  <c r="AB39" i="4"/>
  <c r="AA39" i="4"/>
  <c r="V39" i="4"/>
  <c r="Y39" i="4" s="1"/>
  <c r="E39" i="4"/>
  <c r="A124" i="5"/>
  <c r="AD124" i="4"/>
  <c r="AB124" i="4"/>
  <c r="AA124" i="4"/>
  <c r="G124" i="4"/>
  <c r="Z124" i="4"/>
  <c r="Y124" i="4"/>
  <c r="E124" i="4"/>
  <c r="X124" i="4"/>
  <c r="W124" i="4"/>
  <c r="V124" i="4"/>
  <c r="A51" i="5"/>
  <c r="AB51" i="4"/>
  <c r="AA51" i="4"/>
  <c r="Z51" i="4"/>
  <c r="G51" i="4"/>
  <c r="X51" i="4"/>
  <c r="V51" i="4"/>
  <c r="Y51" i="4" s="1"/>
  <c r="E51" i="4"/>
  <c r="AD51" i="4"/>
  <c r="W51" i="4"/>
  <c r="A57" i="5"/>
  <c r="W57" i="4"/>
  <c r="G57" i="4"/>
  <c r="V57" i="4"/>
  <c r="E57" i="4"/>
  <c r="AD57" i="4"/>
  <c r="AB57" i="4"/>
  <c r="AA57" i="4"/>
  <c r="Z57" i="4"/>
  <c r="Y57" i="4"/>
  <c r="X57" i="4"/>
  <c r="A15" i="5"/>
  <c r="W15" i="4"/>
  <c r="G15" i="4"/>
  <c r="V15" i="4"/>
  <c r="E15" i="4"/>
  <c r="AD15" i="4"/>
  <c r="AB15" i="4"/>
  <c r="AA15" i="4"/>
  <c r="Z15" i="4"/>
  <c r="X15" i="4"/>
  <c r="Y15" i="4"/>
  <c r="A120" i="5"/>
  <c r="AD120" i="4"/>
  <c r="AB120" i="4"/>
  <c r="AA120" i="4"/>
  <c r="G120" i="4"/>
  <c r="E120" i="4"/>
  <c r="X120" i="4"/>
  <c r="W120" i="4"/>
  <c r="V120" i="4"/>
  <c r="Y120" i="4" s="1"/>
  <c r="Z120" i="4"/>
  <c r="A21" i="5"/>
  <c r="AD21" i="4"/>
  <c r="AB21" i="4"/>
  <c r="W21" i="4"/>
  <c r="X21" i="4" s="1"/>
  <c r="G21" i="4"/>
  <c r="E21" i="4"/>
  <c r="AA21" i="4"/>
  <c r="Z21" i="4"/>
  <c r="V21" i="4"/>
  <c r="Y21" i="4" s="1"/>
  <c r="A77" i="5"/>
  <c r="W77" i="4"/>
  <c r="X77" i="4" s="1"/>
  <c r="V77" i="4"/>
  <c r="Y77" i="4" s="1"/>
  <c r="E77" i="4"/>
  <c r="AD77" i="4"/>
  <c r="Z77" i="4"/>
  <c r="AB77" i="4"/>
  <c r="AA77" i="4"/>
  <c r="G77" i="4"/>
  <c r="A116" i="5"/>
  <c r="Z116" i="4"/>
  <c r="Y116" i="4"/>
  <c r="G116" i="4"/>
  <c r="W116" i="4"/>
  <c r="X116" i="4" s="1"/>
  <c r="V116" i="4"/>
  <c r="E116" i="4"/>
  <c r="AD116" i="4"/>
  <c r="AB116" i="4"/>
  <c r="AA116" i="4"/>
  <c r="A152" i="5"/>
  <c r="AF152" i="4"/>
  <c r="AE152" i="4"/>
  <c r="AD152" i="4"/>
  <c r="AC152" i="4"/>
  <c r="Z152" i="4"/>
  <c r="E152" i="4"/>
  <c r="Y152" i="4"/>
  <c r="X152" i="4"/>
  <c r="W152" i="4"/>
  <c r="G152" i="4"/>
  <c r="AB152" i="4"/>
  <c r="AA152" i="4"/>
  <c r="V152" i="4"/>
  <c r="A86" i="5"/>
  <c r="V86" i="4"/>
  <c r="E86" i="4"/>
  <c r="AD86" i="4"/>
  <c r="AB86" i="4"/>
  <c r="AA86" i="4"/>
  <c r="G86" i="4"/>
  <c r="X86" i="4"/>
  <c r="Z86" i="4"/>
  <c r="Y86" i="4"/>
  <c r="W86" i="4"/>
  <c r="A82" i="5"/>
  <c r="Z82" i="4"/>
  <c r="AB82" i="4"/>
  <c r="AA82" i="4"/>
  <c r="Y82" i="4"/>
  <c r="G82" i="4"/>
  <c r="W82" i="4"/>
  <c r="X82" i="4" s="1"/>
  <c r="AD82" i="4"/>
  <c r="V82" i="4"/>
  <c r="E82" i="4"/>
  <c r="A135" i="5"/>
  <c r="E135" i="4"/>
  <c r="AC135" i="4"/>
  <c r="AB135" i="4"/>
  <c r="AA135" i="4"/>
  <c r="G135" i="4"/>
  <c r="AF135" i="4"/>
  <c r="AD135" i="4"/>
  <c r="Z135" i="4"/>
  <c r="Y135" i="4"/>
  <c r="X135" i="4"/>
  <c r="V135" i="4"/>
  <c r="AE135" i="4"/>
  <c r="W135" i="4"/>
  <c r="A25" i="5"/>
  <c r="AB25" i="4"/>
  <c r="AA25" i="4"/>
  <c r="Z25" i="4"/>
  <c r="V25" i="4"/>
  <c r="Y25" i="4" s="1"/>
  <c r="E25" i="4"/>
  <c r="G25" i="4"/>
  <c r="AD25" i="4"/>
  <c r="W25" i="4"/>
  <c r="X25" i="4" s="1"/>
  <c r="A91" i="5"/>
  <c r="AD91" i="4"/>
  <c r="W91" i="4"/>
  <c r="X91" i="4" s="1"/>
  <c r="V91" i="4"/>
  <c r="AA91" i="4"/>
  <c r="G91" i="4"/>
  <c r="E91" i="4"/>
  <c r="AB91" i="4"/>
  <c r="Z91" i="4"/>
  <c r="Y91" i="4"/>
  <c r="A81" i="5"/>
  <c r="AA81" i="4"/>
  <c r="AB81" i="4"/>
  <c r="Z81" i="4"/>
  <c r="Y81" i="4"/>
  <c r="X81" i="4"/>
  <c r="G81" i="4"/>
  <c r="W81" i="4"/>
  <c r="V81" i="4"/>
  <c r="E81" i="4"/>
  <c r="AD81" i="4"/>
  <c r="A73" i="5"/>
  <c r="AD73" i="4"/>
  <c r="AB73" i="4"/>
  <c r="AA73" i="4"/>
  <c r="Z73" i="4"/>
  <c r="Y73" i="4"/>
  <c r="V73" i="4"/>
  <c r="E73" i="4"/>
  <c r="W73" i="4"/>
  <c r="X73" i="4" s="1"/>
  <c r="G73" i="4"/>
  <c r="A128" i="5"/>
  <c r="AB128" i="4"/>
  <c r="AA128" i="4"/>
  <c r="Z128" i="4"/>
  <c r="Y128" i="4"/>
  <c r="X128" i="4"/>
  <c r="W128" i="4"/>
  <c r="V128" i="4"/>
  <c r="AE128" i="4"/>
  <c r="G128" i="4"/>
  <c r="AF128" i="4"/>
  <c r="AC128" i="4"/>
  <c r="AD128" i="4"/>
  <c r="E128" i="4"/>
  <c r="AA145" i="5"/>
  <c r="K145" i="5"/>
  <c r="AF145" i="5"/>
  <c r="P145" i="5"/>
  <c r="T145" i="5"/>
  <c r="B145" i="5"/>
  <c r="U145" i="5"/>
  <c r="S145" i="5"/>
  <c r="X145" i="5"/>
  <c r="C145" i="5"/>
  <c r="W145" i="5"/>
  <c r="V145" i="5"/>
  <c r="Q145" i="5"/>
  <c r="M145" i="5"/>
  <c r="L145" i="5"/>
  <c r="J145" i="5"/>
  <c r="I145" i="5"/>
  <c r="AI145" i="5"/>
  <c r="H145" i="5"/>
  <c r="Z145" i="5"/>
  <c r="O145" i="5"/>
  <c r="N145" i="5"/>
  <c r="G145" i="5"/>
  <c r="F145" i="5"/>
  <c r="E145" i="5"/>
  <c r="AE145" i="5"/>
  <c r="AD145" i="5"/>
  <c r="AB145" i="5"/>
  <c r="AH145" i="5"/>
  <c r="AC145" i="5"/>
  <c r="Y145" i="5"/>
  <c r="R145" i="5"/>
  <c r="D145" i="5"/>
  <c r="AG145" i="5"/>
  <c r="A103" i="5"/>
  <c r="E103" i="4"/>
  <c r="AB103" i="4"/>
  <c r="AA103" i="4"/>
  <c r="Z103" i="4"/>
  <c r="Y103" i="4"/>
  <c r="AD103" i="4"/>
  <c r="X103" i="4"/>
  <c r="V103" i="4"/>
  <c r="W103" i="4"/>
  <c r="G103" i="4"/>
  <c r="A17" i="5"/>
  <c r="E17" i="4"/>
  <c r="AA17" i="4"/>
  <c r="W17" i="4"/>
  <c r="X17" i="4" s="1"/>
  <c r="V17" i="4"/>
  <c r="Y17" i="4" s="1"/>
  <c r="AD17" i="4"/>
  <c r="AB17" i="4"/>
  <c r="Z17" i="4"/>
  <c r="G17" i="4"/>
  <c r="A65" i="5"/>
  <c r="AA65" i="4"/>
  <c r="Z65" i="4"/>
  <c r="G65" i="4"/>
  <c r="W65" i="4"/>
  <c r="X65" i="4" s="1"/>
  <c r="AD65" i="4"/>
  <c r="AB65" i="4"/>
  <c r="V65" i="4"/>
  <c r="Y65" i="4" s="1"/>
  <c r="E65" i="4"/>
  <c r="A45" i="5"/>
  <c r="AA45" i="4"/>
  <c r="Z45" i="4"/>
  <c r="G45" i="4"/>
  <c r="E45" i="4"/>
  <c r="W45" i="4"/>
  <c r="X45" i="4" s="1"/>
  <c r="V45" i="4"/>
  <c r="Y45" i="4" s="1"/>
  <c r="AD45" i="4"/>
  <c r="AB45" i="4"/>
  <c r="A42" i="5"/>
  <c r="V42" i="4"/>
  <c r="Y42" i="4" s="1"/>
  <c r="AD42" i="4"/>
  <c r="AB42" i="4"/>
  <c r="AA42" i="4"/>
  <c r="G42" i="4"/>
  <c r="E42" i="4"/>
  <c r="W42" i="4"/>
  <c r="X42" i="4" s="1"/>
  <c r="Z42" i="4"/>
  <c r="A80" i="5"/>
  <c r="AB80" i="4"/>
  <c r="Z80" i="4"/>
  <c r="Y80" i="4"/>
  <c r="X80" i="4"/>
  <c r="G80" i="4"/>
  <c r="W80" i="4"/>
  <c r="V80" i="4"/>
  <c r="E80" i="4"/>
  <c r="AD80" i="4"/>
  <c r="AA80" i="4"/>
  <c r="A19" i="5"/>
  <c r="AA19" i="4"/>
  <c r="Z19" i="4"/>
  <c r="G19" i="4"/>
  <c r="E19" i="4"/>
  <c r="AD19" i="4"/>
  <c r="AB19" i="4"/>
  <c r="W19" i="4"/>
  <c r="X19" i="4" s="1"/>
  <c r="V19" i="4"/>
  <c r="Y19" i="4" s="1"/>
  <c r="A69" i="5"/>
  <c r="W69" i="4"/>
  <c r="G69" i="4"/>
  <c r="AD69" i="4"/>
  <c r="AB69" i="4"/>
  <c r="AA69" i="4"/>
  <c r="Z69" i="4"/>
  <c r="V69" i="4"/>
  <c r="Y69" i="4" s="1"/>
  <c r="E69" i="4"/>
  <c r="X69" i="4"/>
  <c r="G41" i="2" s="1"/>
  <c r="A97" i="5"/>
  <c r="AA97" i="4"/>
  <c r="Z97" i="4"/>
  <c r="X97" i="4"/>
  <c r="G97" i="4"/>
  <c r="AD97" i="4"/>
  <c r="E97" i="4"/>
  <c r="W97" i="4"/>
  <c r="V97" i="4"/>
  <c r="Y97" i="4" s="1"/>
  <c r="AB97" i="4"/>
  <c r="A18" i="5"/>
  <c r="AB18" i="4"/>
  <c r="AA18" i="4"/>
  <c r="Z18" i="4"/>
  <c r="G18" i="4"/>
  <c r="E18" i="4"/>
  <c r="AD18" i="4"/>
  <c r="X18" i="4"/>
  <c r="V18" i="4"/>
  <c r="Y18" i="4" s="1"/>
  <c r="W18" i="4"/>
  <c r="A53" i="5"/>
  <c r="AA53" i="4"/>
  <c r="Z53" i="4"/>
  <c r="G53" i="4"/>
  <c r="AD53" i="4"/>
  <c r="E53" i="4"/>
  <c r="V53" i="4"/>
  <c r="Y53" i="4" s="1"/>
  <c r="AB53" i="4"/>
  <c r="W53" i="4"/>
  <c r="X53" i="4" s="1"/>
  <c r="A154" i="5"/>
  <c r="AD154" i="4"/>
  <c r="AF154" i="4"/>
  <c r="AB154" i="4"/>
  <c r="G154" i="4"/>
  <c r="AA154" i="4"/>
  <c r="Z154" i="4"/>
  <c r="E154" i="4"/>
  <c r="Y154" i="4"/>
  <c r="V154" i="4"/>
  <c r="AE154" i="4"/>
  <c r="AC154" i="4"/>
  <c r="X154" i="4"/>
  <c r="W154" i="4"/>
  <c r="A106" i="5"/>
  <c r="AD106" i="4"/>
  <c r="AB106" i="4"/>
  <c r="W106" i="4"/>
  <c r="V106" i="4"/>
  <c r="E106" i="4"/>
  <c r="Z106" i="4"/>
  <c r="Y106" i="4"/>
  <c r="X106" i="4"/>
  <c r="AA106" i="4"/>
  <c r="G106" i="4"/>
  <c r="A87" i="5"/>
  <c r="E87" i="4"/>
  <c r="AB87" i="4"/>
  <c r="AA87" i="4"/>
  <c r="G87" i="4"/>
  <c r="Z87" i="4"/>
  <c r="W87" i="4"/>
  <c r="X87" i="4" s="1"/>
  <c r="AD87" i="4"/>
  <c r="V87" i="4"/>
  <c r="Y87" i="4" s="1"/>
  <c r="A133" i="5"/>
  <c r="W133" i="4"/>
  <c r="G133" i="4"/>
  <c r="V133" i="4"/>
  <c r="E133" i="4"/>
  <c r="AE133" i="4"/>
  <c r="AD133" i="4"/>
  <c r="AC133" i="4"/>
  <c r="X133" i="4"/>
  <c r="AA133" i="4"/>
  <c r="AB133" i="4"/>
  <c r="Z133" i="4"/>
  <c r="Y133" i="4"/>
  <c r="AF133" i="4"/>
  <c r="A11" i="5"/>
  <c r="AA11" i="4"/>
  <c r="Z11" i="4"/>
  <c r="Y11" i="4"/>
  <c r="X11" i="4"/>
  <c r="G11" i="4"/>
  <c r="AD11" i="4"/>
  <c r="AB11" i="4"/>
  <c r="W11" i="4"/>
  <c r="V11" i="4"/>
  <c r="E11" i="4"/>
  <c r="A49" i="5"/>
  <c r="AD49" i="4"/>
  <c r="AB49" i="4"/>
  <c r="W49" i="4"/>
  <c r="X49" i="4" s="1"/>
  <c r="V49" i="4"/>
  <c r="Y49" i="4" s="1"/>
  <c r="Z49" i="4"/>
  <c r="G49" i="4"/>
  <c r="E49" i="4"/>
  <c r="AA49" i="4"/>
  <c r="A136" i="5"/>
  <c r="AF136" i="4"/>
  <c r="AB136" i="4"/>
  <c r="AA136" i="4"/>
  <c r="Z136" i="4"/>
  <c r="G136" i="4"/>
  <c r="AE136" i="4"/>
  <c r="E136" i="4"/>
  <c r="AD136" i="4"/>
  <c r="AC136" i="4"/>
  <c r="X136" i="4"/>
  <c r="W136" i="4"/>
  <c r="V136" i="4"/>
  <c r="Y136" i="4"/>
  <c r="A60" i="5"/>
  <c r="W60" i="4"/>
  <c r="X60" i="4" s="1"/>
  <c r="V60" i="4"/>
  <c r="Y60" i="4" s="1"/>
  <c r="AB60" i="4"/>
  <c r="G60" i="4"/>
  <c r="AD60" i="4"/>
  <c r="AA60" i="4"/>
  <c r="Z60" i="4"/>
  <c r="E60" i="4"/>
  <c r="A16" i="5"/>
  <c r="V16" i="4"/>
  <c r="E16" i="4"/>
  <c r="AD16" i="4"/>
  <c r="AB16" i="4"/>
  <c r="G16" i="4"/>
  <c r="AA16" i="4"/>
  <c r="Z16" i="4"/>
  <c r="Y16" i="4"/>
  <c r="W16" i="4"/>
  <c r="X16" i="4" s="1"/>
  <c r="A68" i="5"/>
  <c r="X68" i="4"/>
  <c r="AD68" i="4"/>
  <c r="AB68" i="4"/>
  <c r="AA68" i="4"/>
  <c r="Z68" i="4"/>
  <c r="W68" i="4"/>
  <c r="V68" i="4"/>
  <c r="G68" i="4"/>
  <c r="E68" i="4"/>
  <c r="Y68" i="4"/>
  <c r="A50" i="5"/>
  <c r="AD50" i="4"/>
  <c r="AB50" i="4"/>
  <c r="AA50" i="4"/>
  <c r="G50" i="4"/>
  <c r="Z50" i="4"/>
  <c r="E50" i="4"/>
  <c r="W50" i="4"/>
  <c r="X50" i="4" s="1"/>
  <c r="V50" i="4"/>
  <c r="Y50" i="4" s="1"/>
  <c r="AD8" i="4"/>
  <c r="A8" i="5"/>
  <c r="AB8" i="4"/>
  <c r="AA8" i="4"/>
  <c r="G8" i="4"/>
  <c r="Z8" i="4"/>
  <c r="E8" i="4"/>
  <c r="X8" i="4"/>
  <c r="W8" i="4"/>
  <c r="V8" i="4"/>
  <c r="Y8" i="4" s="1"/>
  <c r="A148" i="5"/>
  <c r="AF148" i="4"/>
  <c r="AE148" i="4"/>
  <c r="AB148" i="4"/>
  <c r="AA148" i="4"/>
  <c r="G148" i="4"/>
  <c r="Z148" i="4"/>
  <c r="Y148" i="4"/>
  <c r="E148" i="4"/>
  <c r="V148" i="4"/>
  <c r="X148" i="4"/>
  <c r="W148" i="4"/>
  <c r="AD148" i="4"/>
  <c r="AC148" i="4"/>
  <c r="A12" i="5"/>
  <c r="Z12" i="4"/>
  <c r="W12" i="4"/>
  <c r="X12" i="4" s="1"/>
  <c r="G12" i="4"/>
  <c r="AA12" i="4"/>
  <c r="V12" i="4"/>
  <c r="Y12" i="4" s="1"/>
  <c r="AD12" i="4"/>
  <c r="AB12" i="4"/>
  <c r="E12" i="4"/>
  <c r="A34" i="5"/>
  <c r="AD34" i="4"/>
  <c r="AA34" i="4"/>
  <c r="Z34" i="4"/>
  <c r="G34" i="4"/>
  <c r="W34" i="4"/>
  <c r="X34" i="4" s="1"/>
  <c r="V34" i="4"/>
  <c r="Y34" i="4" s="1"/>
  <c r="E34" i="4"/>
  <c r="AB34" i="4"/>
  <c r="A139" i="5"/>
  <c r="AB139" i="4"/>
  <c r="AF139" i="4"/>
  <c r="AA139" i="4"/>
  <c r="Z139" i="4"/>
  <c r="Y139" i="4"/>
  <c r="E139" i="4"/>
  <c r="AE139" i="4"/>
  <c r="AD139" i="4"/>
  <c r="AC139" i="4"/>
  <c r="W139" i="4"/>
  <c r="V139" i="4"/>
  <c r="X139" i="4"/>
  <c r="G139" i="4"/>
  <c r="A92" i="5"/>
  <c r="AD92" i="4"/>
  <c r="AB92" i="4"/>
  <c r="AA92" i="4"/>
  <c r="G92" i="4"/>
  <c r="Z92" i="4"/>
  <c r="W92" i="4"/>
  <c r="X92" i="4" s="1"/>
  <c r="V92" i="4"/>
  <c r="Y92" i="4"/>
  <c r="E92" i="4"/>
  <c r="C50" i="7"/>
  <c r="C39" i="7"/>
  <c r="C23" i="7"/>
  <c r="C7" i="7"/>
  <c r="D363" i="6"/>
  <c r="D355" i="6"/>
  <c r="D347" i="6"/>
  <c r="D339" i="6"/>
  <c r="D331" i="6"/>
  <c r="D323" i="6"/>
  <c r="D315" i="6"/>
  <c r="D307" i="6"/>
  <c r="D299" i="6"/>
  <c r="D291" i="6"/>
  <c r="D283" i="6"/>
  <c r="D275" i="6"/>
  <c r="D267" i="6"/>
  <c r="D259" i="6"/>
  <c r="D251" i="6"/>
  <c r="D243" i="6"/>
  <c r="D235" i="6"/>
  <c r="D227" i="6"/>
  <c r="D219" i="6"/>
  <c r="D211" i="6"/>
  <c r="D203" i="6"/>
  <c r="D195" i="6"/>
  <c r="D187" i="6"/>
  <c r="D179" i="6"/>
  <c r="D171" i="6"/>
  <c r="D163" i="6"/>
  <c r="D155" i="6"/>
  <c r="D147" i="6"/>
  <c r="D139" i="6"/>
  <c r="D131" i="6"/>
  <c r="D123" i="6"/>
  <c r="D115" i="6"/>
  <c r="D107" i="6"/>
  <c r="D99" i="6"/>
  <c r="D91" i="6"/>
  <c r="D83" i="6"/>
  <c r="D75" i="6"/>
  <c r="D67" i="6"/>
  <c r="D59" i="6"/>
  <c r="D51" i="6"/>
  <c r="D43" i="6"/>
  <c r="D35" i="6"/>
  <c r="D27" i="6"/>
  <c r="D19" i="6"/>
  <c r="D11" i="6"/>
  <c r="C44" i="7"/>
  <c r="C28" i="7"/>
  <c r="C12" i="7"/>
  <c r="I362" i="6"/>
  <c r="I354" i="6"/>
  <c r="I346" i="6"/>
  <c r="I338" i="6"/>
  <c r="I330" i="6"/>
  <c r="I322" i="6"/>
  <c r="I314" i="6"/>
  <c r="I306" i="6"/>
  <c r="I298" i="6"/>
  <c r="I290" i="6"/>
  <c r="I282" i="6"/>
  <c r="I274" i="6"/>
  <c r="I266" i="6"/>
  <c r="I258" i="6"/>
  <c r="I250" i="6"/>
  <c r="I242" i="6"/>
  <c r="I234" i="6"/>
  <c r="C46" i="7"/>
  <c r="C30" i="7"/>
  <c r="C14" i="7"/>
  <c r="I365" i="6"/>
  <c r="I357" i="6"/>
  <c r="I349" i="6"/>
  <c r="I341" i="6"/>
  <c r="I333" i="6"/>
  <c r="I325" i="6"/>
  <c r="I317" i="6"/>
  <c r="I309" i="6"/>
  <c r="I301" i="6"/>
  <c r="I293" i="6"/>
  <c r="I285" i="6"/>
  <c r="I277" i="6"/>
  <c r="I269" i="6"/>
  <c r="I261" i="6"/>
  <c r="I253" i="6"/>
  <c r="I245" i="6"/>
  <c r="I237" i="6"/>
  <c r="I229" i="6"/>
  <c r="I221" i="6"/>
  <c r="I213" i="6"/>
  <c r="I205" i="6"/>
  <c r="I197" i="6"/>
  <c r="I189" i="6"/>
  <c r="I181" i="6"/>
  <c r="I173" i="6"/>
  <c r="I165" i="6"/>
  <c r="I157" i="6"/>
  <c r="I149" i="6"/>
  <c r="I141" i="6"/>
  <c r="I133" i="6"/>
  <c r="I125" i="6"/>
  <c r="I117" i="6"/>
  <c r="I109" i="6"/>
  <c r="I101" i="6"/>
  <c r="I93" i="6"/>
  <c r="I85" i="6"/>
  <c r="I77" i="6"/>
  <c r="I69" i="6"/>
  <c r="I61" i="6"/>
  <c r="I53" i="6"/>
  <c r="I45" i="6"/>
  <c r="I37" i="6"/>
  <c r="I29" i="6"/>
  <c r="I21" i="6"/>
  <c r="I13" i="6"/>
  <c r="I5" i="6"/>
  <c r="D361" i="6"/>
  <c r="I351" i="6"/>
  <c r="D342" i="6"/>
  <c r="D332" i="6"/>
  <c r="I321" i="6"/>
  <c r="D312" i="6"/>
  <c r="I302" i="6"/>
  <c r="I292" i="6"/>
  <c r="D282" i="6"/>
  <c r="I272" i="6"/>
  <c r="D263" i="6"/>
  <c r="D253" i="6"/>
  <c r="I243" i="6"/>
  <c r="D233" i="6"/>
  <c r="D224" i="6"/>
  <c r="D215" i="6"/>
  <c r="D206" i="6"/>
  <c r="I196" i="6"/>
  <c r="I187" i="6"/>
  <c r="D178" i="6"/>
  <c r="D169" i="6"/>
  <c r="D160" i="6"/>
  <c r="D151" i="6"/>
  <c r="D142" i="6"/>
  <c r="I132" i="6"/>
  <c r="I123" i="6"/>
  <c r="D114" i="6"/>
  <c r="D105" i="6"/>
  <c r="D96" i="6"/>
  <c r="D87" i="6"/>
  <c r="D78" i="6"/>
  <c r="I68" i="6"/>
  <c r="C37" i="7"/>
  <c r="C19" i="7"/>
  <c r="C13" i="7"/>
  <c r="I360" i="6"/>
  <c r="D351" i="6"/>
  <c r="D341" i="6"/>
  <c r="I331" i="6"/>
  <c r="D321" i="6"/>
  <c r="I311" i="6"/>
  <c r="D302" i="6"/>
  <c r="D292" i="6"/>
  <c r="I281" i="6"/>
  <c r="D272" i="6"/>
  <c r="I262" i="6"/>
  <c r="I252" i="6"/>
  <c r="D242" i="6"/>
  <c r="I232" i="6"/>
  <c r="I223" i="6"/>
  <c r="I214" i="6"/>
  <c r="D205" i="6"/>
  <c r="D196" i="6"/>
  <c r="I186" i="6"/>
  <c r="I177" i="6"/>
  <c r="I168" i="6"/>
  <c r="I159" i="6"/>
  <c r="I150" i="6"/>
  <c r="D141" i="6"/>
  <c r="D132" i="6"/>
  <c r="I122" i="6"/>
  <c r="I113" i="6"/>
  <c r="I104" i="6"/>
  <c r="I95" i="6"/>
  <c r="I86" i="6"/>
  <c r="D77" i="6"/>
  <c r="D68" i="6"/>
  <c r="I58" i="6"/>
  <c r="I49" i="6"/>
  <c r="I40" i="6"/>
  <c r="I31" i="6"/>
  <c r="I22" i="6"/>
  <c r="D13" i="6"/>
  <c r="C17" i="7"/>
  <c r="D367" i="6"/>
  <c r="D356" i="6"/>
  <c r="I344" i="6"/>
  <c r="D334" i="6"/>
  <c r="D322" i="6"/>
  <c r="I310" i="6"/>
  <c r="I299" i="6"/>
  <c r="D288" i="6"/>
  <c r="D277" i="6"/>
  <c r="I265" i="6"/>
  <c r="D255" i="6"/>
  <c r="D244" i="6"/>
  <c r="I231" i="6"/>
  <c r="D221" i="6"/>
  <c r="I210" i="6"/>
  <c r="I200" i="6"/>
  <c r="I190" i="6"/>
  <c r="D180" i="6"/>
  <c r="I169" i="6"/>
  <c r="I158" i="6"/>
  <c r="D148" i="6"/>
  <c r="I137" i="6"/>
  <c r="I127" i="6"/>
  <c r="D117" i="6"/>
  <c r="I106" i="6"/>
  <c r="I96" i="6"/>
  <c r="D85" i="6"/>
  <c r="I74" i="6"/>
  <c r="I64" i="6"/>
  <c r="D55" i="6"/>
  <c r="D45" i="6"/>
  <c r="I35" i="6"/>
  <c r="I25" i="6"/>
  <c r="D16" i="6"/>
  <c r="I6" i="6"/>
  <c r="C42" i="7"/>
  <c r="I366" i="6"/>
  <c r="I355" i="6"/>
  <c r="D344" i="6"/>
  <c r="D333" i="6"/>
  <c r="I320" i="6"/>
  <c r="D310" i="6"/>
  <c r="D298" i="6"/>
  <c r="I287" i="6"/>
  <c r="I276" i="6"/>
  <c r="D265" i="6"/>
  <c r="I254" i="6"/>
  <c r="I241" i="6"/>
  <c r="D231" i="6"/>
  <c r="I220" i="6"/>
  <c r="D210" i="6"/>
  <c r="D200" i="6"/>
  <c r="D190" i="6"/>
  <c r="I179" i="6"/>
  <c r="D168" i="6"/>
  <c r="D158" i="6"/>
  <c r="I147" i="6"/>
  <c r="D137" i="6"/>
  <c r="D127" i="6"/>
  <c r="I116" i="6"/>
  <c r="D106" i="6"/>
  <c r="D95" i="6"/>
  <c r="I84" i="6"/>
  <c r="D74" i="6"/>
  <c r="D64" i="6"/>
  <c r="I54" i="6"/>
  <c r="I44" i="6"/>
  <c r="I34" i="6"/>
  <c r="D25" i="6"/>
  <c r="I15" i="6"/>
  <c r="D6" i="6"/>
  <c r="C48" i="7"/>
  <c r="C35" i="7"/>
  <c r="C29" i="7"/>
  <c r="C10" i="7"/>
  <c r="D366" i="6"/>
  <c r="D354" i="6"/>
  <c r="I343" i="6"/>
  <c r="I332" i="6"/>
  <c r="D320" i="6"/>
  <c r="D309" i="6"/>
  <c r="I297" i="6"/>
  <c r="D287" i="6"/>
  <c r="D276" i="6"/>
  <c r="I264" i="6"/>
  <c r="D254" i="6"/>
  <c r="D241" i="6"/>
  <c r="I230" i="6"/>
  <c r="D220" i="6"/>
  <c r="I209" i="6"/>
  <c r="I199" i="6"/>
  <c r="D189" i="6"/>
  <c r="I178" i="6"/>
  <c r="I167" i="6"/>
  <c r="D157" i="6"/>
  <c r="I146" i="6"/>
  <c r="I136" i="6"/>
  <c r="I126" i="6"/>
  <c r="D116" i="6"/>
  <c r="I105" i="6"/>
  <c r="I94" i="6"/>
  <c r="D84" i="6"/>
  <c r="I73" i="6"/>
  <c r="I63" i="6"/>
  <c r="D54" i="6"/>
  <c r="D44" i="6"/>
  <c r="D34" i="6"/>
  <c r="I24" i="6"/>
  <c r="D15" i="6"/>
  <c r="D5" i="6"/>
  <c r="C47" i="7"/>
  <c r="C51" i="7"/>
  <c r="C6" i="7"/>
  <c r="D359" i="6"/>
  <c r="D348" i="6"/>
  <c r="I336" i="6"/>
  <c r="D326" i="6"/>
  <c r="C22" i="7"/>
  <c r="I359" i="6"/>
  <c r="D345" i="6"/>
  <c r="I328" i="6"/>
  <c r="I315" i="6"/>
  <c r="D301" i="6"/>
  <c r="I286" i="6"/>
  <c r="D273" i="6"/>
  <c r="I259" i="6"/>
  <c r="I246" i="6"/>
  <c r="D232" i="6"/>
  <c r="D218" i="6"/>
  <c r="I206" i="6"/>
  <c r="D193" i="6"/>
  <c r="D181" i="6"/>
  <c r="I166" i="6"/>
  <c r="D154" i="6"/>
  <c r="I142" i="6"/>
  <c r="D129" i="6"/>
  <c r="I115" i="6"/>
  <c r="I102" i="6"/>
  <c r="D90" i="6"/>
  <c r="I78" i="6"/>
  <c r="D65" i="6"/>
  <c r="D52" i="6"/>
  <c r="D40" i="6"/>
  <c r="I28" i="6"/>
  <c r="D17" i="6"/>
  <c r="C15" i="7"/>
  <c r="C8" i="7"/>
  <c r="I358" i="6"/>
  <c r="D343" i="6"/>
  <c r="D328" i="6"/>
  <c r="D314" i="6"/>
  <c r="I300" i="6"/>
  <c r="D286" i="6"/>
  <c r="I271" i="6"/>
  <c r="D258" i="6"/>
  <c r="D246" i="6"/>
  <c r="D230" i="6"/>
  <c r="I217" i="6"/>
  <c r="I204" i="6"/>
  <c r="I192" i="6"/>
  <c r="I180" i="6"/>
  <c r="D166" i="6"/>
  <c r="I153" i="6"/>
  <c r="I140" i="6"/>
  <c r="I128" i="6"/>
  <c r="I114" i="6"/>
  <c r="D102" i="6"/>
  <c r="I89" i="6"/>
  <c r="I76" i="6"/>
  <c r="D63" i="6"/>
  <c r="I51" i="6"/>
  <c r="I39" i="6"/>
  <c r="D28" i="6"/>
  <c r="I16" i="6"/>
  <c r="D358" i="6"/>
  <c r="I342" i="6"/>
  <c r="I327" i="6"/>
  <c r="I313" i="6"/>
  <c r="D300" i="6"/>
  <c r="D285" i="6"/>
  <c r="D271" i="6"/>
  <c r="I257" i="6"/>
  <c r="D245" i="6"/>
  <c r="D229" i="6"/>
  <c r="D217" i="6"/>
  <c r="D204" i="6"/>
  <c r="D192" i="6"/>
  <c r="D177" i="6"/>
  <c r="D165" i="6"/>
  <c r="D153" i="6"/>
  <c r="D140" i="6"/>
  <c r="D128" i="6"/>
  <c r="D113" i="6"/>
  <c r="D101" i="6"/>
  <c r="D89" i="6"/>
  <c r="D76" i="6"/>
  <c r="I62" i="6"/>
  <c r="I50" i="6"/>
  <c r="D39" i="6"/>
  <c r="I27" i="6"/>
  <c r="I14" i="6"/>
  <c r="C27" i="7"/>
  <c r="I356" i="6"/>
  <c r="D340" i="6"/>
  <c r="I326" i="6"/>
  <c r="I312" i="6"/>
  <c r="I296" i="6"/>
  <c r="D284" i="6"/>
  <c r="D270" i="6"/>
  <c r="I256" i="6"/>
  <c r="I240" i="6"/>
  <c r="D228" i="6"/>
  <c r="D216" i="6"/>
  <c r="I202" i="6"/>
  <c r="D191" i="6"/>
  <c r="D176" i="6"/>
  <c r="D164" i="6"/>
  <c r="D152" i="6"/>
  <c r="I138" i="6"/>
  <c r="D125" i="6"/>
  <c r="D112" i="6"/>
  <c r="D100" i="6"/>
  <c r="D88" i="6"/>
  <c r="D73" i="6"/>
  <c r="D61" i="6"/>
  <c r="D49" i="6"/>
  <c r="D38" i="6"/>
  <c r="D26" i="6"/>
  <c r="I12" i="6"/>
  <c r="C31" i="7"/>
  <c r="C18" i="7"/>
  <c r="D364" i="6"/>
  <c r="D349" i="6"/>
  <c r="D335" i="6"/>
  <c r="I318" i="6"/>
  <c r="D305" i="6"/>
  <c r="I291" i="6"/>
  <c r="I278" i="6"/>
  <c r="I263" i="6"/>
  <c r="D249" i="6"/>
  <c r="I236" i="6"/>
  <c r="D223" i="6"/>
  <c r="D209" i="6"/>
  <c r="D197" i="6"/>
  <c r="D184" i="6"/>
  <c r="D172" i="6"/>
  <c r="D159" i="6"/>
  <c r="D145" i="6"/>
  <c r="D133" i="6"/>
  <c r="D120" i="6"/>
  <c r="D108" i="6"/>
  <c r="D93" i="6"/>
  <c r="D81" i="6"/>
  <c r="D69" i="6"/>
  <c r="I56" i="6"/>
  <c r="I43" i="6"/>
  <c r="D32" i="6"/>
  <c r="D20" i="6"/>
  <c r="C38" i="7"/>
  <c r="I350" i="6"/>
  <c r="D329" i="6"/>
  <c r="I307" i="6"/>
  <c r="D289" i="6"/>
  <c r="D268" i="6"/>
  <c r="D248" i="6"/>
  <c r="I226" i="6"/>
  <c r="I208" i="6"/>
  <c r="I188" i="6"/>
  <c r="I172" i="6"/>
  <c r="I152" i="6"/>
  <c r="I134" i="6"/>
  <c r="D118" i="6"/>
  <c r="I97" i="6"/>
  <c r="I79" i="6"/>
  <c r="I59" i="6"/>
  <c r="D42" i="6"/>
  <c r="I23" i="6"/>
  <c r="I8" i="6"/>
  <c r="C45" i="7"/>
  <c r="D350" i="6"/>
  <c r="D327" i="6"/>
  <c r="D306" i="6"/>
  <c r="I288" i="6"/>
  <c r="I267" i="6"/>
  <c r="I247" i="6"/>
  <c r="D226" i="6"/>
  <c r="D208" i="6"/>
  <c r="D188" i="6"/>
  <c r="I171" i="6"/>
  <c r="I151" i="6"/>
  <c r="D134" i="6"/>
  <c r="I112" i="6"/>
  <c r="D97" i="6"/>
  <c r="D79" i="6"/>
  <c r="D58" i="6"/>
  <c r="I41" i="6"/>
  <c r="D23" i="6"/>
  <c r="D8" i="6"/>
  <c r="I348" i="6"/>
  <c r="D325" i="6"/>
  <c r="I305" i="6"/>
  <c r="I284" i="6"/>
  <c r="D266" i="6"/>
  <c r="D247" i="6"/>
  <c r="I225" i="6"/>
  <c r="I207" i="6"/>
  <c r="D186" i="6"/>
  <c r="I170" i="6"/>
  <c r="D150" i="6"/>
  <c r="I131" i="6"/>
  <c r="I111" i="6"/>
  <c r="D94" i="6"/>
  <c r="I75" i="6"/>
  <c r="I57" i="6"/>
  <c r="D41" i="6"/>
  <c r="D22" i="6"/>
  <c r="I7" i="6"/>
  <c r="C5" i="7"/>
  <c r="I347" i="6"/>
  <c r="I324" i="6"/>
  <c r="I304" i="6"/>
  <c r="I283" i="6"/>
  <c r="D264" i="6"/>
  <c r="I244" i="6"/>
  <c r="D225" i="6"/>
  <c r="D207" i="6"/>
  <c r="I185" i="6"/>
  <c r="D170" i="6"/>
  <c r="D149" i="6"/>
  <c r="I130" i="6"/>
  <c r="D111" i="6"/>
  <c r="I92" i="6"/>
  <c r="I72" i="6"/>
  <c r="D57" i="6"/>
  <c r="I38" i="6"/>
  <c r="D21" i="6"/>
  <c r="D7" i="6"/>
  <c r="C21" i="7"/>
  <c r="I367" i="6"/>
  <c r="D346" i="6"/>
  <c r="D324" i="6"/>
  <c r="D304" i="6"/>
  <c r="D281" i="6"/>
  <c r="D262" i="6"/>
  <c r="D240" i="6"/>
  <c r="I224" i="6"/>
  <c r="I203" i="6"/>
  <c r="D185" i="6"/>
  <c r="D167" i="6"/>
  <c r="I148" i="6"/>
  <c r="D130" i="6"/>
  <c r="I110" i="6"/>
  <c r="D92" i="6"/>
  <c r="D72" i="6"/>
  <c r="D56" i="6"/>
  <c r="D37" i="6"/>
  <c r="I20" i="6"/>
  <c r="C43" i="7"/>
  <c r="C20" i="7"/>
  <c r="I364" i="6"/>
  <c r="I340" i="6"/>
  <c r="I319" i="6"/>
  <c r="D303" i="6"/>
  <c r="D280" i="6"/>
  <c r="I260" i="6"/>
  <c r="D239" i="6"/>
  <c r="D222" i="6"/>
  <c r="I201" i="6"/>
  <c r="I183" i="6"/>
  <c r="I163" i="6"/>
  <c r="I145" i="6"/>
  <c r="D126" i="6"/>
  <c r="D109" i="6"/>
  <c r="I90" i="6"/>
  <c r="D71" i="6"/>
  <c r="C11" i="7"/>
  <c r="I363" i="6"/>
  <c r="I339" i="6"/>
  <c r="D319" i="6"/>
  <c r="D297" i="6"/>
  <c r="I279" i="6"/>
  <c r="D260" i="6"/>
  <c r="I238" i="6"/>
  <c r="I219" i="6"/>
  <c r="D201" i="6"/>
  <c r="D183" i="6"/>
  <c r="I162" i="6"/>
  <c r="I144" i="6"/>
  <c r="I124" i="6"/>
  <c r="I108" i="6"/>
  <c r="I88" i="6"/>
  <c r="I70" i="6"/>
  <c r="I52" i="6"/>
  <c r="C33" i="7"/>
  <c r="D357" i="6"/>
  <c r="D336" i="6"/>
  <c r="D316" i="6"/>
  <c r="I294" i="6"/>
  <c r="D274" i="6"/>
  <c r="D252" i="6"/>
  <c r="I235" i="6"/>
  <c r="D214" i="6"/>
  <c r="I195" i="6"/>
  <c r="I175" i="6"/>
  <c r="I160" i="6"/>
  <c r="I139" i="6"/>
  <c r="D121" i="6"/>
  <c r="D103" i="6"/>
  <c r="I82" i="6"/>
  <c r="D66" i="6"/>
  <c r="I47" i="6"/>
  <c r="I30" i="6"/>
  <c r="I11" i="6"/>
  <c r="C25" i="7"/>
  <c r="C16" i="7"/>
  <c r="D353" i="6"/>
  <c r="I334" i="6"/>
  <c r="D311" i="6"/>
  <c r="D293" i="6"/>
  <c r="I270" i="6"/>
  <c r="D250" i="6"/>
  <c r="I233" i="6"/>
  <c r="I212" i="6"/>
  <c r="D194" i="6"/>
  <c r="I174" i="6"/>
  <c r="D156" i="6"/>
  <c r="D136" i="6"/>
  <c r="C52" i="7"/>
  <c r="I329" i="6"/>
  <c r="D279" i="6"/>
  <c r="D236" i="6"/>
  <c r="I193" i="6"/>
  <c r="D146" i="6"/>
  <c r="I107" i="6"/>
  <c r="D70" i="6"/>
  <c r="I36" i="6"/>
  <c r="I10" i="6"/>
  <c r="I323" i="6"/>
  <c r="D278" i="6"/>
  <c r="D234" i="6"/>
  <c r="I191" i="6"/>
  <c r="D144" i="6"/>
  <c r="D104" i="6"/>
  <c r="I67" i="6"/>
  <c r="D36" i="6"/>
  <c r="D10" i="6"/>
  <c r="D318" i="6"/>
  <c r="I275" i="6"/>
  <c r="I228" i="6"/>
  <c r="I184" i="6"/>
  <c r="I143" i="6"/>
  <c r="I103" i="6"/>
  <c r="I66" i="6"/>
  <c r="I33" i="6"/>
  <c r="I9" i="6"/>
  <c r="C41" i="7"/>
  <c r="C32" i="7"/>
  <c r="C24" i="7"/>
  <c r="D365" i="6"/>
  <c r="D317" i="6"/>
  <c r="I273" i="6"/>
  <c r="I227" i="6"/>
  <c r="I182" i="6"/>
  <c r="D143" i="6"/>
  <c r="I100" i="6"/>
  <c r="I65" i="6"/>
  <c r="D33" i="6"/>
  <c r="D9" i="6"/>
  <c r="D362" i="6"/>
  <c r="I316" i="6"/>
  <c r="D269" i="6"/>
  <c r="I222" i="6"/>
  <c r="D182" i="6"/>
  <c r="D138" i="6"/>
  <c r="I99" i="6"/>
  <c r="D62" i="6"/>
  <c r="I32" i="6"/>
  <c r="D360" i="6"/>
  <c r="I308" i="6"/>
  <c r="D261" i="6"/>
  <c r="I216" i="6"/>
  <c r="D175" i="6"/>
  <c r="D135" i="6"/>
  <c r="D98" i="6"/>
  <c r="D60" i="6"/>
  <c r="D30" i="6"/>
  <c r="I353" i="6"/>
  <c r="D308" i="6"/>
  <c r="D257" i="6"/>
  <c r="I215" i="6"/>
  <c r="D174" i="6"/>
  <c r="I129" i="6"/>
  <c r="I91" i="6"/>
  <c r="I55" i="6"/>
  <c r="D29" i="6"/>
  <c r="I345" i="6"/>
  <c r="I295" i="6"/>
  <c r="I251" i="6"/>
  <c r="I211" i="6"/>
  <c r="D162" i="6"/>
  <c r="I121" i="6"/>
  <c r="I83" i="6"/>
  <c r="I48" i="6"/>
  <c r="I19" i="6"/>
  <c r="C36" i="7"/>
  <c r="D338" i="6"/>
  <c r="D295" i="6"/>
  <c r="I249" i="6"/>
  <c r="D202" i="6"/>
  <c r="I161" i="6"/>
  <c r="I120" i="6"/>
  <c r="D82" i="6"/>
  <c r="D48" i="6"/>
  <c r="I18" i="6"/>
  <c r="D337" i="6"/>
  <c r="D290" i="6"/>
  <c r="I239" i="6"/>
  <c r="I198" i="6"/>
  <c r="I156" i="6"/>
  <c r="D119" i="6"/>
  <c r="I80" i="6"/>
  <c r="I46" i="6"/>
  <c r="I17" i="6"/>
  <c r="C40" i="7"/>
  <c r="I303" i="6"/>
  <c r="I194" i="6"/>
  <c r="I81" i="6"/>
  <c r="C49" i="7"/>
  <c r="D296" i="6"/>
  <c r="I176" i="6"/>
  <c r="D80" i="6"/>
  <c r="C9" i="7"/>
  <c r="D294" i="6"/>
  <c r="D173" i="6"/>
  <c r="I71" i="6"/>
  <c r="I289" i="6"/>
  <c r="I164" i="6"/>
  <c r="I60" i="6"/>
  <c r="I280" i="6"/>
  <c r="D161" i="6"/>
  <c r="D53" i="6"/>
  <c r="D256" i="6"/>
  <c r="I154" i="6"/>
  <c r="D47" i="6"/>
  <c r="C26" i="7"/>
  <c r="I255" i="6"/>
  <c r="I135" i="6"/>
  <c r="D46" i="6"/>
  <c r="I248" i="6"/>
  <c r="D124" i="6"/>
  <c r="I42" i="6"/>
  <c r="C34" i="7"/>
  <c r="I361" i="6"/>
  <c r="D238" i="6"/>
  <c r="D122" i="6"/>
  <c r="D31" i="6"/>
  <c r="I335" i="6"/>
  <c r="D212" i="6"/>
  <c r="I98" i="6"/>
  <c r="D14" i="6"/>
  <c r="I119" i="6"/>
  <c r="I118" i="6"/>
  <c r="D110" i="6"/>
  <c r="I87" i="6"/>
  <c r="I352" i="6"/>
  <c r="D86" i="6"/>
  <c r="I337" i="6"/>
  <c r="D330" i="6"/>
  <c r="D24" i="6"/>
  <c r="D313" i="6"/>
  <c r="D18" i="6"/>
  <c r="I268" i="6"/>
  <c r="D12" i="6"/>
  <c r="D237" i="6"/>
  <c r="D199" i="6"/>
  <c r="A5" i="5"/>
  <c r="D352" i="6"/>
  <c r="D213" i="6"/>
  <c r="D198" i="6"/>
  <c r="I155" i="6"/>
  <c r="D50" i="6"/>
  <c r="I26" i="6"/>
  <c r="I218" i="6"/>
  <c r="AD5" i="4"/>
  <c r="V5" i="4"/>
  <c r="AB5" i="4"/>
  <c r="AA5" i="4"/>
  <c r="G5" i="4"/>
  <c r="Y5" i="4"/>
  <c r="E5" i="4"/>
  <c r="Z5" i="4"/>
  <c r="X5" i="4"/>
  <c r="W5" i="4"/>
  <c r="C4" i="2"/>
  <c r="A38" i="5"/>
  <c r="Z38" i="4"/>
  <c r="AB38" i="4"/>
  <c r="AA38" i="4"/>
  <c r="G38" i="4"/>
  <c r="Y38" i="4"/>
  <c r="E38" i="4"/>
  <c r="AD38" i="4"/>
  <c r="W38" i="4"/>
  <c r="X38" i="4" s="1"/>
  <c r="V38" i="4"/>
  <c r="A40" i="5"/>
  <c r="V40" i="4"/>
  <c r="Z40" i="4"/>
  <c r="G40" i="4"/>
  <c r="Y40" i="4"/>
  <c r="E40" i="4"/>
  <c r="W40" i="4"/>
  <c r="X40" i="4" s="1"/>
  <c r="AD40" i="4"/>
  <c r="AB40" i="4"/>
  <c r="AA40" i="4"/>
  <c r="A121" i="5"/>
  <c r="W121" i="4"/>
  <c r="V121" i="4"/>
  <c r="AD121" i="4"/>
  <c r="Z121" i="4"/>
  <c r="G121" i="4"/>
  <c r="E121" i="4"/>
  <c r="Y121" i="4"/>
  <c r="AB121" i="4"/>
  <c r="AA121" i="4"/>
  <c r="X121" i="4"/>
  <c r="A26" i="5"/>
  <c r="AB26" i="4"/>
  <c r="AA26" i="4"/>
  <c r="Z26" i="4"/>
  <c r="Y26" i="4"/>
  <c r="X26" i="4"/>
  <c r="W26" i="4"/>
  <c r="G26" i="4"/>
  <c r="E26" i="4"/>
  <c r="AD26" i="4"/>
  <c r="V26" i="4"/>
  <c r="A37" i="5"/>
  <c r="AA37" i="4"/>
  <c r="Y37" i="4"/>
  <c r="AD37" i="4"/>
  <c r="AB37" i="4"/>
  <c r="W37" i="4"/>
  <c r="X37" i="4" s="1"/>
  <c r="E37" i="4"/>
  <c r="V37" i="4"/>
  <c r="Z37" i="4"/>
  <c r="G37" i="4"/>
  <c r="A101" i="5"/>
  <c r="W101" i="4"/>
  <c r="G101" i="4"/>
  <c r="Z101" i="4"/>
  <c r="Y101" i="4"/>
  <c r="X101" i="4"/>
  <c r="V101" i="4"/>
  <c r="E101" i="4"/>
  <c r="AD101" i="4"/>
  <c r="AB101" i="4"/>
  <c r="AA101" i="4"/>
  <c r="A28" i="5"/>
  <c r="Z28" i="4"/>
  <c r="W28" i="4"/>
  <c r="X28" i="4" s="1"/>
  <c r="G28" i="4"/>
  <c r="V28" i="4"/>
  <c r="Y28" i="4" s="1"/>
  <c r="E28" i="4"/>
  <c r="AD28" i="4"/>
  <c r="AA28" i="4"/>
  <c r="AB28" i="4"/>
  <c r="A115" i="5"/>
  <c r="X115" i="4"/>
  <c r="G115" i="4"/>
  <c r="W115" i="4"/>
  <c r="V115" i="4"/>
  <c r="Y115" i="4" s="1"/>
  <c r="E115" i="4"/>
  <c r="AB115" i="4"/>
  <c r="Z115" i="4"/>
  <c r="AD115" i="4"/>
  <c r="AA115" i="4"/>
  <c r="A146" i="5"/>
  <c r="E146" i="4"/>
  <c r="AD146" i="4"/>
  <c r="AC146" i="4"/>
  <c r="AB146" i="4"/>
  <c r="AA146" i="4"/>
  <c r="G146" i="4"/>
  <c r="X146" i="4"/>
  <c r="AF146" i="4"/>
  <c r="AE146" i="4"/>
  <c r="Z146" i="4"/>
  <c r="Y146" i="4"/>
  <c r="W146" i="4"/>
  <c r="V146" i="4"/>
  <c r="A30" i="5"/>
  <c r="X30" i="4"/>
  <c r="W30" i="4"/>
  <c r="G30" i="4"/>
  <c r="V30" i="4"/>
  <c r="E30" i="4"/>
  <c r="AD30" i="4"/>
  <c r="AA30" i="4"/>
  <c r="AB30" i="4"/>
  <c r="Z30" i="4"/>
  <c r="Y30" i="4"/>
  <c r="A129" i="5"/>
  <c r="AA129" i="4"/>
  <c r="Z129" i="4"/>
  <c r="Y129" i="4"/>
  <c r="X129" i="4"/>
  <c r="G129" i="4"/>
  <c r="AF129" i="4"/>
  <c r="AD129" i="4"/>
  <c r="AC129" i="4"/>
  <c r="AB129" i="4"/>
  <c r="W129" i="4"/>
  <c r="E129" i="4"/>
  <c r="AE129" i="4"/>
  <c r="V129" i="4"/>
  <c r="A31" i="5"/>
  <c r="X31" i="4"/>
  <c r="G31" i="4"/>
  <c r="W31" i="4"/>
  <c r="V31" i="4"/>
  <c r="Y31" i="4" s="1"/>
  <c r="E31" i="4"/>
  <c r="AD31" i="4"/>
  <c r="AA31" i="4"/>
  <c r="AB31" i="4"/>
  <c r="Z31" i="4"/>
  <c r="A144" i="5"/>
  <c r="W144" i="4"/>
  <c r="G144" i="4"/>
  <c r="Z144" i="4"/>
  <c r="Y144" i="4"/>
  <c r="X144" i="4"/>
  <c r="E144" i="4"/>
  <c r="V144" i="4"/>
  <c r="AF144" i="4"/>
  <c r="AC144" i="4"/>
  <c r="AE144" i="4"/>
  <c r="AD144" i="4"/>
  <c r="AA144" i="4"/>
  <c r="AB144" i="4"/>
  <c r="A29" i="5"/>
  <c r="W29" i="4"/>
  <c r="X29" i="4" s="1"/>
  <c r="G29" i="4"/>
  <c r="V29" i="4"/>
  <c r="Y29" i="4" s="1"/>
  <c r="E29" i="4"/>
  <c r="AB29" i="4"/>
  <c r="AD29" i="4"/>
  <c r="AA29" i="4"/>
  <c r="Z29" i="4"/>
  <c r="A67" i="5"/>
  <c r="AB67" i="4"/>
  <c r="AA67" i="4"/>
  <c r="Z67" i="4"/>
  <c r="W67" i="4"/>
  <c r="X67" i="4" s="1"/>
  <c r="V67" i="4"/>
  <c r="Y67" i="4" s="1"/>
  <c r="G67" i="4"/>
  <c r="AD67" i="4"/>
  <c r="E67" i="4"/>
  <c r="A134" i="5"/>
  <c r="V134" i="4"/>
  <c r="E134" i="4"/>
  <c r="AD134" i="4"/>
  <c r="AC134" i="4"/>
  <c r="AB134" i="4"/>
  <c r="G134" i="4"/>
  <c r="AF134" i="4"/>
  <c r="AE134" i="4"/>
  <c r="AA134" i="4"/>
  <c r="X134" i="4"/>
  <c r="Z134" i="4"/>
  <c r="Y134" i="4"/>
  <c r="W134" i="4"/>
  <c r="A113" i="5"/>
  <c r="AA113" i="4"/>
  <c r="V113" i="4"/>
  <c r="E113" i="4"/>
  <c r="AD113" i="4"/>
  <c r="Y113" i="4"/>
  <c r="AB113" i="4"/>
  <c r="Z113" i="4"/>
  <c r="X113" i="4"/>
  <c r="W113" i="4"/>
  <c r="G113" i="4"/>
  <c r="A105" i="5"/>
  <c r="AD105" i="4"/>
  <c r="AB105" i="4"/>
  <c r="AA105" i="4"/>
  <c r="V105" i="4"/>
  <c r="E105" i="4"/>
  <c r="Z105" i="4"/>
  <c r="Y105" i="4"/>
  <c r="W105" i="4"/>
  <c r="X105" i="4" s="1"/>
  <c r="G105" i="4"/>
  <c r="A79" i="5"/>
  <c r="Y79" i="4"/>
  <c r="G79" i="4"/>
  <c r="W79" i="4"/>
  <c r="X79" i="4" s="1"/>
  <c r="V79" i="4"/>
  <c r="E79" i="4"/>
  <c r="AB79" i="4"/>
  <c r="AD79" i="4"/>
  <c r="AA79" i="4"/>
  <c r="Z79" i="4"/>
  <c r="A142" i="5"/>
  <c r="Y142" i="4"/>
  <c r="V142" i="4"/>
  <c r="E142" i="4"/>
  <c r="AF142" i="4"/>
  <c r="AE142" i="4"/>
  <c r="AD142" i="4"/>
  <c r="AC142" i="4"/>
  <c r="Z142" i="4"/>
  <c r="G142" i="4"/>
  <c r="AA142" i="4"/>
  <c r="AB142" i="4"/>
  <c r="W142" i="4"/>
  <c r="X142" i="4"/>
  <c r="A127" i="5"/>
  <c r="AC127" i="4"/>
  <c r="AB127" i="4"/>
  <c r="AA127" i="4"/>
  <c r="Z127" i="4"/>
  <c r="AF127" i="4"/>
  <c r="AD127" i="4"/>
  <c r="Y127" i="4"/>
  <c r="E127" i="4"/>
  <c r="X127" i="4"/>
  <c r="W127" i="4"/>
  <c r="G127" i="4"/>
  <c r="AE127" i="4"/>
  <c r="V127" i="4"/>
  <c r="A14" i="5"/>
  <c r="W14" i="4"/>
  <c r="X14" i="4" s="1"/>
  <c r="G14" i="4"/>
  <c r="V14" i="4"/>
  <c r="Y14" i="4" s="1"/>
  <c r="E14" i="4"/>
  <c r="AB14" i="4"/>
  <c r="AA14" i="4"/>
  <c r="Z14" i="4"/>
  <c r="AD14" i="4"/>
  <c r="A123" i="5"/>
  <c r="AD123" i="4"/>
  <c r="AB123" i="4"/>
  <c r="AA123" i="4"/>
  <c r="G123" i="4"/>
  <c r="X123" i="4"/>
  <c r="E123" i="4"/>
  <c r="Y123" i="4"/>
  <c r="V123" i="4"/>
  <c r="Z123" i="4"/>
  <c r="W123" i="4"/>
  <c r="A75" i="5"/>
  <c r="AD75" i="4"/>
  <c r="AB75" i="4"/>
  <c r="AA75" i="4"/>
  <c r="X75" i="4"/>
  <c r="G75" i="4"/>
  <c r="Z75" i="4"/>
  <c r="Y75" i="4"/>
  <c r="V75" i="4"/>
  <c r="W75" i="4"/>
  <c r="E75" i="4"/>
  <c r="A43" i="5"/>
  <c r="E43" i="4"/>
  <c r="AD43" i="4"/>
  <c r="AB43" i="4"/>
  <c r="AA43" i="4"/>
  <c r="Z43" i="4"/>
  <c r="G43" i="4"/>
  <c r="V43" i="4"/>
  <c r="Y43" i="4" s="1"/>
  <c r="X43" i="4"/>
  <c r="W43" i="4"/>
  <c r="A10" i="5"/>
  <c r="AB10" i="4"/>
  <c r="AA10" i="4"/>
  <c r="Z10" i="4"/>
  <c r="E10" i="4"/>
  <c r="X10" i="4"/>
  <c r="W10" i="4"/>
  <c r="V10" i="4"/>
  <c r="Y10" i="4" s="1"/>
  <c r="AD10" i="4"/>
  <c r="G10" i="4"/>
  <c r="A107" i="5"/>
  <c r="AD107" i="4"/>
  <c r="X107" i="4"/>
  <c r="G107" i="4"/>
  <c r="W107" i="4"/>
  <c r="V107" i="4"/>
  <c r="Y107" i="4" s="1"/>
  <c r="E107" i="4"/>
  <c r="AB107" i="4"/>
  <c r="AA107" i="4"/>
  <c r="Z107" i="4"/>
  <c r="A122" i="5"/>
  <c r="AD122" i="4"/>
  <c r="AB122" i="4"/>
  <c r="AA122" i="4"/>
  <c r="G122" i="4"/>
  <c r="Z122" i="4"/>
  <c r="E122" i="4"/>
  <c r="W122" i="4"/>
  <c r="V122" i="4"/>
  <c r="Y122" i="4" s="1"/>
  <c r="X122" i="4"/>
  <c r="A27" i="5"/>
  <c r="AA27" i="4"/>
  <c r="Z27" i="4"/>
  <c r="Y27" i="4"/>
  <c r="X27" i="4"/>
  <c r="W27" i="4"/>
  <c r="G27" i="4"/>
  <c r="V27" i="4"/>
  <c r="AD27" i="4"/>
  <c r="AB27" i="4"/>
  <c r="E27" i="4"/>
  <c r="A153" i="5"/>
  <c r="AE153" i="4"/>
  <c r="AF153" i="4"/>
  <c r="Z153" i="4"/>
  <c r="E153" i="4"/>
  <c r="Y153" i="4"/>
  <c r="X153" i="4"/>
  <c r="W153" i="4"/>
  <c r="V153" i="4"/>
  <c r="AC153" i="4"/>
  <c r="AD153" i="4"/>
  <c r="AB153" i="4"/>
  <c r="AA153" i="4"/>
  <c r="G153" i="4"/>
  <c r="A32" i="5"/>
  <c r="G32" i="4"/>
  <c r="W32" i="4"/>
  <c r="X32" i="4" s="1"/>
  <c r="V32" i="4"/>
  <c r="Y32" i="4" s="1"/>
  <c r="E32" i="4"/>
  <c r="AB32" i="4"/>
  <c r="AD32" i="4"/>
  <c r="AA32" i="4"/>
  <c r="Z32" i="4"/>
  <c r="A119" i="5"/>
  <c r="E119" i="4"/>
  <c r="X119" i="4"/>
  <c r="W119" i="4"/>
  <c r="V119" i="4"/>
  <c r="Y119" i="4" s="1"/>
  <c r="AB119" i="4"/>
  <c r="G119" i="4"/>
  <c r="AD119" i="4"/>
  <c r="Z119" i="4"/>
  <c r="AA119" i="4"/>
  <c r="A93" i="5"/>
  <c r="AD93" i="4"/>
  <c r="AB93" i="4"/>
  <c r="V93" i="4"/>
  <c r="Y93" i="4"/>
  <c r="E93" i="4"/>
  <c r="AA93" i="4"/>
  <c r="Z93" i="4"/>
  <c r="X93" i="4"/>
  <c r="W93" i="4"/>
  <c r="G93" i="4"/>
  <c r="A13" i="5"/>
  <c r="W13" i="4"/>
  <c r="X13" i="4" s="1"/>
  <c r="G13" i="4"/>
  <c r="V13" i="4"/>
  <c r="Y13" i="4" s="1"/>
  <c r="AD13" i="4"/>
  <c r="E13" i="4"/>
  <c r="AB13" i="4"/>
  <c r="AA13" i="4"/>
  <c r="Z13" i="4"/>
  <c r="A9" i="5"/>
  <c r="AB9" i="4"/>
  <c r="AA9" i="4"/>
  <c r="Z9" i="4"/>
  <c r="AD9" i="4"/>
  <c r="E9" i="4"/>
  <c r="X9" i="4"/>
  <c r="W9" i="4"/>
  <c r="V9" i="4"/>
  <c r="Y9" i="4" s="1"/>
  <c r="G9" i="4"/>
  <c r="A22" i="5"/>
  <c r="AD22" i="4"/>
  <c r="AB22" i="4"/>
  <c r="AA22" i="4"/>
  <c r="X22" i="4"/>
  <c r="W22" i="4"/>
  <c r="G22" i="4"/>
  <c r="V22" i="4"/>
  <c r="E22" i="4"/>
  <c r="Z22" i="4"/>
  <c r="Y22" i="4"/>
  <c r="A71" i="5"/>
  <c r="E71" i="4"/>
  <c r="AD71" i="4"/>
  <c r="AB71" i="4"/>
  <c r="Z71" i="4"/>
  <c r="X71" i="4"/>
  <c r="G71" i="4"/>
  <c r="W71" i="4"/>
  <c r="AA71" i="4"/>
  <c r="V71" i="4"/>
  <c r="Y71" i="4" s="1"/>
  <c r="A132" i="5"/>
  <c r="X132" i="4"/>
  <c r="W132" i="4"/>
  <c r="G132" i="4"/>
  <c r="V132" i="4"/>
  <c r="E132" i="4"/>
  <c r="AF132" i="4"/>
  <c r="AE132" i="4"/>
  <c r="AD132" i="4"/>
  <c r="AA132" i="4"/>
  <c r="Z132" i="4"/>
  <c r="Y132" i="4"/>
  <c r="AC132" i="4"/>
  <c r="AB132" i="4"/>
  <c r="A130" i="5"/>
  <c r="Z130" i="4"/>
  <c r="Y130" i="4"/>
  <c r="X130" i="4"/>
  <c r="W130" i="4"/>
  <c r="G130" i="4"/>
  <c r="AF130" i="4"/>
  <c r="E130" i="4"/>
  <c r="AE130" i="4"/>
  <c r="AD130" i="4"/>
  <c r="AC130" i="4"/>
  <c r="AB130" i="4"/>
  <c r="V130" i="4"/>
  <c r="AA130" i="4"/>
  <c r="A33" i="5"/>
  <c r="Z33" i="4"/>
  <c r="G33" i="4"/>
  <c r="W33" i="4"/>
  <c r="X33" i="4" s="1"/>
  <c r="V33" i="4"/>
  <c r="Y33" i="4" s="1"/>
  <c r="E33" i="4"/>
  <c r="AD33" i="4"/>
  <c r="AB33" i="4"/>
  <c r="AA33" i="4"/>
  <c r="A102" i="5"/>
  <c r="V102" i="4"/>
  <c r="AA102" i="4"/>
  <c r="Z102" i="4"/>
  <c r="Y102" i="4"/>
  <c r="G102" i="4"/>
  <c r="E102" i="4"/>
  <c r="AD102" i="4"/>
  <c r="W102" i="4"/>
  <c r="X102" i="4" s="1"/>
  <c r="AB102" i="4"/>
  <c r="A59" i="5"/>
  <c r="E59" i="4"/>
  <c r="AD59" i="4"/>
  <c r="AB59" i="4"/>
  <c r="Z59" i="4"/>
  <c r="W59" i="4"/>
  <c r="X59" i="4" s="1"/>
  <c r="AA59" i="4"/>
  <c r="V59" i="4"/>
  <c r="Y59" i="4" s="1"/>
  <c r="G59" i="4"/>
  <c r="A98" i="5"/>
  <c r="Z98" i="4"/>
  <c r="X98" i="4"/>
  <c r="W98" i="4"/>
  <c r="G98" i="4"/>
  <c r="AD98" i="4"/>
  <c r="E98" i="4"/>
  <c r="AB98" i="4"/>
  <c r="V98" i="4"/>
  <c r="Y98" i="4" s="1"/>
  <c r="AA98" i="4"/>
  <c r="A147" i="5"/>
  <c r="AB147" i="4"/>
  <c r="AA147" i="4"/>
  <c r="G147" i="4"/>
  <c r="Z147" i="4"/>
  <c r="Y147" i="4"/>
  <c r="E147" i="4"/>
  <c r="X147" i="4"/>
  <c r="AE147" i="4"/>
  <c r="AF147" i="4"/>
  <c r="AD147" i="4"/>
  <c r="AC147" i="4"/>
  <c r="W147" i="4"/>
  <c r="V147" i="4"/>
  <c r="G42" i="2" l="1"/>
  <c r="G39" i="2"/>
  <c r="AI6" i="5"/>
  <c r="AH6" i="5"/>
  <c r="G40" i="2"/>
  <c r="Y31" i="5"/>
  <c r="H31" i="5"/>
  <c r="W31" i="5"/>
  <c r="G31" i="5"/>
  <c r="I31" i="5" s="1"/>
  <c r="V31" i="5"/>
  <c r="X31" i="5" s="1"/>
  <c r="U31" i="5"/>
  <c r="E31" i="5"/>
  <c r="N31" i="5"/>
  <c r="O31" i="5" s="1"/>
  <c r="AC31" i="4" s="1"/>
  <c r="AE31" i="4" s="1"/>
  <c r="AF31" i="4" s="1"/>
  <c r="M31" i="5"/>
  <c r="K31" i="5"/>
  <c r="J31" i="5"/>
  <c r="L31" i="5" s="1"/>
  <c r="D31" i="5"/>
  <c r="F31" i="5" s="1"/>
  <c r="C31" i="5"/>
  <c r="AF31" i="5"/>
  <c r="B31" i="5"/>
  <c r="AC31" i="5"/>
  <c r="AB31" i="5"/>
  <c r="Z31" i="5"/>
  <c r="AA31" i="5" s="1"/>
  <c r="R31" i="5"/>
  <c r="AE31" i="5"/>
  <c r="AG31" i="5" s="1"/>
  <c r="AD31" i="5"/>
  <c r="Q31" i="5"/>
  <c r="P31" i="5"/>
  <c r="T31" i="5"/>
  <c r="S31" i="5"/>
  <c r="C14" i="2"/>
  <c r="C51" i="2"/>
  <c r="AD144" i="5"/>
  <c r="N144" i="5"/>
  <c r="AI144" i="5"/>
  <c r="S144" i="5"/>
  <c r="R144" i="5"/>
  <c r="P144" i="5"/>
  <c r="AH144" i="5"/>
  <c r="O144" i="5"/>
  <c r="L144" i="5"/>
  <c r="AG144" i="5"/>
  <c r="K144" i="5"/>
  <c r="AF144" i="5"/>
  <c r="J144" i="5"/>
  <c r="AC144" i="5"/>
  <c r="H144" i="5"/>
  <c r="V144" i="5"/>
  <c r="U144" i="5"/>
  <c r="T144" i="5"/>
  <c r="Q144" i="5"/>
  <c r="M144" i="5"/>
  <c r="AA144" i="5"/>
  <c r="B144" i="5"/>
  <c r="D144" i="5"/>
  <c r="C144" i="5"/>
  <c r="AE144" i="5"/>
  <c r="AB144" i="5"/>
  <c r="X144" i="5"/>
  <c r="W144" i="5"/>
  <c r="G144" i="5"/>
  <c r="F144" i="5"/>
  <c r="Z144" i="5"/>
  <c r="Y144" i="5"/>
  <c r="I144" i="5"/>
  <c r="E144" i="5"/>
  <c r="S70" i="5"/>
  <c r="C70" i="5"/>
  <c r="J70" i="5"/>
  <c r="Z70" i="5"/>
  <c r="I70" i="5"/>
  <c r="Y70" i="5"/>
  <c r="AA70" i="5" s="1"/>
  <c r="H70" i="5"/>
  <c r="G70" i="5"/>
  <c r="W70" i="5"/>
  <c r="D70" i="5"/>
  <c r="F70" i="5" s="1"/>
  <c r="T70" i="5"/>
  <c r="U70" i="5" s="1"/>
  <c r="B70" i="5"/>
  <c r="M70" i="5"/>
  <c r="Q70" i="5"/>
  <c r="P70" i="5"/>
  <c r="N70" i="5"/>
  <c r="O70" i="5" s="1"/>
  <c r="AC70" i="4" s="1"/>
  <c r="AE70" i="4" s="1"/>
  <c r="AF70" i="4" s="1"/>
  <c r="L70" i="5"/>
  <c r="AF70" i="5"/>
  <c r="AB70" i="5"/>
  <c r="AE70" i="5"/>
  <c r="AG70" i="5" s="1"/>
  <c r="AC70" i="5"/>
  <c r="AD70" i="5" s="1"/>
  <c r="V70" i="5"/>
  <c r="X70" i="5" s="1"/>
  <c r="R70" i="5"/>
  <c r="K70" i="5"/>
  <c r="E70" i="5"/>
  <c r="Y68" i="5"/>
  <c r="AA68" i="5" s="1"/>
  <c r="AC68" i="5"/>
  <c r="AB68" i="5"/>
  <c r="AD68" i="5" s="1"/>
  <c r="K68" i="5"/>
  <c r="L68" i="5" s="1"/>
  <c r="J68" i="5"/>
  <c r="Z68" i="5"/>
  <c r="H68" i="5"/>
  <c r="G68" i="5"/>
  <c r="I68" i="5" s="1"/>
  <c r="V68" i="5"/>
  <c r="X68" i="5" s="1"/>
  <c r="E68" i="5"/>
  <c r="F68" i="5" s="1"/>
  <c r="D68" i="5"/>
  <c r="AF68" i="5"/>
  <c r="O68" i="5"/>
  <c r="AC68" i="4" s="1"/>
  <c r="AE68" i="4" s="1"/>
  <c r="AF68" i="4" s="1"/>
  <c r="S68" i="5"/>
  <c r="U68" i="5" s="1"/>
  <c r="Q68" i="5"/>
  <c r="P68" i="5"/>
  <c r="R68" i="5" s="1"/>
  <c r="N68" i="5"/>
  <c r="C68" i="5"/>
  <c r="B68" i="5"/>
  <c r="AE68" i="5"/>
  <c r="AG68" i="5" s="1"/>
  <c r="M68" i="5"/>
  <c r="W68" i="5"/>
  <c r="T68" i="5"/>
  <c r="V26" i="5"/>
  <c r="X26" i="5" s="1"/>
  <c r="F26" i="5"/>
  <c r="AB26" i="5"/>
  <c r="AD26" i="5" s="1"/>
  <c r="K26" i="5"/>
  <c r="L26" i="5" s="1"/>
  <c r="J26" i="5"/>
  <c r="Z26" i="5"/>
  <c r="AA26" i="5" s="1"/>
  <c r="Y26" i="5"/>
  <c r="H26" i="5"/>
  <c r="I26" i="5" s="1"/>
  <c r="B26" i="5"/>
  <c r="W26" i="5"/>
  <c r="T26" i="5"/>
  <c r="S26" i="5"/>
  <c r="U26" i="5" s="1"/>
  <c r="P26" i="5"/>
  <c r="R26" i="5" s="1"/>
  <c r="N26" i="5"/>
  <c r="O26" i="5" s="1"/>
  <c r="AC26" i="4" s="1"/>
  <c r="AE26" i="4" s="1"/>
  <c r="AF26" i="4" s="1"/>
  <c r="M26" i="5"/>
  <c r="AE26" i="5"/>
  <c r="E26" i="5"/>
  <c r="G26" i="5"/>
  <c r="D26" i="5"/>
  <c r="C26" i="5"/>
  <c r="AG26" i="5"/>
  <c r="AF26" i="5"/>
  <c r="AC26" i="5"/>
  <c r="Q26" i="5"/>
  <c r="W7" i="5"/>
  <c r="G7" i="5"/>
  <c r="I7" i="5" s="1"/>
  <c r="Q7" i="5"/>
  <c r="P7" i="5"/>
  <c r="R7" i="5" s="1"/>
  <c r="AF7" i="5"/>
  <c r="Y7" i="5"/>
  <c r="AA7" i="5" s="1"/>
  <c r="H7" i="5"/>
  <c r="AC7" i="5"/>
  <c r="E7" i="5"/>
  <c r="AB7" i="5"/>
  <c r="AD7" i="5" s="1"/>
  <c r="D7" i="5"/>
  <c r="F7" i="5" s="1"/>
  <c r="C7" i="5"/>
  <c r="Z7" i="5"/>
  <c r="B7" i="5"/>
  <c r="T7" i="5"/>
  <c r="S7" i="5"/>
  <c r="U7" i="5" s="1"/>
  <c r="N7" i="5"/>
  <c r="K7" i="5"/>
  <c r="V7" i="5"/>
  <c r="X7" i="5" s="1"/>
  <c r="M7" i="5"/>
  <c r="O7" i="5" s="1"/>
  <c r="AC7" i="4" s="1"/>
  <c r="AE7" i="4" s="1"/>
  <c r="AF7" i="4" s="1"/>
  <c r="J7" i="5"/>
  <c r="L7" i="5" s="1"/>
  <c r="AE7" i="5"/>
  <c r="AG7" i="5" s="1"/>
  <c r="H20" i="5"/>
  <c r="P20" i="5"/>
  <c r="W20" i="5"/>
  <c r="E20" i="5"/>
  <c r="V20" i="5"/>
  <c r="X20" i="5" s="1"/>
  <c r="D20" i="5"/>
  <c r="F20" i="5" s="1"/>
  <c r="C20" i="5"/>
  <c r="T20" i="5"/>
  <c r="B20" i="5"/>
  <c r="S20" i="5"/>
  <c r="U20" i="5" s="1"/>
  <c r="O20" i="5"/>
  <c r="AC20" i="4" s="1"/>
  <c r="AE20" i="4" s="1"/>
  <c r="AF20" i="4" s="1"/>
  <c r="AF20" i="5"/>
  <c r="AG20" i="5" s="1"/>
  <c r="N20" i="5"/>
  <c r="AE20" i="5"/>
  <c r="M20" i="5"/>
  <c r="AA20" i="5"/>
  <c r="Z20" i="5"/>
  <c r="Y20" i="5"/>
  <c r="Q20" i="5"/>
  <c r="R20" i="5" s="1"/>
  <c r="G20" i="5"/>
  <c r="I20" i="5" s="1"/>
  <c r="AC20" i="5"/>
  <c r="AB20" i="5"/>
  <c r="AD20" i="5" s="1"/>
  <c r="K20" i="5"/>
  <c r="L20" i="5" s="1"/>
  <c r="J20" i="5"/>
  <c r="W132" i="5"/>
  <c r="G132" i="5"/>
  <c r="V132" i="5"/>
  <c r="E132" i="5"/>
  <c r="U132" i="5"/>
  <c r="D132" i="5"/>
  <c r="T132" i="5"/>
  <c r="C132" i="5"/>
  <c r="AI132" i="5"/>
  <c r="R132" i="5"/>
  <c r="X132" i="5"/>
  <c r="S132" i="5"/>
  <c r="Q132" i="5"/>
  <c r="P132" i="5"/>
  <c r="O132" i="5"/>
  <c r="AC132" i="5"/>
  <c r="H132" i="5"/>
  <c r="J132" i="5"/>
  <c r="I132" i="5"/>
  <c r="F132" i="5"/>
  <c r="AH132" i="5"/>
  <c r="B132" i="5"/>
  <c r="AG132" i="5"/>
  <c r="AE132" i="5"/>
  <c r="AD132" i="5"/>
  <c r="Z132" i="5"/>
  <c r="Y132" i="5"/>
  <c r="M132" i="5"/>
  <c r="AB132" i="5"/>
  <c r="AA132" i="5"/>
  <c r="N132" i="5"/>
  <c r="L132" i="5"/>
  <c r="K132" i="5"/>
  <c r="AF132" i="5"/>
  <c r="AI153" i="5"/>
  <c r="S153" i="5"/>
  <c r="C153" i="5"/>
  <c r="X153" i="5"/>
  <c r="H153" i="5"/>
  <c r="AF153" i="5"/>
  <c r="N153" i="5"/>
  <c r="AH153" i="5"/>
  <c r="O153" i="5"/>
  <c r="AG153" i="5"/>
  <c r="M153" i="5"/>
  <c r="AE153" i="5"/>
  <c r="L153" i="5"/>
  <c r="V153" i="5"/>
  <c r="U153" i="5"/>
  <c r="T153" i="5"/>
  <c r="Q153" i="5"/>
  <c r="J153" i="5"/>
  <c r="I153" i="5"/>
  <c r="G153" i="5"/>
  <c r="F153" i="5"/>
  <c r="E153" i="5"/>
  <c r="Y153" i="5"/>
  <c r="AC153" i="5"/>
  <c r="AB153" i="5"/>
  <c r="AA153" i="5"/>
  <c r="Z153" i="5"/>
  <c r="W153" i="5"/>
  <c r="P153" i="5"/>
  <c r="K153" i="5"/>
  <c r="AD153" i="5"/>
  <c r="D153" i="5"/>
  <c r="B153" i="5"/>
  <c r="R153" i="5"/>
  <c r="Z14" i="5"/>
  <c r="J14" i="5"/>
  <c r="L14" i="5" s="1"/>
  <c r="U14" i="5"/>
  <c r="D14" i="5"/>
  <c r="F14" i="5" s="1"/>
  <c r="AF14" i="5"/>
  <c r="N14" i="5"/>
  <c r="AE14" i="5"/>
  <c r="AG14" i="5" s="1"/>
  <c r="M14" i="5"/>
  <c r="O14" i="5" s="1"/>
  <c r="AC14" i="4" s="1"/>
  <c r="AE14" i="4" s="1"/>
  <c r="AF14" i="4" s="1"/>
  <c r="X14" i="5"/>
  <c r="W14" i="5"/>
  <c r="E14" i="5"/>
  <c r="V14" i="5"/>
  <c r="C14" i="5"/>
  <c r="AC14" i="5"/>
  <c r="AB14" i="5"/>
  <c r="AD14" i="5" s="1"/>
  <c r="Y14" i="5"/>
  <c r="AA14" i="5" s="1"/>
  <c r="Q14" i="5"/>
  <c r="P14" i="5"/>
  <c r="R14" i="5" s="1"/>
  <c r="K14" i="5"/>
  <c r="B14" i="5"/>
  <c r="T14" i="5"/>
  <c r="S14" i="5"/>
  <c r="H14" i="5"/>
  <c r="G14" i="5"/>
  <c r="I14" i="5" s="1"/>
  <c r="AE29" i="5"/>
  <c r="N29" i="5"/>
  <c r="AC29" i="5"/>
  <c r="M29" i="5"/>
  <c r="O29" i="5" s="1"/>
  <c r="AC29" i="4" s="1"/>
  <c r="AE29" i="4" s="1"/>
  <c r="AF29" i="4" s="1"/>
  <c r="AB29" i="5"/>
  <c r="AD29" i="5" s="1"/>
  <c r="L29" i="5"/>
  <c r="K29" i="5"/>
  <c r="Q29" i="5"/>
  <c r="P29" i="5"/>
  <c r="J29" i="5"/>
  <c r="T29" i="5"/>
  <c r="U29" i="5" s="1"/>
  <c r="S29" i="5"/>
  <c r="R29" i="5"/>
  <c r="H29" i="5"/>
  <c r="E29" i="5"/>
  <c r="D29" i="5"/>
  <c r="F29" i="5" s="1"/>
  <c r="AG29" i="5"/>
  <c r="C29" i="5"/>
  <c r="AF29" i="5"/>
  <c r="B29" i="5"/>
  <c r="X29" i="5"/>
  <c r="Z29" i="5"/>
  <c r="Y29" i="5"/>
  <c r="AA29" i="5" s="1"/>
  <c r="W29" i="5"/>
  <c r="V29" i="5"/>
  <c r="G29" i="5"/>
  <c r="I29" i="5" s="1"/>
  <c r="V101" i="5"/>
  <c r="E101" i="5"/>
  <c r="T101" i="5"/>
  <c r="U101" i="5" s="1"/>
  <c r="D101" i="5"/>
  <c r="F101" i="5" s="1"/>
  <c r="B101" i="5"/>
  <c r="AC101" i="5"/>
  <c r="AB101" i="5"/>
  <c r="H101" i="5"/>
  <c r="G101" i="5"/>
  <c r="I101" i="5" s="1"/>
  <c r="Z101" i="5"/>
  <c r="C101" i="5"/>
  <c r="Y101" i="5"/>
  <c r="AA101" i="5" s="1"/>
  <c r="AE101" i="5"/>
  <c r="AG101" i="5" s="1"/>
  <c r="AD101" i="5"/>
  <c r="W101" i="5"/>
  <c r="X101" i="5" s="1"/>
  <c r="S101" i="5"/>
  <c r="P101" i="5"/>
  <c r="R101" i="5" s="1"/>
  <c r="N101" i="5"/>
  <c r="O101" i="5" s="1"/>
  <c r="AC101" i="4" s="1"/>
  <c r="AE101" i="4" s="1"/>
  <c r="AF101" i="4" s="1"/>
  <c r="M101" i="5"/>
  <c r="K101" i="5"/>
  <c r="AF101" i="5"/>
  <c r="Q101" i="5"/>
  <c r="J101" i="5"/>
  <c r="L101" i="5" s="1"/>
  <c r="AE23" i="5"/>
  <c r="AG23" i="5" s="1"/>
  <c r="AD23" i="5"/>
  <c r="M23" i="5"/>
  <c r="O23" i="5" s="1"/>
  <c r="AC23" i="4" s="1"/>
  <c r="AE23" i="4" s="1"/>
  <c r="AF23" i="4" s="1"/>
  <c r="AC23" i="5"/>
  <c r="AB23" i="5"/>
  <c r="K23" i="5"/>
  <c r="J23" i="5"/>
  <c r="L23" i="5" s="1"/>
  <c r="Q23" i="5"/>
  <c r="P23" i="5"/>
  <c r="R23" i="5" s="1"/>
  <c r="N23" i="5"/>
  <c r="AF23" i="5"/>
  <c r="Z23" i="5"/>
  <c r="AA23" i="5" s="1"/>
  <c r="E23" i="5"/>
  <c r="F23" i="5" s="1"/>
  <c r="Y23" i="5"/>
  <c r="D23" i="5"/>
  <c r="C23" i="5"/>
  <c r="W23" i="5"/>
  <c r="X23" i="5" s="1"/>
  <c r="V23" i="5"/>
  <c r="T23" i="5"/>
  <c r="S23" i="5"/>
  <c r="U23" i="5" s="1"/>
  <c r="B23" i="5"/>
  <c r="H23" i="5"/>
  <c r="G23" i="5"/>
  <c r="I23" i="5" s="1"/>
  <c r="X125" i="5"/>
  <c r="H125" i="5"/>
  <c r="W125" i="5"/>
  <c r="G125" i="5"/>
  <c r="V125" i="5"/>
  <c r="F125" i="5"/>
  <c r="T125" i="5"/>
  <c r="AC125" i="5"/>
  <c r="I125" i="5"/>
  <c r="AB125" i="5"/>
  <c r="E125" i="5"/>
  <c r="AA125" i="5"/>
  <c r="D125" i="5"/>
  <c r="Z125" i="5"/>
  <c r="C125" i="5"/>
  <c r="Y125" i="5"/>
  <c r="B125" i="5"/>
  <c r="AF125" i="5"/>
  <c r="AE125" i="5"/>
  <c r="AD125" i="5"/>
  <c r="U125" i="5"/>
  <c r="S125" i="5"/>
  <c r="Q125" i="5"/>
  <c r="P125" i="5"/>
  <c r="M125" i="5"/>
  <c r="L125" i="5"/>
  <c r="AI125" i="5"/>
  <c r="J125" i="5"/>
  <c r="AH125" i="5"/>
  <c r="AG125" i="5"/>
  <c r="O125" i="5"/>
  <c r="N125" i="5"/>
  <c r="K125" i="5"/>
  <c r="R125" i="5"/>
  <c r="AE66" i="5"/>
  <c r="M66" i="5"/>
  <c r="AC66" i="5"/>
  <c r="AD66" i="5" s="1"/>
  <c r="AB66" i="5"/>
  <c r="K66" i="5"/>
  <c r="J66" i="5"/>
  <c r="L66" i="5" s="1"/>
  <c r="Z66" i="5"/>
  <c r="G66" i="5"/>
  <c r="I66" i="5" s="1"/>
  <c r="Q66" i="5"/>
  <c r="V66" i="5"/>
  <c r="T66" i="5"/>
  <c r="U66" i="5" s="1"/>
  <c r="S66" i="5"/>
  <c r="H66" i="5"/>
  <c r="E66" i="5"/>
  <c r="D66" i="5"/>
  <c r="F66" i="5" s="1"/>
  <c r="AF66" i="5"/>
  <c r="AG66" i="5"/>
  <c r="Y66" i="5"/>
  <c r="AA66" i="5" s="1"/>
  <c r="W66" i="5"/>
  <c r="X66" i="5" s="1"/>
  <c r="P66" i="5"/>
  <c r="R66" i="5" s="1"/>
  <c r="N66" i="5"/>
  <c r="O66" i="5" s="1"/>
  <c r="AC66" i="4" s="1"/>
  <c r="AE66" i="4" s="1"/>
  <c r="AF66" i="4" s="1"/>
  <c r="C66" i="5"/>
  <c r="B66" i="5"/>
  <c r="B22" i="5"/>
  <c r="AE22" i="5"/>
  <c r="N22" i="5"/>
  <c r="AC22" i="5"/>
  <c r="AB22" i="5"/>
  <c r="AD22" i="5" s="1"/>
  <c r="H22" i="5"/>
  <c r="Z22" i="5"/>
  <c r="AA22" i="5" s="1"/>
  <c r="G22" i="5"/>
  <c r="I22" i="5" s="1"/>
  <c r="Y22" i="5"/>
  <c r="E22" i="5"/>
  <c r="W22" i="5"/>
  <c r="D22" i="5"/>
  <c r="F22" i="5" s="1"/>
  <c r="T22" i="5"/>
  <c r="S22" i="5"/>
  <c r="Q22" i="5"/>
  <c r="P22" i="5"/>
  <c r="R22" i="5" s="1"/>
  <c r="K22" i="5"/>
  <c r="L22" i="5" s="1"/>
  <c r="AF22" i="5"/>
  <c r="AG22" i="5" s="1"/>
  <c r="V22" i="5"/>
  <c r="X22" i="5" s="1"/>
  <c r="U22" i="5"/>
  <c r="O22" i="5"/>
  <c r="AC22" i="4" s="1"/>
  <c r="AE22" i="4" s="1"/>
  <c r="AF22" i="4" s="1"/>
  <c r="M22" i="5"/>
  <c r="C22" i="5"/>
  <c r="J22" i="5"/>
  <c r="S7" i="9"/>
  <c r="Q7" i="9"/>
  <c r="M7" i="9"/>
  <c r="T7" i="9"/>
  <c r="O7" i="9"/>
  <c r="W80" i="5"/>
  <c r="G80" i="5"/>
  <c r="I80" i="5" s="1"/>
  <c r="V80" i="5"/>
  <c r="X80" i="5" s="1"/>
  <c r="U80" i="5"/>
  <c r="E80" i="5"/>
  <c r="F80" i="5" s="1"/>
  <c r="T80" i="5"/>
  <c r="D80" i="5"/>
  <c r="S80" i="5"/>
  <c r="C80" i="5"/>
  <c r="AB80" i="5"/>
  <c r="AD80" i="5" s="1"/>
  <c r="B80" i="5"/>
  <c r="Z80" i="5"/>
  <c r="Y80" i="5"/>
  <c r="AA80" i="5" s="1"/>
  <c r="Q80" i="5"/>
  <c r="P80" i="5"/>
  <c r="R80" i="5" s="1"/>
  <c r="AE80" i="5"/>
  <c r="AG80" i="5" s="1"/>
  <c r="J80" i="5"/>
  <c r="L80" i="5" s="1"/>
  <c r="AF80" i="5"/>
  <c r="N80" i="5"/>
  <c r="M80" i="5"/>
  <c r="O80" i="5" s="1"/>
  <c r="AC80" i="4" s="1"/>
  <c r="AE80" i="4" s="1"/>
  <c r="AF80" i="4" s="1"/>
  <c r="H80" i="5"/>
  <c r="K80" i="5"/>
  <c r="AC80" i="5"/>
  <c r="W58" i="5"/>
  <c r="G58" i="5"/>
  <c r="I58" i="5" s="1"/>
  <c r="T58" i="5"/>
  <c r="C58" i="5"/>
  <c r="S58" i="5"/>
  <c r="B58" i="5"/>
  <c r="Q58" i="5"/>
  <c r="R58" i="5" s="1"/>
  <c r="P58" i="5"/>
  <c r="X58" i="5"/>
  <c r="Z58" i="5"/>
  <c r="Y58" i="5"/>
  <c r="AA58" i="5" s="1"/>
  <c r="V58" i="5"/>
  <c r="U58" i="5"/>
  <c r="M58" i="5"/>
  <c r="O58" i="5" s="1"/>
  <c r="AC58" i="4" s="1"/>
  <c r="AE58" i="4" s="1"/>
  <c r="AF58" i="4" s="1"/>
  <c r="L58" i="5"/>
  <c r="K58" i="5"/>
  <c r="J58" i="5"/>
  <c r="E58" i="5"/>
  <c r="N58" i="5"/>
  <c r="H58" i="5"/>
  <c r="D58" i="5"/>
  <c r="F58" i="5" s="1"/>
  <c r="AC58" i="5"/>
  <c r="AF58" i="5"/>
  <c r="AE58" i="5"/>
  <c r="AG58" i="5" s="1"/>
  <c r="AB58" i="5"/>
  <c r="AD58" i="5" s="1"/>
  <c r="AH127" i="5"/>
  <c r="R127" i="5"/>
  <c r="B127" i="5"/>
  <c r="AG127" i="5"/>
  <c r="Q127" i="5"/>
  <c r="AF127" i="5"/>
  <c r="P127" i="5"/>
  <c r="AD127" i="5"/>
  <c r="N127" i="5"/>
  <c r="W127" i="5"/>
  <c r="C127" i="5"/>
  <c r="V127" i="5"/>
  <c r="U127" i="5"/>
  <c r="T127" i="5"/>
  <c r="S127" i="5"/>
  <c r="Y127" i="5"/>
  <c r="X127" i="5"/>
  <c r="O127" i="5"/>
  <c r="M127" i="5"/>
  <c r="L127" i="5"/>
  <c r="J127" i="5"/>
  <c r="I127" i="5"/>
  <c r="AI127" i="5"/>
  <c r="F127" i="5"/>
  <c r="AE127" i="5"/>
  <c r="E127" i="5"/>
  <c r="AB127" i="5"/>
  <c r="AC127" i="5"/>
  <c r="AA127" i="5"/>
  <c r="Z127" i="5"/>
  <c r="K127" i="5"/>
  <c r="G127" i="5"/>
  <c r="H127" i="5"/>
  <c r="D127" i="5"/>
  <c r="T133" i="5"/>
  <c r="D133" i="5"/>
  <c r="AI133" i="5"/>
  <c r="S133" i="5"/>
  <c r="W133" i="5"/>
  <c r="E133" i="5"/>
  <c r="V133" i="5"/>
  <c r="C133" i="5"/>
  <c r="U133" i="5"/>
  <c r="B133" i="5"/>
  <c r="Q133" i="5"/>
  <c r="AF133" i="5"/>
  <c r="J133" i="5"/>
  <c r="AE133" i="5"/>
  <c r="I133" i="5"/>
  <c r="AD133" i="5"/>
  <c r="H133" i="5"/>
  <c r="AC133" i="5"/>
  <c r="G133" i="5"/>
  <c r="AB133" i="5"/>
  <c r="F133" i="5"/>
  <c r="O133" i="5"/>
  <c r="L133" i="5"/>
  <c r="K133" i="5"/>
  <c r="AH133" i="5"/>
  <c r="AG133" i="5"/>
  <c r="Y133" i="5"/>
  <c r="X133" i="5"/>
  <c r="P133" i="5"/>
  <c r="AA133" i="5"/>
  <c r="Z133" i="5"/>
  <c r="R133" i="5"/>
  <c r="N133" i="5"/>
  <c r="M133" i="5"/>
  <c r="AH148" i="5"/>
  <c r="R148" i="5"/>
  <c r="B148" i="5"/>
  <c r="W148" i="5"/>
  <c r="G148" i="5"/>
  <c r="Y148" i="5"/>
  <c r="F148" i="5"/>
  <c r="AF148" i="5"/>
  <c r="M148" i="5"/>
  <c r="AE148" i="5"/>
  <c r="L148" i="5"/>
  <c r="AC148" i="5"/>
  <c r="H148" i="5"/>
  <c r="AB148" i="5"/>
  <c r="E148" i="5"/>
  <c r="AA148" i="5"/>
  <c r="D148" i="5"/>
  <c r="X148" i="5"/>
  <c r="AD148" i="5"/>
  <c r="Z148" i="5"/>
  <c r="V148" i="5"/>
  <c r="U148" i="5"/>
  <c r="T148" i="5"/>
  <c r="J148" i="5"/>
  <c r="I148" i="5"/>
  <c r="C148" i="5"/>
  <c r="S148" i="5"/>
  <c r="Q148" i="5"/>
  <c r="O148" i="5"/>
  <c r="AI148" i="5"/>
  <c r="AG148" i="5"/>
  <c r="P148" i="5"/>
  <c r="N148" i="5"/>
  <c r="K148" i="5"/>
  <c r="K11" i="5"/>
  <c r="AF11" i="5"/>
  <c r="AE11" i="5"/>
  <c r="N11" i="5"/>
  <c r="M11" i="5"/>
  <c r="O11" i="5" s="1"/>
  <c r="AC11" i="4" s="1"/>
  <c r="AE11" i="4" s="1"/>
  <c r="AF11" i="4" s="1"/>
  <c r="AC11" i="5"/>
  <c r="AD11" i="5" s="1"/>
  <c r="W11" i="5"/>
  <c r="X11" i="5" s="1"/>
  <c r="F11" i="5"/>
  <c r="V11" i="5"/>
  <c r="E11" i="5"/>
  <c r="D11" i="5"/>
  <c r="AG11" i="5"/>
  <c r="AB11" i="5"/>
  <c r="Z11" i="5"/>
  <c r="Y11" i="5"/>
  <c r="AA11" i="5" s="1"/>
  <c r="Q11" i="5"/>
  <c r="P11" i="5"/>
  <c r="R11" i="5" s="1"/>
  <c r="J11" i="5"/>
  <c r="L11" i="5" s="1"/>
  <c r="G11" i="5"/>
  <c r="I11" i="5" s="1"/>
  <c r="T11" i="5"/>
  <c r="U11" i="5" s="1"/>
  <c r="S11" i="5"/>
  <c r="H11" i="5"/>
  <c r="B11" i="5"/>
  <c r="C11" i="5"/>
  <c r="V69" i="5"/>
  <c r="X69" i="5" s="1"/>
  <c r="AB69" i="5"/>
  <c r="AD69" i="5" s="1"/>
  <c r="K69" i="5"/>
  <c r="J69" i="5"/>
  <c r="L69" i="5" s="1"/>
  <c r="Z69" i="5"/>
  <c r="Y69" i="5"/>
  <c r="AA69" i="5" s="1"/>
  <c r="H69" i="5"/>
  <c r="I69" i="5" s="1"/>
  <c r="G69" i="5"/>
  <c r="D69" i="5"/>
  <c r="F69" i="5" s="1"/>
  <c r="T69" i="5"/>
  <c r="C69" i="5"/>
  <c r="AE69" i="5"/>
  <c r="AG69" i="5" s="1"/>
  <c r="N69" i="5"/>
  <c r="R69" i="5"/>
  <c r="Q69" i="5"/>
  <c r="P69" i="5"/>
  <c r="O69" i="5"/>
  <c r="AC69" i="4" s="1"/>
  <c r="AE69" i="4" s="1"/>
  <c r="AF69" i="4" s="1"/>
  <c r="M69" i="5"/>
  <c r="B69" i="5"/>
  <c r="AC69" i="5"/>
  <c r="S69" i="5"/>
  <c r="U69" i="5" s="1"/>
  <c r="E69" i="5"/>
  <c r="AF69" i="5"/>
  <c r="W69" i="5"/>
  <c r="Z73" i="5"/>
  <c r="AA73" i="5" s="1"/>
  <c r="J73" i="5"/>
  <c r="G73" i="5"/>
  <c r="W73" i="5"/>
  <c r="V73" i="5"/>
  <c r="X73" i="5" s="1"/>
  <c r="E73" i="5"/>
  <c r="F73" i="5" s="1"/>
  <c r="D73" i="5"/>
  <c r="T73" i="5"/>
  <c r="C73" i="5"/>
  <c r="Q73" i="5"/>
  <c r="AB73" i="5"/>
  <c r="AD73" i="5" s="1"/>
  <c r="K73" i="5"/>
  <c r="N73" i="5"/>
  <c r="M73" i="5"/>
  <c r="O73" i="5" s="1"/>
  <c r="AC73" i="4" s="1"/>
  <c r="AE73" i="4" s="1"/>
  <c r="AF73" i="4" s="1"/>
  <c r="L73" i="5"/>
  <c r="I73" i="5"/>
  <c r="AG73" i="5"/>
  <c r="AF73" i="5"/>
  <c r="AE73" i="5"/>
  <c r="Y73" i="5"/>
  <c r="S73" i="5"/>
  <c r="U73" i="5" s="1"/>
  <c r="P73" i="5"/>
  <c r="R73" i="5" s="1"/>
  <c r="H73" i="5"/>
  <c r="B73" i="5"/>
  <c r="AC73" i="5"/>
  <c r="B116" i="5"/>
  <c r="AG116" i="5"/>
  <c r="Q116" i="5"/>
  <c r="P116" i="5"/>
  <c r="R116" i="5" s="1"/>
  <c r="AF116" i="5"/>
  <c r="N116" i="5"/>
  <c r="AE116" i="5"/>
  <c r="M116" i="5"/>
  <c r="O116" i="5" s="1"/>
  <c r="AC116" i="4" s="1"/>
  <c r="AE116" i="4" s="1"/>
  <c r="AF116" i="4" s="1"/>
  <c r="I116" i="5"/>
  <c r="H116" i="5"/>
  <c r="G116" i="5"/>
  <c r="AC116" i="5"/>
  <c r="AB116" i="5"/>
  <c r="AD116" i="5" s="1"/>
  <c r="E116" i="5"/>
  <c r="F116" i="5" s="1"/>
  <c r="V116" i="5"/>
  <c r="X116" i="5" s="1"/>
  <c r="S116" i="5"/>
  <c r="Y116" i="5"/>
  <c r="AA116" i="5" s="1"/>
  <c r="T116" i="5"/>
  <c r="U116" i="5" s="1"/>
  <c r="C116" i="5"/>
  <c r="W116" i="5"/>
  <c r="K116" i="5"/>
  <c r="J116" i="5"/>
  <c r="L116" i="5" s="1"/>
  <c r="D116" i="5"/>
  <c r="Z116" i="5"/>
  <c r="Q39" i="5"/>
  <c r="AF39" i="5"/>
  <c r="AG39" i="5" s="1"/>
  <c r="P39" i="5"/>
  <c r="R39" i="5" s="1"/>
  <c r="AE39" i="5"/>
  <c r="N39" i="5"/>
  <c r="AC39" i="5"/>
  <c r="M39" i="5"/>
  <c r="O39" i="5" s="1"/>
  <c r="AC39" i="4" s="1"/>
  <c r="AE39" i="4" s="1"/>
  <c r="AF39" i="4" s="1"/>
  <c r="K39" i="5"/>
  <c r="J39" i="5"/>
  <c r="L39" i="5" s="1"/>
  <c r="X39" i="5"/>
  <c r="C39" i="5"/>
  <c r="Z39" i="5"/>
  <c r="Y39" i="5"/>
  <c r="AA39" i="5" s="1"/>
  <c r="W39" i="5"/>
  <c r="V39" i="5"/>
  <c r="S39" i="5"/>
  <c r="H39" i="5"/>
  <c r="G39" i="5"/>
  <c r="I39" i="5" s="1"/>
  <c r="D39" i="5"/>
  <c r="AB39" i="5"/>
  <c r="AD39" i="5" s="1"/>
  <c r="U39" i="5"/>
  <c r="T39" i="5"/>
  <c r="B39" i="5"/>
  <c r="E39" i="5"/>
  <c r="F39" i="5"/>
  <c r="U126" i="5"/>
  <c r="E126" i="5"/>
  <c r="T126" i="5"/>
  <c r="D126" i="5"/>
  <c r="AI126" i="5"/>
  <c r="S126" i="5"/>
  <c r="C126" i="5"/>
  <c r="AG126" i="5"/>
  <c r="Q126" i="5"/>
  <c r="N126" i="5"/>
  <c r="AH126" i="5"/>
  <c r="M126" i="5"/>
  <c r="AF126" i="5"/>
  <c r="L126" i="5"/>
  <c r="AE126" i="5"/>
  <c r="K126" i="5"/>
  <c r="AD126" i="5"/>
  <c r="J126" i="5"/>
  <c r="Z126" i="5"/>
  <c r="Y126" i="5"/>
  <c r="X126" i="5"/>
  <c r="W126" i="5"/>
  <c r="V126" i="5"/>
  <c r="P126" i="5"/>
  <c r="O126" i="5"/>
  <c r="G126" i="5"/>
  <c r="F126" i="5"/>
  <c r="AC126" i="5"/>
  <c r="I126" i="5"/>
  <c r="H126" i="5"/>
  <c r="B126" i="5"/>
  <c r="AB126" i="5"/>
  <c r="R126" i="5"/>
  <c r="AA126" i="5"/>
  <c r="AE117" i="5"/>
  <c r="N117" i="5"/>
  <c r="S117" i="5"/>
  <c r="R117" i="5"/>
  <c r="Q117" i="5"/>
  <c r="P117" i="5"/>
  <c r="AG117" i="5"/>
  <c r="M117" i="5"/>
  <c r="O117" i="5" s="1"/>
  <c r="AC117" i="4" s="1"/>
  <c r="AE117" i="4" s="1"/>
  <c r="AF117" i="4" s="1"/>
  <c r="D117" i="5"/>
  <c r="F117" i="5" s="1"/>
  <c r="Z117" i="5"/>
  <c r="AA117" i="5" s="1"/>
  <c r="C117" i="5"/>
  <c r="Y117" i="5"/>
  <c r="B117" i="5"/>
  <c r="W117" i="5"/>
  <c r="J117" i="5"/>
  <c r="L117" i="5" s="1"/>
  <c r="I117" i="5"/>
  <c r="AF117" i="5"/>
  <c r="G117" i="5"/>
  <c r="K117" i="5"/>
  <c r="H117" i="5"/>
  <c r="E117" i="5"/>
  <c r="AC117" i="5"/>
  <c r="T117" i="5"/>
  <c r="U117" i="5" s="1"/>
  <c r="AB117" i="5"/>
  <c r="AD117" i="5" s="1"/>
  <c r="V117" i="5"/>
  <c r="X117" i="5" s="1"/>
  <c r="H111" i="5"/>
  <c r="W111" i="5"/>
  <c r="G111" i="5"/>
  <c r="I111" i="5" s="1"/>
  <c r="V111" i="5"/>
  <c r="X111" i="5" s="1"/>
  <c r="T111" i="5"/>
  <c r="D111" i="5"/>
  <c r="F111" i="5" s="1"/>
  <c r="S111" i="5"/>
  <c r="Q111" i="5"/>
  <c r="P111" i="5"/>
  <c r="R111" i="5" s="1"/>
  <c r="O111" i="5"/>
  <c r="AC111" i="4" s="1"/>
  <c r="AE111" i="4" s="1"/>
  <c r="AF111" i="4" s="1"/>
  <c r="AC111" i="5"/>
  <c r="Z111" i="5"/>
  <c r="B111" i="5"/>
  <c r="AB111" i="5"/>
  <c r="AD111" i="5" s="1"/>
  <c r="Y111" i="5"/>
  <c r="AA111" i="5" s="1"/>
  <c r="U111" i="5"/>
  <c r="M111" i="5"/>
  <c r="J111" i="5"/>
  <c r="L111" i="5" s="1"/>
  <c r="AF111" i="5"/>
  <c r="AE111" i="5"/>
  <c r="AG111" i="5" s="1"/>
  <c r="E111" i="5"/>
  <c r="C111" i="5"/>
  <c r="N111" i="5"/>
  <c r="K111" i="5"/>
  <c r="T142" i="5"/>
  <c r="D142" i="5"/>
  <c r="S142" i="5"/>
  <c r="B142" i="5"/>
  <c r="AE142" i="5"/>
  <c r="M142" i="5"/>
  <c r="AD142" i="5"/>
  <c r="L142" i="5"/>
  <c r="V142" i="5"/>
  <c r="U142" i="5"/>
  <c r="R142" i="5"/>
  <c r="P142" i="5"/>
  <c r="AG142" i="5"/>
  <c r="G142" i="5"/>
  <c r="AF142" i="5"/>
  <c r="F142" i="5"/>
  <c r="AC142" i="5"/>
  <c r="E142" i="5"/>
  <c r="AB142" i="5"/>
  <c r="C142" i="5"/>
  <c r="AA142" i="5"/>
  <c r="N142" i="5"/>
  <c r="Z142" i="5"/>
  <c r="Y142" i="5"/>
  <c r="X142" i="5"/>
  <c r="W142" i="5"/>
  <c r="Q142" i="5"/>
  <c r="K142" i="5"/>
  <c r="J142" i="5"/>
  <c r="AI142" i="5"/>
  <c r="AH142" i="5"/>
  <c r="I142" i="5"/>
  <c r="H142" i="5"/>
  <c r="O142" i="5"/>
  <c r="AC104" i="5"/>
  <c r="M104" i="5"/>
  <c r="AB104" i="5"/>
  <c r="AD104" i="5" s="1"/>
  <c r="K104" i="5"/>
  <c r="L104" i="5" s="1"/>
  <c r="Y104" i="5"/>
  <c r="AA104" i="5" s="1"/>
  <c r="AF104" i="5"/>
  <c r="H104" i="5"/>
  <c r="I104" i="5" s="1"/>
  <c r="AE104" i="5"/>
  <c r="G104" i="5"/>
  <c r="Z104" i="5"/>
  <c r="E104" i="5"/>
  <c r="F104" i="5" s="1"/>
  <c r="D104" i="5"/>
  <c r="R104" i="5"/>
  <c r="V104" i="5"/>
  <c r="X104" i="5" s="1"/>
  <c r="T104" i="5"/>
  <c r="S104" i="5"/>
  <c r="U104" i="5" s="1"/>
  <c r="Q104" i="5"/>
  <c r="N104" i="5"/>
  <c r="O104" i="5" s="1"/>
  <c r="AC104" i="4" s="1"/>
  <c r="AE104" i="4" s="1"/>
  <c r="AF104" i="4" s="1"/>
  <c r="C104" i="5"/>
  <c r="B104" i="5"/>
  <c r="W104" i="5"/>
  <c r="AG104" i="5"/>
  <c r="P104" i="5"/>
  <c r="J104" i="5"/>
  <c r="U112" i="5"/>
  <c r="E112" i="5"/>
  <c r="T112" i="5"/>
  <c r="D112" i="5"/>
  <c r="F112" i="5" s="1"/>
  <c r="S112" i="5"/>
  <c r="C112" i="5"/>
  <c r="Q112" i="5"/>
  <c r="AB112" i="5"/>
  <c r="H112" i="5"/>
  <c r="G112" i="5"/>
  <c r="Z112" i="5"/>
  <c r="AA112" i="5" s="1"/>
  <c r="Y112" i="5"/>
  <c r="B112" i="5"/>
  <c r="X112" i="5"/>
  <c r="N112" i="5"/>
  <c r="M112" i="5"/>
  <c r="AE112" i="5"/>
  <c r="K112" i="5"/>
  <c r="AF112" i="5"/>
  <c r="AG112" i="5" s="1"/>
  <c r="AD112" i="5"/>
  <c r="AC112" i="5"/>
  <c r="W112" i="5"/>
  <c r="R112" i="5"/>
  <c r="P112" i="5"/>
  <c r="L112" i="5"/>
  <c r="V112" i="5"/>
  <c r="I112" i="5"/>
  <c r="O112" i="5"/>
  <c r="AC112" i="4" s="1"/>
  <c r="AE112" i="4" s="1"/>
  <c r="AF112" i="4" s="1"/>
  <c r="J112" i="5"/>
  <c r="AE88" i="5"/>
  <c r="N88" i="5"/>
  <c r="AC88" i="5"/>
  <c r="AD88" i="5" s="1"/>
  <c r="M88" i="5"/>
  <c r="O88" i="5" s="1"/>
  <c r="AC88" i="4" s="1"/>
  <c r="AE88" i="4" s="1"/>
  <c r="AF88" i="4" s="1"/>
  <c r="AB88" i="5"/>
  <c r="K88" i="5"/>
  <c r="Y88" i="5"/>
  <c r="AA88" i="5" s="1"/>
  <c r="D88" i="5"/>
  <c r="F88" i="5" s="1"/>
  <c r="C88" i="5"/>
  <c r="W88" i="5"/>
  <c r="B88" i="5"/>
  <c r="V88" i="5"/>
  <c r="X88" i="5" s="1"/>
  <c r="U88" i="5"/>
  <c r="S88" i="5"/>
  <c r="R88" i="5"/>
  <c r="AG88" i="5"/>
  <c r="G88" i="5"/>
  <c r="I88" i="5" s="1"/>
  <c r="AF88" i="5"/>
  <c r="Q88" i="5"/>
  <c r="P88" i="5"/>
  <c r="J88" i="5"/>
  <c r="L88" i="5" s="1"/>
  <c r="E88" i="5"/>
  <c r="Z88" i="5"/>
  <c r="T88" i="5"/>
  <c r="H88" i="5"/>
  <c r="K110" i="5"/>
  <c r="Z110" i="5"/>
  <c r="AA110" i="5" s="1"/>
  <c r="J110" i="5"/>
  <c r="L110" i="5" s="1"/>
  <c r="Y110" i="5"/>
  <c r="W110" i="5"/>
  <c r="X110" i="5" s="1"/>
  <c r="G110" i="5"/>
  <c r="I110" i="5" s="1"/>
  <c r="N110" i="5"/>
  <c r="M110" i="5"/>
  <c r="AF110" i="5"/>
  <c r="AE110" i="5"/>
  <c r="AG110" i="5" s="1"/>
  <c r="H110" i="5"/>
  <c r="F110" i="5"/>
  <c r="AH110" i="5" s="1"/>
  <c r="T110" i="5"/>
  <c r="Q110" i="5"/>
  <c r="V110" i="5"/>
  <c r="S110" i="5"/>
  <c r="U110" i="5" s="1"/>
  <c r="O110" i="5"/>
  <c r="AC110" i="4" s="1"/>
  <c r="AE110" i="4" s="1"/>
  <c r="AF110" i="4" s="1"/>
  <c r="E110" i="5"/>
  <c r="C110" i="5"/>
  <c r="AC110" i="5"/>
  <c r="AD110" i="5" s="1"/>
  <c r="AB110" i="5"/>
  <c r="P110" i="5"/>
  <c r="R110" i="5" s="1"/>
  <c r="D110" i="5"/>
  <c r="B110" i="5"/>
  <c r="H12" i="5"/>
  <c r="AE12" i="5"/>
  <c r="N12" i="5"/>
  <c r="M12" i="5"/>
  <c r="AC12" i="5"/>
  <c r="AD12" i="5" s="1"/>
  <c r="AB12" i="5"/>
  <c r="K12" i="5"/>
  <c r="V12" i="5"/>
  <c r="E12" i="5"/>
  <c r="D12" i="5"/>
  <c r="F12" i="5" s="1"/>
  <c r="T12" i="5"/>
  <c r="C12" i="5"/>
  <c r="Q12" i="5"/>
  <c r="AF12" i="5"/>
  <c r="Z12" i="5"/>
  <c r="Y12" i="5"/>
  <c r="AA12" i="5" s="1"/>
  <c r="W12" i="5"/>
  <c r="X12" i="5" s="1"/>
  <c r="P12" i="5"/>
  <c r="O12" i="5"/>
  <c r="AC12" i="4" s="1"/>
  <c r="AE12" i="4" s="1"/>
  <c r="AF12" i="4" s="1"/>
  <c r="J12" i="5"/>
  <c r="L12" i="5" s="1"/>
  <c r="B12" i="5"/>
  <c r="R12" i="5"/>
  <c r="AG12" i="5"/>
  <c r="S12" i="5"/>
  <c r="U12" i="5" s="1"/>
  <c r="G12" i="5"/>
  <c r="I12" i="5" s="1"/>
  <c r="S49" i="5"/>
  <c r="U49" i="5" s="1"/>
  <c r="C49" i="5"/>
  <c r="B49" i="5"/>
  <c r="Q49" i="5"/>
  <c r="R49" i="5" s="1"/>
  <c r="AF49" i="5"/>
  <c r="P49" i="5"/>
  <c r="AE49" i="5"/>
  <c r="AG49" i="5" s="1"/>
  <c r="V49" i="5"/>
  <c r="X49" i="5" s="1"/>
  <c r="W49" i="5"/>
  <c r="T49" i="5"/>
  <c r="N49" i="5"/>
  <c r="M49" i="5"/>
  <c r="O49" i="5" s="1"/>
  <c r="AC49" i="4" s="1"/>
  <c r="AE49" i="4" s="1"/>
  <c r="AF49" i="4" s="1"/>
  <c r="H49" i="5"/>
  <c r="AC49" i="5"/>
  <c r="AB49" i="5"/>
  <c r="AD49" i="5" s="1"/>
  <c r="Y49" i="5"/>
  <c r="AA49" i="5" s="1"/>
  <c r="L49" i="5"/>
  <c r="K49" i="5"/>
  <c r="E49" i="5"/>
  <c r="G49" i="5"/>
  <c r="I49" i="5" s="1"/>
  <c r="D49" i="5"/>
  <c r="F49" i="5" s="1"/>
  <c r="Z49" i="5"/>
  <c r="J49" i="5"/>
  <c r="B97" i="5"/>
  <c r="Q97" i="5"/>
  <c r="AF97" i="5"/>
  <c r="P97" i="5"/>
  <c r="R97" i="5" s="1"/>
  <c r="N97" i="5"/>
  <c r="T97" i="5"/>
  <c r="S97" i="5"/>
  <c r="U97" i="5" s="1"/>
  <c r="O97" i="5"/>
  <c r="AC97" i="4" s="1"/>
  <c r="AE97" i="4" s="1"/>
  <c r="AF97" i="4" s="1"/>
  <c r="M97" i="5"/>
  <c r="K97" i="5"/>
  <c r="J97" i="5"/>
  <c r="H97" i="5"/>
  <c r="G97" i="5"/>
  <c r="I97" i="5" s="1"/>
  <c r="AE97" i="5"/>
  <c r="AG97" i="5" s="1"/>
  <c r="E97" i="5"/>
  <c r="AC97" i="5"/>
  <c r="D97" i="5"/>
  <c r="F97" i="5" s="1"/>
  <c r="W97" i="5"/>
  <c r="X97" i="5" s="1"/>
  <c r="AB97" i="5"/>
  <c r="AD97" i="5" s="1"/>
  <c r="Z97" i="5"/>
  <c r="Y97" i="5"/>
  <c r="AA97" i="5" s="1"/>
  <c r="L97" i="5"/>
  <c r="V97" i="5"/>
  <c r="C97" i="5"/>
  <c r="AF103" i="5"/>
  <c r="P103" i="5"/>
  <c r="AE103" i="5"/>
  <c r="AG103" i="5" s="1"/>
  <c r="O103" i="5"/>
  <c r="AC103" i="4" s="1"/>
  <c r="AE103" i="4" s="1"/>
  <c r="AF103" i="4" s="1"/>
  <c r="N103" i="5"/>
  <c r="AB103" i="5"/>
  <c r="AD103" i="5" s="1"/>
  <c r="W103" i="5"/>
  <c r="C103" i="5"/>
  <c r="V103" i="5"/>
  <c r="B103" i="5"/>
  <c r="T103" i="5"/>
  <c r="S103" i="5"/>
  <c r="U103" i="5" s="1"/>
  <c r="I103" i="5"/>
  <c r="Z103" i="5"/>
  <c r="Y103" i="5"/>
  <c r="X103" i="5"/>
  <c r="R103" i="5"/>
  <c r="Q103" i="5"/>
  <c r="K103" i="5"/>
  <c r="J103" i="5"/>
  <c r="L103" i="5" s="1"/>
  <c r="AC103" i="5"/>
  <c r="H103" i="5"/>
  <c r="G103" i="5"/>
  <c r="E103" i="5"/>
  <c r="F103" i="5" s="1"/>
  <c r="D103" i="5"/>
  <c r="AA103" i="5"/>
  <c r="M103" i="5"/>
  <c r="AE128" i="5"/>
  <c r="O128" i="5"/>
  <c r="AD128" i="5"/>
  <c r="N128" i="5"/>
  <c r="AC128" i="5"/>
  <c r="M128" i="5"/>
  <c r="AA128" i="5"/>
  <c r="K128" i="5"/>
  <c r="AF128" i="5"/>
  <c r="H128" i="5"/>
  <c r="AB128" i="5"/>
  <c r="G128" i="5"/>
  <c r="Z128" i="5"/>
  <c r="F128" i="5"/>
  <c r="Y128" i="5"/>
  <c r="E128" i="5"/>
  <c r="X128" i="5"/>
  <c r="D128" i="5"/>
  <c r="S128" i="5"/>
  <c r="R128" i="5"/>
  <c r="Q128" i="5"/>
  <c r="P128" i="5"/>
  <c r="L128" i="5"/>
  <c r="I128" i="5"/>
  <c r="C128" i="5"/>
  <c r="AH128" i="5"/>
  <c r="AG128" i="5"/>
  <c r="V128" i="5"/>
  <c r="W128" i="5"/>
  <c r="U128" i="5"/>
  <c r="T128" i="5"/>
  <c r="J128" i="5"/>
  <c r="B128" i="5"/>
  <c r="AI128" i="5"/>
  <c r="V152" i="5"/>
  <c r="F152" i="5"/>
  <c r="AA152" i="5"/>
  <c r="K152" i="5"/>
  <c r="AE152" i="5"/>
  <c r="M152" i="5"/>
  <c r="AD152" i="5"/>
  <c r="J152" i="5"/>
  <c r="AC152" i="5"/>
  <c r="I152" i="5"/>
  <c r="AB152" i="5"/>
  <c r="H152" i="5"/>
  <c r="AH152" i="5"/>
  <c r="G152" i="5"/>
  <c r="AG152" i="5"/>
  <c r="E152" i="5"/>
  <c r="AF152" i="5"/>
  <c r="D152" i="5"/>
  <c r="Y152" i="5"/>
  <c r="B152" i="5"/>
  <c r="Q152" i="5"/>
  <c r="P152" i="5"/>
  <c r="O152" i="5"/>
  <c r="N152" i="5"/>
  <c r="L152" i="5"/>
  <c r="W152" i="5"/>
  <c r="S152" i="5"/>
  <c r="R152" i="5"/>
  <c r="C152" i="5"/>
  <c r="AI152" i="5"/>
  <c r="X152" i="5"/>
  <c r="Z152" i="5"/>
  <c r="U152" i="5"/>
  <c r="T152" i="5"/>
  <c r="K124" i="5"/>
  <c r="Z124" i="5"/>
  <c r="J124" i="5"/>
  <c r="L124" i="5" s="1"/>
  <c r="Y124" i="5"/>
  <c r="AA124" i="5" s="1"/>
  <c r="V124" i="5"/>
  <c r="C124" i="5"/>
  <c r="B124" i="5"/>
  <c r="T124" i="5"/>
  <c r="U124" i="5" s="1"/>
  <c r="S124" i="5"/>
  <c r="G124" i="5"/>
  <c r="I124" i="5" s="1"/>
  <c r="AF124" i="5"/>
  <c r="E124" i="5"/>
  <c r="AE124" i="5"/>
  <c r="AG124" i="5" s="1"/>
  <c r="D124" i="5"/>
  <c r="F124" i="5" s="1"/>
  <c r="AB124" i="5"/>
  <c r="P124" i="5"/>
  <c r="R124" i="5" s="1"/>
  <c r="M124" i="5"/>
  <c r="O124" i="5" s="1"/>
  <c r="AC124" i="4" s="1"/>
  <c r="AE124" i="4" s="1"/>
  <c r="AF124" i="4" s="1"/>
  <c r="H124" i="5"/>
  <c r="Q124" i="5"/>
  <c r="AC124" i="5"/>
  <c r="AD124" i="5" s="1"/>
  <c r="W124" i="5"/>
  <c r="X124" i="5" s="1"/>
  <c r="N124" i="5"/>
  <c r="W114" i="5"/>
  <c r="AF114" i="5"/>
  <c r="AG114" i="5" s="1"/>
  <c r="O114" i="5"/>
  <c r="AC114" i="4" s="1"/>
  <c r="AE114" i="4" s="1"/>
  <c r="AF114" i="4" s="1"/>
  <c r="AE114" i="5"/>
  <c r="N114" i="5"/>
  <c r="M114" i="5"/>
  <c r="AC114" i="5"/>
  <c r="AD114" i="5" s="1"/>
  <c r="L114" i="5"/>
  <c r="AB114" i="5"/>
  <c r="K114" i="5"/>
  <c r="Z114" i="5"/>
  <c r="AA114" i="5" s="1"/>
  <c r="D114" i="5"/>
  <c r="F114" i="5" s="1"/>
  <c r="Y114" i="5"/>
  <c r="C114" i="5"/>
  <c r="B114" i="5"/>
  <c r="V114" i="5"/>
  <c r="X114" i="5" s="1"/>
  <c r="U114" i="5"/>
  <c r="J114" i="5"/>
  <c r="G114" i="5"/>
  <c r="I114" i="5" s="1"/>
  <c r="P114" i="5"/>
  <c r="H114" i="5"/>
  <c r="E114" i="5"/>
  <c r="S114" i="5"/>
  <c r="T114" i="5"/>
  <c r="Q114" i="5"/>
  <c r="R114" i="5" s="1"/>
  <c r="Y151" i="5"/>
  <c r="I151" i="5"/>
  <c r="AD151" i="5"/>
  <c r="N151" i="5"/>
  <c r="AC151" i="5"/>
  <c r="K151" i="5"/>
  <c r="Z151" i="5"/>
  <c r="F151" i="5"/>
  <c r="X151" i="5"/>
  <c r="E151" i="5"/>
  <c r="W151" i="5"/>
  <c r="D151" i="5"/>
  <c r="S151" i="5"/>
  <c r="R151" i="5"/>
  <c r="Q151" i="5"/>
  <c r="O151" i="5"/>
  <c r="T151" i="5"/>
  <c r="P151" i="5"/>
  <c r="M151" i="5"/>
  <c r="L151" i="5"/>
  <c r="J151" i="5"/>
  <c r="AE151" i="5"/>
  <c r="AI151" i="5"/>
  <c r="AG151" i="5"/>
  <c r="AF151" i="5"/>
  <c r="V151" i="5"/>
  <c r="U151" i="5"/>
  <c r="G151" i="5"/>
  <c r="B151" i="5"/>
  <c r="AA151" i="5"/>
  <c r="C151" i="5"/>
  <c r="AH151" i="5"/>
  <c r="AB151" i="5"/>
  <c r="H151" i="5"/>
  <c r="AF55" i="5"/>
  <c r="P55" i="5"/>
  <c r="R55" i="5" s="1"/>
  <c r="W55" i="5"/>
  <c r="V55" i="5"/>
  <c r="X55" i="5" s="1"/>
  <c r="E55" i="5"/>
  <c r="D55" i="5"/>
  <c r="F55" i="5" s="1"/>
  <c r="T55" i="5"/>
  <c r="C55" i="5"/>
  <c r="S55" i="5"/>
  <c r="U55" i="5" s="1"/>
  <c r="B55" i="5"/>
  <c r="Z55" i="5"/>
  <c r="Q55" i="5"/>
  <c r="N55" i="5"/>
  <c r="K55" i="5"/>
  <c r="J55" i="5"/>
  <c r="L55" i="5" s="1"/>
  <c r="AG55" i="5"/>
  <c r="H55" i="5"/>
  <c r="AE55" i="5"/>
  <c r="G55" i="5"/>
  <c r="I55" i="5" s="1"/>
  <c r="AB55" i="5"/>
  <c r="AD55" i="5"/>
  <c r="AC55" i="5"/>
  <c r="M55" i="5"/>
  <c r="O55" i="5" s="1"/>
  <c r="AC55" i="4" s="1"/>
  <c r="AE55" i="4" s="1"/>
  <c r="AF55" i="4" s="1"/>
  <c r="Y55" i="5"/>
  <c r="AA55" i="5" s="1"/>
  <c r="Z52" i="5"/>
  <c r="J52" i="5"/>
  <c r="Y52" i="5"/>
  <c r="AA52" i="5" s="1"/>
  <c r="H52" i="5"/>
  <c r="W52" i="5"/>
  <c r="G52" i="5"/>
  <c r="I52" i="5" s="1"/>
  <c r="V52" i="5"/>
  <c r="X52" i="5" s="1"/>
  <c r="AC52" i="5"/>
  <c r="AD52" i="5" s="1"/>
  <c r="M52" i="5"/>
  <c r="O52" i="5" s="1"/>
  <c r="AC52" i="4" s="1"/>
  <c r="AE52" i="4" s="1"/>
  <c r="AF52" i="4" s="1"/>
  <c r="R52" i="5"/>
  <c r="Q52" i="5"/>
  <c r="P52" i="5"/>
  <c r="N52" i="5"/>
  <c r="E52" i="5"/>
  <c r="AF52" i="5"/>
  <c r="D52" i="5"/>
  <c r="F52" i="5" s="1"/>
  <c r="AE52" i="5"/>
  <c r="AG52" i="5" s="1"/>
  <c r="C52" i="5"/>
  <c r="B52" i="5"/>
  <c r="K52" i="5"/>
  <c r="L52" i="5" s="1"/>
  <c r="T52" i="5"/>
  <c r="AB52" i="5"/>
  <c r="S52" i="5"/>
  <c r="U52" i="5" s="1"/>
  <c r="AC72" i="5"/>
  <c r="M72" i="5"/>
  <c r="Y72" i="5"/>
  <c r="H72" i="5"/>
  <c r="I72" i="5" s="1"/>
  <c r="G72" i="5"/>
  <c r="W72" i="5"/>
  <c r="V72" i="5"/>
  <c r="X72" i="5" s="1"/>
  <c r="E72" i="5"/>
  <c r="F72" i="5" s="1"/>
  <c r="U72" i="5"/>
  <c r="D72" i="5"/>
  <c r="S72" i="5"/>
  <c r="B72" i="5"/>
  <c r="AB72" i="5"/>
  <c r="AD72" i="5" s="1"/>
  <c r="K72" i="5"/>
  <c r="P72" i="5"/>
  <c r="R72" i="5" s="1"/>
  <c r="O72" i="5"/>
  <c r="AC72" i="4" s="1"/>
  <c r="AE72" i="4" s="1"/>
  <c r="AF72" i="4" s="1"/>
  <c r="N72" i="5"/>
  <c r="J72" i="5"/>
  <c r="L72" i="5" s="1"/>
  <c r="AG72" i="5"/>
  <c r="AF72" i="5"/>
  <c r="AE72" i="5"/>
  <c r="Z72" i="5"/>
  <c r="C72" i="5"/>
  <c r="T72" i="5"/>
  <c r="AA72" i="5"/>
  <c r="Q72" i="5"/>
  <c r="T8" i="5"/>
  <c r="D8" i="5"/>
  <c r="F8" i="5" s="1"/>
  <c r="Q8" i="5"/>
  <c r="P8" i="5"/>
  <c r="AF8" i="5"/>
  <c r="O8" i="5"/>
  <c r="AC8" i="4" s="1"/>
  <c r="AE8" i="4" s="1"/>
  <c r="AF8" i="4" s="1"/>
  <c r="AE8" i="5"/>
  <c r="AG8" i="5" s="1"/>
  <c r="N8" i="5"/>
  <c r="Y8" i="5"/>
  <c r="H8" i="5"/>
  <c r="G8" i="5"/>
  <c r="W8" i="5"/>
  <c r="X8" i="5" s="1"/>
  <c r="V8" i="5"/>
  <c r="S8" i="5"/>
  <c r="U8" i="5" s="1"/>
  <c r="R8" i="5"/>
  <c r="K8" i="5"/>
  <c r="J8" i="5"/>
  <c r="I8" i="5"/>
  <c r="AB8" i="5"/>
  <c r="AD8" i="5" s="1"/>
  <c r="B8" i="5"/>
  <c r="AC8" i="5"/>
  <c r="Z8" i="5"/>
  <c r="AA8" i="5" s="1"/>
  <c r="M8" i="5"/>
  <c r="C8" i="5"/>
  <c r="E8" i="5"/>
  <c r="L8" i="5"/>
  <c r="AF50" i="5"/>
  <c r="AG50" i="5" s="1"/>
  <c r="P50" i="5"/>
  <c r="R50" i="5" s="1"/>
  <c r="AE50" i="5"/>
  <c r="AD50" i="5"/>
  <c r="N50" i="5"/>
  <c r="O50" i="5" s="1"/>
  <c r="AC50" i="4" s="1"/>
  <c r="AE50" i="4" s="1"/>
  <c r="AF50" i="4" s="1"/>
  <c r="AC50" i="5"/>
  <c r="M50" i="5"/>
  <c r="AB50" i="5"/>
  <c r="S50" i="5"/>
  <c r="C50" i="5"/>
  <c r="J50" i="5"/>
  <c r="L50" i="5" s="1"/>
  <c r="H50" i="5"/>
  <c r="I50" i="5" s="1"/>
  <c r="G50" i="5"/>
  <c r="Y50" i="5"/>
  <c r="AA50" i="5" s="1"/>
  <c r="W50" i="5"/>
  <c r="X50" i="5" s="1"/>
  <c r="V50" i="5"/>
  <c r="K50" i="5"/>
  <c r="E50" i="5"/>
  <c r="F50" i="5" s="1"/>
  <c r="D50" i="5"/>
  <c r="B50" i="5"/>
  <c r="Z50" i="5"/>
  <c r="T50" i="5"/>
  <c r="U50" i="5" s="1"/>
  <c r="Q50" i="5"/>
  <c r="B87" i="5"/>
  <c r="AG87" i="5"/>
  <c r="Q87" i="5"/>
  <c r="R87" i="5" s="1"/>
  <c r="AF87" i="5"/>
  <c r="P87" i="5"/>
  <c r="AE87" i="5"/>
  <c r="N87" i="5"/>
  <c r="O87" i="5" s="1"/>
  <c r="AC87" i="4" s="1"/>
  <c r="AE87" i="4" s="1"/>
  <c r="AF87" i="4" s="1"/>
  <c r="M87" i="5"/>
  <c r="K87" i="5"/>
  <c r="J87" i="5"/>
  <c r="L87" i="5" s="1"/>
  <c r="AB87" i="5"/>
  <c r="AD87" i="5" s="1"/>
  <c r="G87" i="5"/>
  <c r="I87" i="5" s="1"/>
  <c r="AA87" i="5"/>
  <c r="F87" i="5"/>
  <c r="AI87" i="5" s="1"/>
  <c r="Y87" i="5"/>
  <c r="W87" i="5"/>
  <c r="X87" i="5" s="1"/>
  <c r="V87" i="5"/>
  <c r="T87" i="5"/>
  <c r="E87" i="5"/>
  <c r="D87" i="5"/>
  <c r="C87" i="5"/>
  <c r="S87" i="5"/>
  <c r="U87" i="5" s="1"/>
  <c r="H87" i="5"/>
  <c r="AC87" i="5"/>
  <c r="Z87" i="5"/>
  <c r="U96" i="5"/>
  <c r="E96" i="5"/>
  <c r="T96" i="5"/>
  <c r="D96" i="5"/>
  <c r="S96" i="5"/>
  <c r="C96" i="5"/>
  <c r="Q96" i="5"/>
  <c r="R96" i="5" s="1"/>
  <c r="AF96" i="5"/>
  <c r="AE96" i="5"/>
  <c r="AG96" i="5" s="1"/>
  <c r="K96" i="5"/>
  <c r="J96" i="5"/>
  <c r="L96" i="5" s="1"/>
  <c r="AC96" i="5"/>
  <c r="AB96" i="5"/>
  <c r="AD96" i="5" s="1"/>
  <c r="H96" i="5"/>
  <c r="I96" i="5" s="1"/>
  <c r="P96" i="5"/>
  <c r="N96" i="5"/>
  <c r="O96" i="5" s="1"/>
  <c r="AC96" i="4" s="1"/>
  <c r="AE96" i="4" s="1"/>
  <c r="AF96" i="4" s="1"/>
  <c r="M96" i="5"/>
  <c r="F96" i="5"/>
  <c r="B96" i="5"/>
  <c r="AA96" i="5"/>
  <c r="Z96" i="5"/>
  <c r="Y96" i="5"/>
  <c r="W96" i="5"/>
  <c r="V96" i="5"/>
  <c r="X96" i="5" s="1"/>
  <c r="G96" i="5"/>
  <c r="Q6" i="9"/>
  <c r="O6" i="9"/>
  <c r="T6" i="9"/>
  <c r="S6" i="9"/>
  <c r="M6" i="9"/>
  <c r="S27" i="5"/>
  <c r="U27" i="5" s="1"/>
  <c r="C27" i="5"/>
  <c r="J27" i="5"/>
  <c r="L27" i="5" s="1"/>
  <c r="Z27" i="5"/>
  <c r="Y27" i="5"/>
  <c r="AA27" i="5" s="1"/>
  <c r="H27" i="5"/>
  <c r="X27" i="5"/>
  <c r="G27" i="5"/>
  <c r="I27" i="5" s="1"/>
  <c r="N27" i="5"/>
  <c r="M27" i="5"/>
  <c r="AG27" i="5"/>
  <c r="AF27" i="5"/>
  <c r="K27" i="5"/>
  <c r="AE27" i="5"/>
  <c r="AB27" i="5"/>
  <c r="AD27" i="5" s="1"/>
  <c r="B27" i="5"/>
  <c r="W27" i="5"/>
  <c r="V27" i="5"/>
  <c r="Q27" i="5"/>
  <c r="AC27" i="5"/>
  <c r="T27" i="5"/>
  <c r="R27" i="5"/>
  <c r="E27" i="5"/>
  <c r="D27" i="5"/>
  <c r="F27" i="5" s="1"/>
  <c r="P27" i="5"/>
  <c r="O27" i="5"/>
  <c r="AC27" i="4" s="1"/>
  <c r="AE27" i="4" s="1"/>
  <c r="AF27" i="4" s="1"/>
  <c r="W37" i="5"/>
  <c r="G37" i="5"/>
  <c r="I37" i="5" s="1"/>
  <c r="V37" i="5"/>
  <c r="X37" i="5" s="1"/>
  <c r="E37" i="5"/>
  <c r="T37" i="5"/>
  <c r="D37" i="5"/>
  <c r="F37" i="5" s="1"/>
  <c r="S37" i="5"/>
  <c r="U37" i="5" s="1"/>
  <c r="C37" i="5"/>
  <c r="N37" i="5"/>
  <c r="M37" i="5"/>
  <c r="O37" i="5" s="1"/>
  <c r="AC37" i="4" s="1"/>
  <c r="AE37" i="4" s="1"/>
  <c r="AF37" i="4" s="1"/>
  <c r="L37" i="5"/>
  <c r="AF37" i="5"/>
  <c r="K37" i="5"/>
  <c r="Z37" i="5"/>
  <c r="AD37" i="5"/>
  <c r="AC37" i="5"/>
  <c r="AB37" i="5"/>
  <c r="Y37" i="5"/>
  <c r="AA37" i="5" s="1"/>
  <c r="Q37" i="5"/>
  <c r="P37" i="5"/>
  <c r="R37" i="5" s="1"/>
  <c r="J37" i="5"/>
  <c r="B37" i="5"/>
  <c r="H37" i="5"/>
  <c r="AE37" i="5"/>
  <c r="AG37" i="5" s="1"/>
  <c r="O5" i="9"/>
  <c r="M5" i="9"/>
  <c r="Q5" i="9"/>
  <c r="T5" i="9"/>
  <c r="S5" i="9"/>
  <c r="C50" i="2"/>
  <c r="S54" i="5"/>
  <c r="C54" i="5"/>
  <c r="X54" i="5"/>
  <c r="G54" i="5"/>
  <c r="W54" i="5"/>
  <c r="F54" i="5"/>
  <c r="V54" i="5"/>
  <c r="E54" i="5"/>
  <c r="U54" i="5"/>
  <c r="D54" i="5"/>
  <c r="T54" i="5"/>
  <c r="B54" i="5"/>
  <c r="J54" i="5"/>
  <c r="AC54" i="5"/>
  <c r="AD54" i="5" s="1"/>
  <c r="AB54" i="5"/>
  <c r="Z54" i="5"/>
  <c r="Y54" i="5"/>
  <c r="AA54" i="5" s="1"/>
  <c r="P54" i="5"/>
  <c r="N54" i="5"/>
  <c r="M54" i="5"/>
  <c r="O54" i="5" s="1"/>
  <c r="AC54" i="4" s="1"/>
  <c r="AE54" i="4" s="1"/>
  <c r="AF54" i="4" s="1"/>
  <c r="I54" i="5"/>
  <c r="K54" i="5"/>
  <c r="H54" i="5"/>
  <c r="R54" i="5"/>
  <c r="L54" i="5"/>
  <c r="AF54" i="5"/>
  <c r="AE54" i="5"/>
  <c r="AG54" i="5" s="1"/>
  <c r="Q54" i="5"/>
  <c r="S33" i="5"/>
  <c r="U33" i="5" s="1"/>
  <c r="C33" i="5"/>
  <c r="R33" i="5"/>
  <c r="B33" i="5"/>
  <c r="Q33" i="5"/>
  <c r="AF33" i="5"/>
  <c r="P33" i="5"/>
  <c r="AE33" i="5"/>
  <c r="AG33" i="5" s="1"/>
  <c r="M33" i="5"/>
  <c r="O33" i="5" s="1"/>
  <c r="AC33" i="4" s="1"/>
  <c r="AE33" i="4" s="1"/>
  <c r="AF33" i="4" s="1"/>
  <c r="K33" i="5"/>
  <c r="L33" i="5" s="1"/>
  <c r="J33" i="5"/>
  <c r="Y33" i="5"/>
  <c r="AA33" i="5" s="1"/>
  <c r="E33" i="5"/>
  <c r="D33" i="5"/>
  <c r="AC33" i="5"/>
  <c r="AD33" i="5" s="1"/>
  <c r="AB33" i="5"/>
  <c r="W33" i="5"/>
  <c r="V33" i="5"/>
  <c r="X33" i="5" s="1"/>
  <c r="T33" i="5"/>
  <c r="H33" i="5"/>
  <c r="Z33" i="5"/>
  <c r="N33" i="5"/>
  <c r="G33" i="5"/>
  <c r="I33" i="5" s="1"/>
  <c r="AI33" i="5" s="1"/>
  <c r="F33" i="5"/>
  <c r="Y119" i="5"/>
  <c r="X119" i="5"/>
  <c r="H119" i="5"/>
  <c r="C119" i="5"/>
  <c r="T119" i="5"/>
  <c r="B119" i="5"/>
  <c r="S119" i="5"/>
  <c r="U119" i="5" s="1"/>
  <c r="Q119" i="5"/>
  <c r="K119" i="5"/>
  <c r="L119" i="5" s="1"/>
  <c r="AG119" i="5"/>
  <c r="J119" i="5"/>
  <c r="AF119" i="5"/>
  <c r="G119" i="5"/>
  <c r="I119" i="5" s="1"/>
  <c r="AI119" i="5" s="1"/>
  <c r="AE119" i="5"/>
  <c r="F119" i="5"/>
  <c r="AH119" i="5" s="1"/>
  <c r="W119" i="5"/>
  <c r="V119" i="5"/>
  <c r="AB119" i="5"/>
  <c r="AA119" i="5"/>
  <c r="Z119" i="5"/>
  <c r="P119" i="5"/>
  <c r="R119" i="5" s="1"/>
  <c r="D119" i="5"/>
  <c r="AC119" i="5"/>
  <c r="AD119" i="5" s="1"/>
  <c r="N119" i="5"/>
  <c r="M119" i="5"/>
  <c r="O119" i="5" s="1"/>
  <c r="AC119" i="4" s="1"/>
  <c r="AE119" i="4" s="1"/>
  <c r="AF119" i="4" s="1"/>
  <c r="E119" i="5"/>
  <c r="V75" i="5"/>
  <c r="X75" i="5" s="1"/>
  <c r="E75" i="5"/>
  <c r="T75" i="5"/>
  <c r="D75" i="5"/>
  <c r="F75" i="5" s="1"/>
  <c r="S75" i="5"/>
  <c r="U75" i="5" s="1"/>
  <c r="C75" i="5"/>
  <c r="B75" i="5"/>
  <c r="O75" i="5"/>
  <c r="AC75" i="4" s="1"/>
  <c r="AE75" i="4" s="1"/>
  <c r="AF75" i="4" s="1"/>
  <c r="N75" i="5"/>
  <c r="M75" i="5"/>
  <c r="L75" i="5"/>
  <c r="AF75" i="5"/>
  <c r="K75" i="5"/>
  <c r="AD75" i="5"/>
  <c r="AC75" i="5"/>
  <c r="H75" i="5"/>
  <c r="W75" i="5"/>
  <c r="Z75" i="5"/>
  <c r="Y75" i="5"/>
  <c r="AA75" i="5" s="1"/>
  <c r="Q75" i="5"/>
  <c r="R75" i="5" s="1"/>
  <c r="G75" i="5"/>
  <c r="I75" i="5" s="1"/>
  <c r="P75" i="5"/>
  <c r="AE75" i="5"/>
  <c r="AG75" i="5" s="1"/>
  <c r="AB75" i="5"/>
  <c r="J75" i="5"/>
  <c r="AG134" i="5"/>
  <c r="Q134" i="5"/>
  <c r="AF134" i="5"/>
  <c r="P134" i="5"/>
  <c r="X134" i="5"/>
  <c r="F134" i="5"/>
  <c r="W134" i="5"/>
  <c r="E134" i="5"/>
  <c r="V134" i="5"/>
  <c r="D134" i="5"/>
  <c r="T134" i="5"/>
  <c r="B134" i="5"/>
  <c r="Y134" i="5"/>
  <c r="U134" i="5"/>
  <c r="S134" i="5"/>
  <c r="R134" i="5"/>
  <c r="O134" i="5"/>
  <c r="AD134" i="5"/>
  <c r="H134" i="5"/>
  <c r="L134" i="5"/>
  <c r="K134" i="5"/>
  <c r="J134" i="5"/>
  <c r="I134" i="5"/>
  <c r="G134" i="5"/>
  <c r="AI134" i="5"/>
  <c r="AC134" i="5"/>
  <c r="AB134" i="5"/>
  <c r="Z134" i="5"/>
  <c r="N134" i="5"/>
  <c r="AH134" i="5"/>
  <c r="M134" i="5"/>
  <c r="AE134" i="5"/>
  <c r="AA134" i="5"/>
  <c r="C134" i="5"/>
  <c r="E115" i="5"/>
  <c r="T115" i="5"/>
  <c r="U115" i="5" s="1"/>
  <c r="D115" i="5"/>
  <c r="F115" i="5" s="1"/>
  <c r="AF115" i="5"/>
  <c r="N115" i="5"/>
  <c r="AE115" i="5"/>
  <c r="AG115" i="5" s="1"/>
  <c r="M115" i="5"/>
  <c r="O115" i="5" s="1"/>
  <c r="AC115" i="4" s="1"/>
  <c r="AE115" i="4" s="1"/>
  <c r="AF115" i="4" s="1"/>
  <c r="AC115" i="5"/>
  <c r="AD115" i="5" s="1"/>
  <c r="K115" i="5"/>
  <c r="S115" i="5"/>
  <c r="R115" i="5"/>
  <c r="Q115" i="5"/>
  <c r="P115" i="5"/>
  <c r="J115" i="5"/>
  <c r="L115" i="5" s="1"/>
  <c r="B115" i="5"/>
  <c r="Z115" i="5"/>
  <c r="X115" i="5"/>
  <c r="AB115" i="5"/>
  <c r="Y115" i="5"/>
  <c r="AA115" i="5" s="1"/>
  <c r="W115" i="5"/>
  <c r="V115" i="5"/>
  <c r="G115" i="5"/>
  <c r="I115" i="5" s="1"/>
  <c r="C115" i="5"/>
  <c r="H115" i="5"/>
  <c r="Z131" i="5"/>
  <c r="J131" i="5"/>
  <c r="W131" i="5"/>
  <c r="F131" i="5"/>
  <c r="V131" i="5"/>
  <c r="E131" i="5"/>
  <c r="U131" i="5"/>
  <c r="D131" i="5"/>
  <c r="S131" i="5"/>
  <c r="B131" i="5"/>
  <c r="AG131" i="5"/>
  <c r="L131" i="5"/>
  <c r="AF131" i="5"/>
  <c r="K131" i="5"/>
  <c r="AE131" i="5"/>
  <c r="I131" i="5"/>
  <c r="AD131" i="5"/>
  <c r="H131" i="5"/>
  <c r="AC131" i="5"/>
  <c r="G131" i="5"/>
  <c r="Q131" i="5"/>
  <c r="C131" i="5"/>
  <c r="AI131" i="5"/>
  <c r="AB131" i="5"/>
  <c r="AA131" i="5"/>
  <c r="T131" i="5"/>
  <c r="R131" i="5"/>
  <c r="O131" i="5"/>
  <c r="M131" i="5"/>
  <c r="X131" i="5"/>
  <c r="AH131" i="5"/>
  <c r="Y131" i="5"/>
  <c r="P131" i="5"/>
  <c r="N131" i="5"/>
  <c r="Y74" i="5"/>
  <c r="H74" i="5"/>
  <c r="W74" i="5"/>
  <c r="G74" i="5"/>
  <c r="U74" i="5"/>
  <c r="E74" i="5"/>
  <c r="AC74" i="5"/>
  <c r="I74" i="5"/>
  <c r="AB74" i="5"/>
  <c r="AA74" i="5"/>
  <c r="D74" i="5"/>
  <c r="F74" i="5" s="1"/>
  <c r="Z74" i="5"/>
  <c r="C74" i="5"/>
  <c r="V74" i="5"/>
  <c r="X74" i="5" s="1"/>
  <c r="B74" i="5"/>
  <c r="S74" i="5"/>
  <c r="R74" i="5"/>
  <c r="AF74" i="5"/>
  <c r="L74" i="5"/>
  <c r="P74" i="5"/>
  <c r="N74" i="5"/>
  <c r="M74" i="5"/>
  <c r="O74" i="5" s="1"/>
  <c r="AC74" i="4" s="1"/>
  <c r="AE74" i="4" s="1"/>
  <c r="AF74" i="4" s="1"/>
  <c r="K74" i="5"/>
  <c r="AD74" i="5"/>
  <c r="AE74" i="5"/>
  <c r="T74" i="5"/>
  <c r="Q74" i="5"/>
  <c r="J74" i="5"/>
  <c r="AG74" i="5"/>
  <c r="V48" i="5"/>
  <c r="X48" i="5" s="1"/>
  <c r="U48" i="5"/>
  <c r="E48" i="5"/>
  <c r="F48" i="5" s="1"/>
  <c r="T48" i="5"/>
  <c r="D48" i="5"/>
  <c r="S48" i="5"/>
  <c r="C48" i="5"/>
  <c r="B48" i="5"/>
  <c r="Y48" i="5"/>
  <c r="G48" i="5"/>
  <c r="AC48" i="5"/>
  <c r="AD48" i="5" s="1"/>
  <c r="AB48" i="5"/>
  <c r="AA48" i="5"/>
  <c r="Z48" i="5"/>
  <c r="P48" i="5"/>
  <c r="AF48" i="5"/>
  <c r="AG48" i="5" s="1"/>
  <c r="AE48" i="5"/>
  <c r="W48" i="5"/>
  <c r="Q48" i="5"/>
  <c r="R48" i="5" s="1"/>
  <c r="K48" i="5"/>
  <c r="J48" i="5"/>
  <c r="L48" i="5" s="1"/>
  <c r="H48" i="5"/>
  <c r="I48" i="5" s="1"/>
  <c r="N48" i="5"/>
  <c r="M48" i="5"/>
  <c r="O48" i="5" s="1"/>
  <c r="AC48" i="4" s="1"/>
  <c r="AE48" i="4" s="1"/>
  <c r="AF48" i="4" s="1"/>
  <c r="Q122" i="5"/>
  <c r="R122" i="5" s="1"/>
  <c r="AF122" i="5"/>
  <c r="P122" i="5"/>
  <c r="AE122" i="5"/>
  <c r="AG122" i="5" s="1"/>
  <c r="M122" i="5"/>
  <c r="O122" i="5" s="1"/>
  <c r="AC122" i="4" s="1"/>
  <c r="AE122" i="4" s="1"/>
  <c r="AF122" i="4" s="1"/>
  <c r="K122" i="5"/>
  <c r="AC122" i="5"/>
  <c r="J122" i="5"/>
  <c r="L122" i="5" s="1"/>
  <c r="AB122" i="5"/>
  <c r="AD122" i="5" s="1"/>
  <c r="U122" i="5"/>
  <c r="T122" i="5"/>
  <c r="S122" i="5"/>
  <c r="N122" i="5"/>
  <c r="C122" i="5"/>
  <c r="Z122" i="5"/>
  <c r="B122" i="5"/>
  <c r="D122" i="5"/>
  <c r="F122" i="5" s="1"/>
  <c r="H122" i="5"/>
  <c r="Y122" i="5"/>
  <c r="AA122" i="5" s="1"/>
  <c r="W122" i="5"/>
  <c r="X122" i="5" s="1"/>
  <c r="V122" i="5"/>
  <c r="G122" i="5"/>
  <c r="I122" i="5" s="1"/>
  <c r="E122" i="5"/>
  <c r="AF77" i="5"/>
  <c r="P77" i="5"/>
  <c r="R77" i="5" s="1"/>
  <c r="AE77" i="5"/>
  <c r="AG77" i="5" s="1"/>
  <c r="AD77" i="5"/>
  <c r="N77" i="5"/>
  <c r="AC77" i="5"/>
  <c r="M77" i="5"/>
  <c r="O77" i="5" s="1"/>
  <c r="AC77" i="4" s="1"/>
  <c r="AE77" i="4" s="1"/>
  <c r="AF77" i="4" s="1"/>
  <c r="AB77" i="5"/>
  <c r="Q77" i="5"/>
  <c r="K77" i="5"/>
  <c r="J77" i="5"/>
  <c r="L77" i="5" s="1"/>
  <c r="G77" i="5"/>
  <c r="I77" i="5" s="1"/>
  <c r="U77" i="5"/>
  <c r="D77" i="5"/>
  <c r="F77" i="5" s="1"/>
  <c r="C77" i="5"/>
  <c r="B77" i="5"/>
  <c r="Z77" i="5"/>
  <c r="Y77" i="5"/>
  <c r="AA77" i="5" s="1"/>
  <c r="W77" i="5"/>
  <c r="S77" i="5"/>
  <c r="V77" i="5"/>
  <c r="X77" i="5" s="1"/>
  <c r="T77" i="5"/>
  <c r="E77" i="5"/>
  <c r="H77" i="5"/>
  <c r="Y130" i="5"/>
  <c r="I130" i="5"/>
  <c r="X130" i="5"/>
  <c r="H130" i="5"/>
  <c r="W130" i="5"/>
  <c r="G130" i="5"/>
  <c r="U130" i="5"/>
  <c r="E130" i="5"/>
  <c r="Z130" i="5"/>
  <c r="B130" i="5"/>
  <c r="V130" i="5"/>
  <c r="T130" i="5"/>
  <c r="S130" i="5"/>
  <c r="R130" i="5"/>
  <c r="L130" i="5"/>
  <c r="K130" i="5"/>
  <c r="AI130" i="5"/>
  <c r="J130" i="5"/>
  <c r="AH130" i="5"/>
  <c r="F130" i="5"/>
  <c r="AG130" i="5"/>
  <c r="D130" i="5"/>
  <c r="AE130" i="5"/>
  <c r="AD130" i="5"/>
  <c r="AA130" i="5"/>
  <c r="Q130" i="5"/>
  <c r="O130" i="5"/>
  <c r="AF130" i="5"/>
  <c r="AC130" i="5"/>
  <c r="AB130" i="5"/>
  <c r="P130" i="5"/>
  <c r="M130" i="5"/>
  <c r="C130" i="5"/>
  <c r="N130" i="5"/>
  <c r="V32" i="5"/>
  <c r="X32" i="5" s="1"/>
  <c r="E32" i="5"/>
  <c r="T32" i="5"/>
  <c r="D32" i="5"/>
  <c r="F32" i="5" s="1"/>
  <c r="S32" i="5"/>
  <c r="U32" i="5" s="1"/>
  <c r="C32" i="5"/>
  <c r="B32" i="5"/>
  <c r="Z32" i="5"/>
  <c r="Y32" i="5"/>
  <c r="AA32" i="5" s="1"/>
  <c r="J32" i="5"/>
  <c r="H32" i="5"/>
  <c r="AF32" i="5"/>
  <c r="G32" i="5"/>
  <c r="I32" i="5" s="1"/>
  <c r="AE32" i="5"/>
  <c r="AG32" i="5" s="1"/>
  <c r="AB32" i="5"/>
  <c r="AD32" i="5" s="1"/>
  <c r="W32" i="5"/>
  <c r="Q32" i="5"/>
  <c r="P32" i="5"/>
  <c r="R32" i="5" s="1"/>
  <c r="M32" i="5"/>
  <c r="N32" i="5"/>
  <c r="L32" i="5"/>
  <c r="K32" i="5"/>
  <c r="O32" i="5"/>
  <c r="AC32" i="4" s="1"/>
  <c r="AE32" i="4" s="1"/>
  <c r="AF32" i="4" s="1"/>
  <c r="AC32" i="5"/>
  <c r="AF34" i="5"/>
  <c r="P34" i="5"/>
  <c r="R34" i="5" s="1"/>
  <c r="AE34" i="5"/>
  <c r="N34" i="5"/>
  <c r="AC34" i="5"/>
  <c r="M34" i="5"/>
  <c r="O34" i="5" s="1"/>
  <c r="AC34" i="4" s="1"/>
  <c r="AE34" i="4" s="1"/>
  <c r="AF34" i="4" s="1"/>
  <c r="AB34" i="5"/>
  <c r="AD34" i="5" s="1"/>
  <c r="Y34" i="5"/>
  <c r="D34" i="5"/>
  <c r="F34" i="5" s="1"/>
  <c r="C34" i="5"/>
  <c r="W34" i="5"/>
  <c r="B34" i="5"/>
  <c r="V34" i="5"/>
  <c r="X34" i="5" s="1"/>
  <c r="K34" i="5"/>
  <c r="E34" i="5"/>
  <c r="AG34" i="5"/>
  <c r="T34" i="5"/>
  <c r="S34" i="5"/>
  <c r="U34" i="5" s="1"/>
  <c r="Q34" i="5"/>
  <c r="H34" i="5"/>
  <c r="I34" i="5" s="1"/>
  <c r="Z34" i="5"/>
  <c r="AA34" i="5" s="1"/>
  <c r="J34" i="5"/>
  <c r="L34" i="5" s="1"/>
  <c r="G34" i="5"/>
  <c r="AF136" i="5"/>
  <c r="P136" i="5"/>
  <c r="AD136" i="5"/>
  <c r="M136" i="5"/>
  <c r="AC136" i="5"/>
  <c r="L136" i="5"/>
  <c r="AE136" i="5"/>
  <c r="J136" i="5"/>
  <c r="AB136" i="5"/>
  <c r="I136" i="5"/>
  <c r="AA136" i="5"/>
  <c r="H136" i="5"/>
  <c r="Y136" i="5"/>
  <c r="F136" i="5"/>
  <c r="AG136" i="5"/>
  <c r="C136" i="5"/>
  <c r="Z136" i="5"/>
  <c r="B136" i="5"/>
  <c r="X136" i="5"/>
  <c r="W136" i="5"/>
  <c r="V136" i="5"/>
  <c r="N136" i="5"/>
  <c r="U136" i="5"/>
  <c r="T136" i="5"/>
  <c r="S136" i="5"/>
  <c r="R136" i="5"/>
  <c r="Q136" i="5"/>
  <c r="K136" i="5"/>
  <c r="G136" i="5"/>
  <c r="AI136" i="5"/>
  <c r="AH136" i="5"/>
  <c r="O136" i="5"/>
  <c r="E136" i="5"/>
  <c r="D136" i="5"/>
  <c r="N18" i="5"/>
  <c r="R18" i="5"/>
  <c r="U18" i="5"/>
  <c r="C18" i="5"/>
  <c r="T18" i="5"/>
  <c r="B18" i="5"/>
  <c r="S18" i="5"/>
  <c r="Q18" i="5"/>
  <c r="P18" i="5"/>
  <c r="AE18" i="5"/>
  <c r="AC18" i="5"/>
  <c r="K18" i="5"/>
  <c r="AB18" i="5"/>
  <c r="AD18" i="5" s="1"/>
  <c r="J18" i="5"/>
  <c r="L18" i="5" s="1"/>
  <c r="X18" i="5"/>
  <c r="V18" i="5"/>
  <c r="O18" i="5"/>
  <c r="AC18" i="4" s="1"/>
  <c r="AE18" i="4" s="1"/>
  <c r="AF18" i="4" s="1"/>
  <c r="M18" i="5"/>
  <c r="H18" i="5"/>
  <c r="G18" i="5"/>
  <c r="I18" i="5" s="1"/>
  <c r="Z18" i="5"/>
  <c r="W18" i="5"/>
  <c r="AF18" i="5"/>
  <c r="AG18" i="5" s="1"/>
  <c r="Y18" i="5"/>
  <c r="AA18" i="5" s="1"/>
  <c r="E18" i="5"/>
  <c r="D18" i="5"/>
  <c r="F18" i="5" s="1"/>
  <c r="Q17" i="5"/>
  <c r="S17" i="5"/>
  <c r="B17" i="5"/>
  <c r="T17" i="5"/>
  <c r="R17" i="5"/>
  <c r="P17" i="5"/>
  <c r="AF17" i="5"/>
  <c r="N17" i="5"/>
  <c r="AC17" i="5"/>
  <c r="AD17" i="5" s="1"/>
  <c r="K17" i="5"/>
  <c r="AB17" i="5"/>
  <c r="J17" i="5"/>
  <c r="L17" i="5" s="1"/>
  <c r="Z17" i="5"/>
  <c r="H17" i="5"/>
  <c r="W17" i="5"/>
  <c r="E17" i="5"/>
  <c r="F17" i="5" s="1"/>
  <c r="D17" i="5"/>
  <c r="C17" i="5"/>
  <c r="AE17" i="5"/>
  <c r="AG17" i="5" s="1"/>
  <c r="Y17" i="5"/>
  <c r="AA17" i="5" s="1"/>
  <c r="X17" i="5"/>
  <c r="M17" i="5"/>
  <c r="O17" i="5" s="1"/>
  <c r="AC17" i="4" s="1"/>
  <c r="AE17" i="4" s="1"/>
  <c r="AF17" i="4" s="1"/>
  <c r="V17" i="5"/>
  <c r="U17" i="5"/>
  <c r="G17" i="5"/>
  <c r="I17" i="5" s="1"/>
  <c r="U86" i="5"/>
  <c r="E86" i="5"/>
  <c r="T86" i="5"/>
  <c r="D86" i="5"/>
  <c r="F86" i="5" s="1"/>
  <c r="S86" i="5"/>
  <c r="C86" i="5"/>
  <c r="B86" i="5"/>
  <c r="Q86" i="5"/>
  <c r="R86" i="5" s="1"/>
  <c r="Z86" i="5"/>
  <c r="Y86" i="5"/>
  <c r="AA86" i="5" s="1"/>
  <c r="W86" i="5"/>
  <c r="P86" i="5"/>
  <c r="O86" i="5"/>
  <c r="AC86" i="4" s="1"/>
  <c r="AE86" i="4" s="1"/>
  <c r="AF86" i="4" s="1"/>
  <c r="M86" i="5"/>
  <c r="K86" i="5"/>
  <c r="J86" i="5"/>
  <c r="L86" i="5" s="1"/>
  <c r="H86" i="5"/>
  <c r="AF86" i="5"/>
  <c r="AB86" i="5"/>
  <c r="AD86" i="5" s="1"/>
  <c r="AE86" i="5"/>
  <c r="AG86" i="5" s="1"/>
  <c r="AC86" i="5"/>
  <c r="G86" i="5"/>
  <c r="I86" i="5" s="1"/>
  <c r="V86" i="5"/>
  <c r="X86" i="5" s="1"/>
  <c r="N86" i="5"/>
  <c r="AC51" i="5"/>
  <c r="AD51" i="5" s="1"/>
  <c r="M51" i="5"/>
  <c r="O51" i="5" s="1"/>
  <c r="AC51" i="4" s="1"/>
  <c r="AE51" i="4" s="1"/>
  <c r="AF51" i="4" s="1"/>
  <c r="AB51" i="5"/>
  <c r="AA51" i="5"/>
  <c r="K51" i="5"/>
  <c r="Z51" i="5"/>
  <c r="J51" i="5"/>
  <c r="L51" i="5" s="1"/>
  <c r="Y51" i="5"/>
  <c r="AF51" i="5"/>
  <c r="P51" i="5"/>
  <c r="R51" i="5" s="1"/>
  <c r="C51" i="5"/>
  <c r="B51" i="5"/>
  <c r="W51" i="5"/>
  <c r="V51" i="5"/>
  <c r="X51" i="5" s="1"/>
  <c r="Q51" i="5"/>
  <c r="N51" i="5"/>
  <c r="AE51" i="5"/>
  <c r="AG51" i="5" s="1"/>
  <c r="H51" i="5"/>
  <c r="G51" i="5"/>
  <c r="I51" i="5" s="1"/>
  <c r="E51" i="5"/>
  <c r="F51" i="5" s="1"/>
  <c r="D51" i="5"/>
  <c r="T51" i="5"/>
  <c r="S51" i="5"/>
  <c r="U51" i="5" s="1"/>
  <c r="AB46" i="5"/>
  <c r="AA46" i="5"/>
  <c r="K46" i="5"/>
  <c r="Z46" i="5"/>
  <c r="J46" i="5"/>
  <c r="L46" i="5" s="1"/>
  <c r="Y46" i="5"/>
  <c r="H46" i="5"/>
  <c r="AE46" i="5"/>
  <c r="O46" i="5"/>
  <c r="AC46" i="4" s="1"/>
  <c r="AE46" i="4" s="1"/>
  <c r="AF46" i="4" s="1"/>
  <c r="V46" i="5"/>
  <c r="X46" i="5" s="1"/>
  <c r="T46" i="5"/>
  <c r="S46" i="5"/>
  <c r="U46" i="5" s="1"/>
  <c r="G46" i="5"/>
  <c r="I46" i="5" s="1"/>
  <c r="N46" i="5"/>
  <c r="M46" i="5"/>
  <c r="E46" i="5"/>
  <c r="D46" i="5"/>
  <c r="F46" i="5" s="1"/>
  <c r="AG46" i="5"/>
  <c r="AF46" i="5"/>
  <c r="W46" i="5"/>
  <c r="B46" i="5"/>
  <c r="Q46" i="5"/>
  <c r="AC46" i="5"/>
  <c r="AD46" i="5"/>
  <c r="P46" i="5"/>
  <c r="R46" i="5" s="1"/>
  <c r="C46" i="5"/>
  <c r="AB99" i="5"/>
  <c r="AD99" i="5" s="1"/>
  <c r="K99" i="5"/>
  <c r="Z99" i="5"/>
  <c r="AA99" i="5" s="1"/>
  <c r="J99" i="5"/>
  <c r="L99" i="5" s="1"/>
  <c r="H99" i="5"/>
  <c r="N99" i="5"/>
  <c r="M99" i="5"/>
  <c r="O99" i="5" s="1"/>
  <c r="AC99" i="4" s="1"/>
  <c r="AE99" i="4" s="1"/>
  <c r="AF99" i="4" s="1"/>
  <c r="AF99" i="5"/>
  <c r="AE99" i="5"/>
  <c r="AG99" i="5" s="1"/>
  <c r="G99" i="5"/>
  <c r="I99" i="5" s="1"/>
  <c r="D99" i="5"/>
  <c r="C99" i="5"/>
  <c r="B99" i="5"/>
  <c r="AC99" i="5"/>
  <c r="W99" i="5"/>
  <c r="V99" i="5"/>
  <c r="X99" i="5" s="1"/>
  <c r="P99" i="5"/>
  <c r="U99" i="5"/>
  <c r="T99" i="5"/>
  <c r="S99" i="5"/>
  <c r="R99" i="5"/>
  <c r="E99" i="5"/>
  <c r="Y99" i="5"/>
  <c r="Q99" i="5"/>
  <c r="F99" i="5"/>
  <c r="AI99" i="5" s="1"/>
  <c r="Z36" i="5"/>
  <c r="J36" i="5"/>
  <c r="L36" i="5" s="1"/>
  <c r="Y36" i="5"/>
  <c r="AA36" i="5" s="1"/>
  <c r="H36" i="5"/>
  <c r="W36" i="5"/>
  <c r="G36" i="5"/>
  <c r="I36" i="5" s="1"/>
  <c r="V36" i="5"/>
  <c r="X36" i="5" s="1"/>
  <c r="AB36" i="5"/>
  <c r="AD36" i="5" s="1"/>
  <c r="B36" i="5"/>
  <c r="T36" i="5"/>
  <c r="N36" i="5"/>
  <c r="AF36" i="5"/>
  <c r="AE36" i="5"/>
  <c r="AG36" i="5" s="1"/>
  <c r="AC36" i="5"/>
  <c r="Q36" i="5"/>
  <c r="P36" i="5"/>
  <c r="R36" i="5" s="1"/>
  <c r="O36" i="5"/>
  <c r="AC36" i="4" s="1"/>
  <c r="AE36" i="4" s="1"/>
  <c r="AF36" i="4" s="1"/>
  <c r="M36" i="5"/>
  <c r="E36" i="5"/>
  <c r="K36" i="5"/>
  <c r="D36" i="5"/>
  <c r="F36" i="5" s="1"/>
  <c r="C36" i="5"/>
  <c r="S36" i="5"/>
  <c r="U36" i="5" s="1"/>
  <c r="W95" i="5"/>
  <c r="G95" i="5"/>
  <c r="I95" i="5" s="1"/>
  <c r="V95" i="5"/>
  <c r="T95" i="5"/>
  <c r="D95" i="5"/>
  <c r="AA95" i="5"/>
  <c r="H95" i="5"/>
  <c r="Z95" i="5"/>
  <c r="E95" i="5"/>
  <c r="F95" i="5" s="1"/>
  <c r="Y95" i="5"/>
  <c r="C95" i="5"/>
  <c r="X95" i="5"/>
  <c r="B95" i="5"/>
  <c r="S95" i="5"/>
  <c r="U95" i="5" s="1"/>
  <c r="R95" i="5"/>
  <c r="Q95" i="5"/>
  <c r="P95" i="5"/>
  <c r="O95" i="5"/>
  <c r="AC95" i="4" s="1"/>
  <c r="AE95" i="4" s="1"/>
  <c r="AF95" i="4" s="1"/>
  <c r="M95" i="5"/>
  <c r="L95" i="5"/>
  <c r="J95" i="5"/>
  <c r="AF95" i="5"/>
  <c r="AB95" i="5"/>
  <c r="N95" i="5"/>
  <c r="K95" i="5"/>
  <c r="AE95" i="5"/>
  <c r="AG95" i="5" s="1"/>
  <c r="AC95" i="5"/>
  <c r="AD95" i="5" s="1"/>
  <c r="AC5" i="5"/>
  <c r="AD5" i="5" s="1"/>
  <c r="M5" i="5"/>
  <c r="T5" i="5"/>
  <c r="U5" i="5" s="1"/>
  <c r="C5" i="5"/>
  <c r="S5" i="5"/>
  <c r="B5" i="5"/>
  <c r="Q5" i="5"/>
  <c r="AB5" i="5"/>
  <c r="G5" i="5"/>
  <c r="F5" i="5"/>
  <c r="Z5" i="5"/>
  <c r="E5" i="5"/>
  <c r="Y5" i="5"/>
  <c r="D5" i="5"/>
  <c r="X5" i="5"/>
  <c r="P5" i="5"/>
  <c r="R5" i="5" s="1"/>
  <c r="N5" i="5"/>
  <c r="O5" i="5" s="1"/>
  <c r="AF5" i="5"/>
  <c r="J5" i="5"/>
  <c r="AE5" i="5"/>
  <c r="AG5" i="5" s="1"/>
  <c r="W5" i="5"/>
  <c r="V5" i="5"/>
  <c r="K5" i="5"/>
  <c r="L5" i="5" s="1"/>
  <c r="H5" i="5"/>
  <c r="S91" i="5"/>
  <c r="U91" i="5" s="1"/>
  <c r="C91" i="5"/>
  <c r="R91" i="5"/>
  <c r="B91" i="5"/>
  <c r="AF91" i="5"/>
  <c r="N91" i="5"/>
  <c r="AE91" i="5"/>
  <c r="AG91" i="5" s="1"/>
  <c r="M91" i="5"/>
  <c r="O91" i="5" s="1"/>
  <c r="AC91" i="4" s="1"/>
  <c r="AE91" i="4" s="1"/>
  <c r="AF91" i="4" s="1"/>
  <c r="L91" i="5"/>
  <c r="AC91" i="5"/>
  <c r="K91" i="5"/>
  <c r="AB91" i="5"/>
  <c r="AD91" i="5" s="1"/>
  <c r="J91" i="5"/>
  <c r="X91" i="5"/>
  <c r="W91" i="5"/>
  <c r="V91" i="5"/>
  <c r="T91" i="5"/>
  <c r="P91" i="5"/>
  <c r="AA91" i="5"/>
  <c r="D91" i="5"/>
  <c r="Z91" i="5"/>
  <c r="H91" i="5"/>
  <c r="I91" i="5" s="1"/>
  <c r="G91" i="5"/>
  <c r="F91" i="5"/>
  <c r="E91" i="5"/>
  <c r="Y91" i="5"/>
  <c r="Q91" i="5"/>
  <c r="E21" i="5"/>
  <c r="AF21" i="5"/>
  <c r="Y21" i="5"/>
  <c r="G21" i="5"/>
  <c r="I21" i="5" s="1"/>
  <c r="W21" i="5"/>
  <c r="D21" i="5"/>
  <c r="F21" i="5" s="1"/>
  <c r="V21" i="5"/>
  <c r="X21" i="5" s="1"/>
  <c r="C21" i="5"/>
  <c r="T21" i="5"/>
  <c r="U21" i="5" s="1"/>
  <c r="B21" i="5"/>
  <c r="Q21" i="5"/>
  <c r="P21" i="5"/>
  <c r="AG21" i="5"/>
  <c r="N21" i="5"/>
  <c r="AE21" i="5"/>
  <c r="M21" i="5"/>
  <c r="O21" i="5" s="1"/>
  <c r="AC21" i="4" s="1"/>
  <c r="AE21" i="4" s="1"/>
  <c r="AF21" i="4" s="1"/>
  <c r="AB21" i="5"/>
  <c r="AD21" i="5" s="1"/>
  <c r="J21" i="5"/>
  <c r="K21" i="5"/>
  <c r="L21" i="5" s="1"/>
  <c r="H21" i="5"/>
  <c r="AC21" i="5"/>
  <c r="S21" i="5"/>
  <c r="R21" i="5"/>
  <c r="AA21" i="5"/>
  <c r="Z21" i="5"/>
  <c r="AE149" i="5"/>
  <c r="O149" i="5"/>
  <c r="T149" i="5"/>
  <c r="D149" i="5"/>
  <c r="Z149" i="5"/>
  <c r="H149" i="5"/>
  <c r="R149" i="5"/>
  <c r="Q149" i="5"/>
  <c r="AI149" i="5"/>
  <c r="P149" i="5"/>
  <c r="S149" i="5"/>
  <c r="N149" i="5"/>
  <c r="M149" i="5"/>
  <c r="AH149" i="5"/>
  <c r="K149" i="5"/>
  <c r="Y149" i="5"/>
  <c r="X149" i="5"/>
  <c r="W149" i="5"/>
  <c r="V149" i="5"/>
  <c r="U149" i="5"/>
  <c r="AF149" i="5"/>
  <c r="C149" i="5"/>
  <c r="L149" i="5"/>
  <c r="J149" i="5"/>
  <c r="I149" i="5"/>
  <c r="G149" i="5"/>
  <c r="F149" i="5"/>
  <c r="B149" i="5"/>
  <c r="AG149" i="5"/>
  <c r="AC149" i="5"/>
  <c r="AD149" i="5"/>
  <c r="AA149" i="5"/>
  <c r="E149" i="5"/>
  <c r="AB149" i="5"/>
  <c r="AF71" i="5"/>
  <c r="P71" i="5"/>
  <c r="R71" i="5" s="1"/>
  <c r="Z71" i="5"/>
  <c r="Y71" i="5"/>
  <c r="AA71" i="5" s="1"/>
  <c r="H71" i="5"/>
  <c r="I71" i="5" s="1"/>
  <c r="G71" i="5"/>
  <c r="W71" i="5"/>
  <c r="V71" i="5"/>
  <c r="X71" i="5" s="1"/>
  <c r="E71" i="5"/>
  <c r="T71" i="5"/>
  <c r="C71" i="5"/>
  <c r="S71" i="5"/>
  <c r="B71" i="5"/>
  <c r="AC71" i="5"/>
  <c r="L71" i="5"/>
  <c r="Q71" i="5"/>
  <c r="N71" i="5"/>
  <c r="M71" i="5"/>
  <c r="O71" i="5" s="1"/>
  <c r="AC71" i="4" s="1"/>
  <c r="AE71" i="4" s="1"/>
  <c r="AF71" i="4" s="1"/>
  <c r="K71" i="5"/>
  <c r="AE71" i="5"/>
  <c r="AG71" i="5" s="1"/>
  <c r="AD71" i="5"/>
  <c r="AB71" i="5"/>
  <c r="U71" i="5"/>
  <c r="J71" i="5"/>
  <c r="D71" i="5"/>
  <c r="F71" i="5" s="1"/>
  <c r="B44" i="5"/>
  <c r="AG44" i="5"/>
  <c r="Q44" i="5"/>
  <c r="AF44" i="5"/>
  <c r="P44" i="5"/>
  <c r="R44" i="5" s="1"/>
  <c r="AE44" i="5"/>
  <c r="O44" i="5"/>
  <c r="AC44" i="4" s="1"/>
  <c r="AE44" i="4" s="1"/>
  <c r="AF44" i="4" s="1"/>
  <c r="N44" i="5"/>
  <c r="E44" i="5"/>
  <c r="S44" i="5"/>
  <c r="M44" i="5"/>
  <c r="L44" i="5"/>
  <c r="K44" i="5"/>
  <c r="D44" i="5"/>
  <c r="F44" i="5" s="1"/>
  <c r="C44" i="5"/>
  <c r="AC44" i="5"/>
  <c r="AD44" i="5" s="1"/>
  <c r="Y44" i="5"/>
  <c r="X44" i="5"/>
  <c r="W44" i="5"/>
  <c r="V44" i="5"/>
  <c r="T44" i="5"/>
  <c r="U44" i="5" s="1"/>
  <c r="J44" i="5"/>
  <c r="H44" i="5"/>
  <c r="G44" i="5"/>
  <c r="I44" i="5" s="1"/>
  <c r="AB44" i="5"/>
  <c r="Z44" i="5"/>
  <c r="AA44" i="5" s="1"/>
  <c r="K41" i="5"/>
  <c r="Z41" i="5"/>
  <c r="J41" i="5"/>
  <c r="Y41" i="5"/>
  <c r="AA41" i="5" s="1"/>
  <c r="X41" i="5"/>
  <c r="H41" i="5"/>
  <c r="W41" i="5"/>
  <c r="G41" i="5"/>
  <c r="I41" i="5" s="1"/>
  <c r="AD41" i="5"/>
  <c r="N41" i="5"/>
  <c r="S41" i="5"/>
  <c r="R41" i="5"/>
  <c r="Q41" i="5"/>
  <c r="P41" i="5"/>
  <c r="AF41" i="5"/>
  <c r="D41" i="5"/>
  <c r="F41" i="5" s="1"/>
  <c r="AE41" i="5"/>
  <c r="AG41" i="5" s="1"/>
  <c r="AC41" i="5"/>
  <c r="AB41" i="5"/>
  <c r="T41" i="5"/>
  <c r="O41" i="5"/>
  <c r="AC41" i="4" s="1"/>
  <c r="AE41" i="4" s="1"/>
  <c r="AF41" i="4" s="1"/>
  <c r="M41" i="5"/>
  <c r="L41" i="5"/>
  <c r="C41" i="5"/>
  <c r="V41" i="5"/>
  <c r="U41" i="5"/>
  <c r="E41" i="5"/>
  <c r="B41" i="5"/>
  <c r="S102" i="5"/>
  <c r="C102" i="5"/>
  <c r="R102" i="5"/>
  <c r="B102" i="5"/>
  <c r="Q102" i="5"/>
  <c r="AE102" i="5"/>
  <c r="AG102" i="5" s="1"/>
  <c r="N102" i="5"/>
  <c r="M102" i="5"/>
  <c r="O102" i="5" s="1"/>
  <c r="AC102" i="4" s="1"/>
  <c r="AE102" i="4" s="1"/>
  <c r="AF102" i="4" s="1"/>
  <c r="AF102" i="5"/>
  <c r="K102" i="5"/>
  <c r="AD102" i="5"/>
  <c r="J102" i="5"/>
  <c r="L102" i="5" s="1"/>
  <c r="Z102" i="5"/>
  <c r="AA102" i="5" s="1"/>
  <c r="Y102" i="5"/>
  <c r="W102" i="5"/>
  <c r="V102" i="5"/>
  <c r="X102" i="5" s="1"/>
  <c r="P102" i="5"/>
  <c r="I102" i="5"/>
  <c r="AC102" i="5"/>
  <c r="G102" i="5"/>
  <c r="F102" i="5"/>
  <c r="AH102" i="5" s="1"/>
  <c r="E102" i="5"/>
  <c r="D102" i="5"/>
  <c r="H102" i="5"/>
  <c r="T102" i="5"/>
  <c r="U102" i="5" s="1"/>
  <c r="AB102" i="5"/>
  <c r="AC93" i="5"/>
  <c r="AD93" i="5" s="1"/>
  <c r="M93" i="5"/>
  <c r="AB93" i="5"/>
  <c r="Z93" i="5"/>
  <c r="Q93" i="5"/>
  <c r="R93" i="5" s="1"/>
  <c r="P93" i="5"/>
  <c r="N93" i="5"/>
  <c r="O93" i="5" s="1"/>
  <c r="AC93" i="4" s="1"/>
  <c r="AE93" i="4" s="1"/>
  <c r="AF93" i="4" s="1"/>
  <c r="G93" i="5"/>
  <c r="AF93" i="5"/>
  <c r="AE93" i="5"/>
  <c r="AG93" i="5" s="1"/>
  <c r="E93" i="5"/>
  <c r="D93" i="5"/>
  <c r="F93" i="5" s="1"/>
  <c r="AA93" i="5"/>
  <c r="C93" i="5"/>
  <c r="X93" i="5"/>
  <c r="W93" i="5"/>
  <c r="J93" i="5"/>
  <c r="U93" i="5"/>
  <c r="T93" i="5"/>
  <c r="S93" i="5"/>
  <c r="K93" i="5"/>
  <c r="L93" i="5" s="1"/>
  <c r="I93" i="5"/>
  <c r="B93" i="5"/>
  <c r="Y93" i="5"/>
  <c r="V93" i="5"/>
  <c r="H93" i="5"/>
  <c r="U43" i="5"/>
  <c r="E43" i="5"/>
  <c r="F43" i="5" s="1"/>
  <c r="T43" i="5"/>
  <c r="D43" i="5"/>
  <c r="S43" i="5"/>
  <c r="C43" i="5"/>
  <c r="B43" i="5"/>
  <c r="Q43" i="5"/>
  <c r="H43" i="5"/>
  <c r="AA43" i="5"/>
  <c r="Z43" i="5"/>
  <c r="Y43" i="5"/>
  <c r="W43" i="5"/>
  <c r="AF43" i="5"/>
  <c r="AG43" i="5" s="1"/>
  <c r="AE43" i="5"/>
  <c r="V43" i="5"/>
  <c r="X43" i="5" s="1"/>
  <c r="P43" i="5"/>
  <c r="R43" i="5" s="1"/>
  <c r="N43" i="5"/>
  <c r="O43" i="5" s="1"/>
  <c r="AC43" i="4" s="1"/>
  <c r="AE43" i="4" s="1"/>
  <c r="AF43" i="4" s="1"/>
  <c r="J43" i="5"/>
  <c r="L43" i="5" s="1"/>
  <c r="G43" i="5"/>
  <c r="I43" i="5" s="1"/>
  <c r="M43" i="5"/>
  <c r="AC43" i="5"/>
  <c r="AB43" i="5"/>
  <c r="AD43" i="5" s="1"/>
  <c r="K43" i="5"/>
  <c r="B113" i="5"/>
  <c r="Q113" i="5"/>
  <c r="AF113" i="5"/>
  <c r="P113" i="5"/>
  <c r="R113" i="5" s="1"/>
  <c r="AE113" i="5"/>
  <c r="AG113" i="5" s="1"/>
  <c r="N113" i="5"/>
  <c r="O113" i="5" s="1"/>
  <c r="AC113" i="4" s="1"/>
  <c r="AE113" i="4" s="1"/>
  <c r="AF113" i="4" s="1"/>
  <c r="M113" i="5"/>
  <c r="L113" i="5"/>
  <c r="K113" i="5"/>
  <c r="J113" i="5"/>
  <c r="C113" i="5"/>
  <c r="W113" i="5"/>
  <c r="D113" i="5"/>
  <c r="F113" i="5" s="1"/>
  <c r="AC113" i="5"/>
  <c r="Z113" i="5"/>
  <c r="V113" i="5"/>
  <c r="X113" i="5" s="1"/>
  <c r="G113" i="5"/>
  <c r="I113" i="5" s="1"/>
  <c r="S113" i="5"/>
  <c r="U113" i="5" s="1"/>
  <c r="H113" i="5"/>
  <c r="E113" i="5"/>
  <c r="AB113" i="5"/>
  <c r="AD113" i="5" s="1"/>
  <c r="Y113" i="5"/>
  <c r="AA113" i="5" s="1"/>
  <c r="T113" i="5"/>
  <c r="X146" i="5"/>
  <c r="H146" i="5"/>
  <c r="AC146" i="5"/>
  <c r="M146" i="5"/>
  <c r="U146" i="5"/>
  <c r="C146" i="5"/>
  <c r="Y146" i="5"/>
  <c r="E146" i="5"/>
  <c r="W146" i="5"/>
  <c r="D146" i="5"/>
  <c r="AG146" i="5"/>
  <c r="K146" i="5"/>
  <c r="AF146" i="5"/>
  <c r="J146" i="5"/>
  <c r="AE146" i="5"/>
  <c r="I146" i="5"/>
  <c r="AB146" i="5"/>
  <c r="F146" i="5"/>
  <c r="L146" i="5"/>
  <c r="G146" i="5"/>
  <c r="B146" i="5"/>
  <c r="AI146" i="5"/>
  <c r="AH146" i="5"/>
  <c r="R146" i="5"/>
  <c r="Z146" i="5"/>
  <c r="V146" i="5"/>
  <c r="T146" i="5"/>
  <c r="S146" i="5"/>
  <c r="Q146" i="5"/>
  <c r="O146" i="5"/>
  <c r="N146" i="5"/>
  <c r="AD146" i="5"/>
  <c r="AA146" i="5"/>
  <c r="P146" i="5"/>
  <c r="T38" i="5"/>
  <c r="D38" i="5"/>
  <c r="F38" i="5" s="1"/>
  <c r="S38" i="5"/>
  <c r="U38" i="5" s="1"/>
  <c r="C38" i="5"/>
  <c r="R38" i="5"/>
  <c r="B38" i="5"/>
  <c r="AG38" i="5"/>
  <c r="Q38" i="5"/>
  <c r="AF38" i="5"/>
  <c r="P38" i="5"/>
  <c r="Z38" i="5"/>
  <c r="E38" i="5"/>
  <c r="Y38" i="5"/>
  <c r="AA38" i="5" s="1"/>
  <c r="W38" i="5"/>
  <c r="L38" i="5"/>
  <c r="AC38" i="5"/>
  <c r="AB38" i="5"/>
  <c r="AD38" i="5" s="1"/>
  <c r="V38" i="5"/>
  <c r="X38" i="5" s="1"/>
  <c r="N38" i="5"/>
  <c r="M38" i="5"/>
  <c r="K38" i="5"/>
  <c r="J38" i="5"/>
  <c r="G38" i="5"/>
  <c r="I38" i="5" s="1"/>
  <c r="AE38" i="5"/>
  <c r="O38" i="5"/>
  <c r="AC38" i="4" s="1"/>
  <c r="AE38" i="4" s="1"/>
  <c r="AF38" i="4" s="1"/>
  <c r="H38" i="5"/>
  <c r="Y89" i="5"/>
  <c r="L89" i="5"/>
  <c r="AC89" i="5"/>
  <c r="K89" i="5"/>
  <c r="AB89" i="5"/>
  <c r="AD89" i="5" s="1"/>
  <c r="J89" i="5"/>
  <c r="AA89" i="5"/>
  <c r="I89" i="5"/>
  <c r="Z89" i="5"/>
  <c r="H89" i="5"/>
  <c r="P89" i="5"/>
  <c r="N89" i="5"/>
  <c r="M89" i="5"/>
  <c r="O89" i="5" s="1"/>
  <c r="AC89" i="4" s="1"/>
  <c r="AE89" i="4" s="1"/>
  <c r="AF89" i="4" s="1"/>
  <c r="G89" i="5"/>
  <c r="E89" i="5"/>
  <c r="F89" i="5" s="1"/>
  <c r="AF89" i="5"/>
  <c r="D89" i="5"/>
  <c r="S89" i="5"/>
  <c r="U89" i="5" s="1"/>
  <c r="B89" i="5"/>
  <c r="AE89" i="5"/>
  <c r="AG89" i="5" s="1"/>
  <c r="W89" i="5"/>
  <c r="V89" i="5"/>
  <c r="X89" i="5" s="1"/>
  <c r="Q89" i="5"/>
  <c r="C89" i="5"/>
  <c r="T89" i="5"/>
  <c r="S76" i="5"/>
  <c r="C76" i="5"/>
  <c r="R76" i="5"/>
  <c r="B76" i="5"/>
  <c r="Q76" i="5"/>
  <c r="AF76" i="5"/>
  <c r="P76" i="5"/>
  <c r="AE76" i="5"/>
  <c r="AG76" i="5" s="1"/>
  <c r="F76" i="5"/>
  <c r="AI76" i="5" s="1"/>
  <c r="Z76" i="5"/>
  <c r="E76" i="5"/>
  <c r="Y76" i="5"/>
  <c r="AA76" i="5" s="1"/>
  <c r="D76" i="5"/>
  <c r="X76" i="5"/>
  <c r="W76" i="5"/>
  <c r="U76" i="5"/>
  <c r="T76" i="5"/>
  <c r="AD76" i="5"/>
  <c r="AC76" i="5"/>
  <c r="N76" i="5"/>
  <c r="M76" i="5"/>
  <c r="O76" i="5" s="1"/>
  <c r="AC76" i="4" s="1"/>
  <c r="AE76" i="4" s="1"/>
  <c r="AF76" i="4" s="1"/>
  <c r="K76" i="5"/>
  <c r="G76" i="5"/>
  <c r="I76" i="5" s="1"/>
  <c r="AB76" i="5"/>
  <c r="V76" i="5"/>
  <c r="J76" i="5"/>
  <c r="L76" i="5" s="1"/>
  <c r="H76" i="5"/>
  <c r="AG143" i="5"/>
  <c r="Q143" i="5"/>
  <c r="S143" i="5"/>
  <c r="B143" i="5"/>
  <c r="AF143" i="5"/>
  <c r="N143" i="5"/>
  <c r="AE143" i="5"/>
  <c r="M143" i="5"/>
  <c r="AA143" i="5"/>
  <c r="G143" i="5"/>
  <c r="Z143" i="5"/>
  <c r="F143" i="5"/>
  <c r="Y143" i="5"/>
  <c r="E143" i="5"/>
  <c r="W143" i="5"/>
  <c r="C143" i="5"/>
  <c r="AB143" i="5"/>
  <c r="X143" i="5"/>
  <c r="V143" i="5"/>
  <c r="U143" i="5"/>
  <c r="T143" i="5"/>
  <c r="I143" i="5"/>
  <c r="AI143" i="5"/>
  <c r="AH143" i="5"/>
  <c r="AD143" i="5"/>
  <c r="R143" i="5"/>
  <c r="P143" i="5"/>
  <c r="K143" i="5"/>
  <c r="J143" i="5"/>
  <c r="D143" i="5"/>
  <c r="O143" i="5"/>
  <c r="L143" i="5"/>
  <c r="H143" i="5"/>
  <c r="AC143" i="5"/>
  <c r="U147" i="5"/>
  <c r="E147" i="5"/>
  <c r="Z147" i="5"/>
  <c r="J147" i="5"/>
  <c r="W147" i="5"/>
  <c r="D147" i="5"/>
  <c r="AC147" i="5"/>
  <c r="I147" i="5"/>
  <c r="AB147" i="5"/>
  <c r="H147" i="5"/>
  <c r="S147" i="5"/>
  <c r="R147" i="5"/>
  <c r="Q147" i="5"/>
  <c r="O147" i="5"/>
  <c r="AG147" i="5"/>
  <c r="C147" i="5"/>
  <c r="AF147" i="5"/>
  <c r="B147" i="5"/>
  <c r="AE147" i="5"/>
  <c r="AD147" i="5"/>
  <c r="AA147" i="5"/>
  <c r="M147" i="5"/>
  <c r="AI147" i="5"/>
  <c r="AH147" i="5"/>
  <c r="Y147" i="5"/>
  <c r="V147" i="5"/>
  <c r="T147" i="5"/>
  <c r="L147" i="5"/>
  <c r="K147" i="5"/>
  <c r="F147" i="5"/>
  <c r="G147" i="5"/>
  <c r="X147" i="5"/>
  <c r="N147" i="5"/>
  <c r="P147" i="5"/>
  <c r="W141" i="5"/>
  <c r="G141" i="5"/>
  <c r="T141" i="5"/>
  <c r="C141" i="5"/>
  <c r="AD141" i="5"/>
  <c r="L141" i="5"/>
  <c r="AC141" i="5"/>
  <c r="K141" i="5"/>
  <c r="AI141" i="5"/>
  <c r="O141" i="5"/>
  <c r="AH141" i="5"/>
  <c r="N141" i="5"/>
  <c r="AG141" i="5"/>
  <c r="M141" i="5"/>
  <c r="AE141" i="5"/>
  <c r="I141" i="5"/>
  <c r="P141" i="5"/>
  <c r="J141" i="5"/>
  <c r="H141" i="5"/>
  <c r="F141" i="5"/>
  <c r="E141" i="5"/>
  <c r="V141" i="5"/>
  <c r="U141" i="5"/>
  <c r="S141" i="5"/>
  <c r="R141" i="5"/>
  <c r="Q141" i="5"/>
  <c r="D141" i="5"/>
  <c r="AF141" i="5"/>
  <c r="AB141" i="5"/>
  <c r="Z141" i="5"/>
  <c r="AA141" i="5"/>
  <c r="Y141" i="5"/>
  <c r="X141" i="5"/>
  <c r="B141" i="5"/>
  <c r="AB150" i="5"/>
  <c r="L150" i="5"/>
  <c r="AG150" i="5"/>
  <c r="Q150" i="5"/>
  <c r="AA150" i="5"/>
  <c r="I150" i="5"/>
  <c r="V150" i="5"/>
  <c r="C150" i="5"/>
  <c r="U150" i="5"/>
  <c r="B150" i="5"/>
  <c r="T150" i="5"/>
  <c r="AE150" i="5"/>
  <c r="G150" i="5"/>
  <c r="AD150" i="5"/>
  <c r="F150" i="5"/>
  <c r="AC150" i="5"/>
  <c r="E150" i="5"/>
  <c r="Y150" i="5"/>
  <c r="S150" i="5"/>
  <c r="R150" i="5"/>
  <c r="P150" i="5"/>
  <c r="O150" i="5"/>
  <c r="N150" i="5"/>
  <c r="AH150" i="5"/>
  <c r="AI150" i="5"/>
  <c r="AF150" i="5"/>
  <c r="Z150" i="5"/>
  <c r="X150" i="5"/>
  <c r="M150" i="5"/>
  <c r="K150" i="5"/>
  <c r="D150" i="5"/>
  <c r="W150" i="5"/>
  <c r="J150" i="5"/>
  <c r="H150" i="5"/>
  <c r="C47" i="2"/>
  <c r="AB24" i="5"/>
  <c r="AD24" i="5"/>
  <c r="M24" i="5"/>
  <c r="AC24" i="5"/>
  <c r="K24" i="5"/>
  <c r="AA24" i="5"/>
  <c r="J24" i="5"/>
  <c r="L24" i="5" s="1"/>
  <c r="AH24" i="5" s="1"/>
  <c r="Z24" i="5"/>
  <c r="I24" i="5"/>
  <c r="Y24" i="5"/>
  <c r="D24" i="5"/>
  <c r="X24" i="5"/>
  <c r="C24" i="5"/>
  <c r="W24" i="5"/>
  <c r="B24" i="5"/>
  <c r="V24" i="5"/>
  <c r="R24" i="5"/>
  <c r="Q24" i="5"/>
  <c r="P24" i="5"/>
  <c r="AG24" i="5"/>
  <c r="G24" i="5"/>
  <c r="S24" i="5"/>
  <c r="U24" i="5" s="1"/>
  <c r="N24" i="5"/>
  <c r="O24" i="5" s="1"/>
  <c r="AC24" i="4" s="1"/>
  <c r="AE24" i="4" s="1"/>
  <c r="AF24" i="4" s="1"/>
  <c r="H24" i="5"/>
  <c r="F24" i="5"/>
  <c r="E24" i="5"/>
  <c r="AF24" i="5"/>
  <c r="AE24" i="5"/>
  <c r="T24" i="5"/>
  <c r="C15" i="2"/>
  <c r="C48" i="2"/>
  <c r="K19" i="5"/>
  <c r="Q19" i="5"/>
  <c r="V19" i="5"/>
  <c r="D19" i="5"/>
  <c r="F19" i="5" s="1"/>
  <c r="C19" i="5"/>
  <c r="T19" i="5"/>
  <c r="B19" i="5"/>
  <c r="S19" i="5"/>
  <c r="U19" i="5" s="1"/>
  <c r="R19" i="5"/>
  <c r="AF19" i="5"/>
  <c r="N19" i="5"/>
  <c r="AE19" i="5"/>
  <c r="AG19" i="5" s="1"/>
  <c r="M19" i="5"/>
  <c r="AC19" i="5"/>
  <c r="J19" i="5"/>
  <c r="L19" i="5" s="1"/>
  <c r="Y19" i="5"/>
  <c r="G19" i="5"/>
  <c r="AB19" i="5"/>
  <c r="AD19" i="5" s="1"/>
  <c r="Z19" i="5"/>
  <c r="AA19" i="5" s="1"/>
  <c r="X19" i="5"/>
  <c r="W19" i="5"/>
  <c r="I19" i="5"/>
  <c r="H19" i="5"/>
  <c r="E19" i="5"/>
  <c r="P19" i="5"/>
  <c r="O19" i="5"/>
  <c r="AC19" i="4" s="1"/>
  <c r="AE19" i="4" s="1"/>
  <c r="AF19" i="4" s="1"/>
  <c r="T81" i="5"/>
  <c r="D81" i="5"/>
  <c r="S81" i="5"/>
  <c r="U81" i="5" s="1"/>
  <c r="C81" i="5"/>
  <c r="B81" i="5"/>
  <c r="Q81" i="5"/>
  <c r="R81" i="5" s="1"/>
  <c r="AF81" i="5"/>
  <c r="P81" i="5"/>
  <c r="N81" i="5"/>
  <c r="M81" i="5"/>
  <c r="K81" i="5"/>
  <c r="AE81" i="5"/>
  <c r="AG81" i="5" s="1"/>
  <c r="J81" i="5"/>
  <c r="L81" i="5" s="1"/>
  <c r="AC81" i="5"/>
  <c r="H81" i="5"/>
  <c r="AB81" i="5"/>
  <c r="G81" i="5"/>
  <c r="I81" i="5" s="1"/>
  <c r="V81" i="5"/>
  <c r="X81" i="5" s="1"/>
  <c r="E81" i="5"/>
  <c r="Z81" i="5"/>
  <c r="AA81" i="5" s="1"/>
  <c r="Y81" i="5"/>
  <c r="O81" i="5"/>
  <c r="AC81" i="4" s="1"/>
  <c r="AE81" i="4" s="1"/>
  <c r="AF81" i="4" s="1"/>
  <c r="AD81" i="5"/>
  <c r="W81" i="5"/>
  <c r="F81" i="5"/>
  <c r="N123" i="5"/>
  <c r="AC123" i="5"/>
  <c r="M123" i="5"/>
  <c r="O123" i="5" s="1"/>
  <c r="AC123" i="4" s="1"/>
  <c r="AE123" i="4" s="1"/>
  <c r="AF123" i="4" s="1"/>
  <c r="AB123" i="5"/>
  <c r="AD123" i="5" s="1"/>
  <c r="S123" i="5"/>
  <c r="U123" i="5" s="1"/>
  <c r="R123" i="5"/>
  <c r="Q123" i="5"/>
  <c r="P123" i="5"/>
  <c r="J123" i="5"/>
  <c r="L123" i="5" s="1"/>
  <c r="H123" i="5"/>
  <c r="I123" i="5" s="1"/>
  <c r="G123" i="5"/>
  <c r="AE123" i="5"/>
  <c r="D123" i="5"/>
  <c r="F123" i="5" s="1"/>
  <c r="C123" i="5"/>
  <c r="X123" i="5"/>
  <c r="W123" i="5"/>
  <c r="AF123" i="5"/>
  <c r="AG123" i="5" s="1"/>
  <c r="Z123" i="5"/>
  <c r="AA123" i="5" s="1"/>
  <c r="Y123" i="5"/>
  <c r="V123" i="5"/>
  <c r="K123" i="5"/>
  <c r="E123" i="5"/>
  <c r="B123" i="5"/>
  <c r="T123" i="5"/>
  <c r="AB67" i="5"/>
  <c r="AD67" i="5"/>
  <c r="M67" i="5"/>
  <c r="O67" i="5" s="1"/>
  <c r="AC67" i="4" s="1"/>
  <c r="AE67" i="4" s="1"/>
  <c r="AF67" i="4" s="1"/>
  <c r="AC67" i="5"/>
  <c r="K67" i="5"/>
  <c r="L67" i="5" s="1"/>
  <c r="J67" i="5"/>
  <c r="Z67" i="5"/>
  <c r="Y67" i="5"/>
  <c r="H67" i="5"/>
  <c r="W67" i="5"/>
  <c r="V67" i="5"/>
  <c r="E67" i="5"/>
  <c r="F67" i="5" s="1"/>
  <c r="P67" i="5"/>
  <c r="R67" i="5" s="1"/>
  <c r="T67" i="5"/>
  <c r="S67" i="5"/>
  <c r="U67" i="5" s="1"/>
  <c r="Q67" i="5"/>
  <c r="D67" i="5"/>
  <c r="C67" i="5"/>
  <c r="B67" i="5"/>
  <c r="AE67" i="5"/>
  <c r="AG67" i="5" s="1"/>
  <c r="AF67" i="5"/>
  <c r="N67" i="5"/>
  <c r="X67" i="5"/>
  <c r="G67" i="5"/>
  <c r="I67" i="5" s="1"/>
  <c r="AG28" i="5"/>
  <c r="AF28" i="5"/>
  <c r="P28" i="5"/>
  <c r="R28" i="5" s="1"/>
  <c r="AE28" i="5"/>
  <c r="Z28" i="5"/>
  <c r="Y28" i="5"/>
  <c r="H28" i="5"/>
  <c r="X28" i="5"/>
  <c r="G28" i="5"/>
  <c r="I28" i="5" s="1"/>
  <c r="W28" i="5"/>
  <c r="F28" i="5"/>
  <c r="V28" i="5"/>
  <c r="T28" i="5"/>
  <c r="U28" i="5" s="1"/>
  <c r="S28" i="5"/>
  <c r="N28" i="5"/>
  <c r="O28" i="5" s="1"/>
  <c r="AC28" i="4" s="1"/>
  <c r="AE28" i="4" s="1"/>
  <c r="AF28" i="4" s="1"/>
  <c r="M28" i="5"/>
  <c r="K28" i="5"/>
  <c r="AC28" i="5"/>
  <c r="D28" i="5"/>
  <c r="B28" i="5"/>
  <c r="AB28" i="5"/>
  <c r="AD28" i="5" s="1"/>
  <c r="J28" i="5"/>
  <c r="E28" i="5"/>
  <c r="C28" i="5"/>
  <c r="Q28" i="5"/>
  <c r="W139" i="5"/>
  <c r="G139" i="5"/>
  <c r="AB139" i="5"/>
  <c r="K139" i="5"/>
  <c r="AA139" i="5"/>
  <c r="J139" i="5"/>
  <c r="V139" i="5"/>
  <c r="C139" i="5"/>
  <c r="U139" i="5"/>
  <c r="B139" i="5"/>
  <c r="T139" i="5"/>
  <c r="R139" i="5"/>
  <c r="AD139" i="5"/>
  <c r="D139" i="5"/>
  <c r="AC139" i="5"/>
  <c r="Z139" i="5"/>
  <c r="Y139" i="5"/>
  <c r="X139" i="5"/>
  <c r="AI139" i="5"/>
  <c r="L139" i="5"/>
  <c r="F139" i="5"/>
  <c r="E139" i="5"/>
  <c r="AH139" i="5"/>
  <c r="AF139" i="5"/>
  <c r="AE139" i="5"/>
  <c r="P139" i="5"/>
  <c r="O139" i="5"/>
  <c r="M139" i="5"/>
  <c r="AG139" i="5"/>
  <c r="S139" i="5"/>
  <c r="Q139" i="5"/>
  <c r="N139" i="5"/>
  <c r="H139" i="5"/>
  <c r="I139" i="5"/>
  <c r="Q60" i="5"/>
  <c r="R60" i="5" s="1"/>
  <c r="S60" i="5"/>
  <c r="B60" i="5"/>
  <c r="P60" i="5"/>
  <c r="AF60" i="5"/>
  <c r="AE60" i="5"/>
  <c r="AG60" i="5" s="1"/>
  <c r="N60" i="5"/>
  <c r="V60" i="5"/>
  <c r="X60" i="5" s="1"/>
  <c r="E60" i="5"/>
  <c r="J60" i="5"/>
  <c r="L60" i="5" s="1"/>
  <c r="H60" i="5"/>
  <c r="AD60" i="5"/>
  <c r="G60" i="5"/>
  <c r="I60" i="5" s="1"/>
  <c r="AC60" i="5"/>
  <c r="F60" i="5"/>
  <c r="Z60" i="5"/>
  <c r="Y60" i="5"/>
  <c r="AA60" i="5" s="1"/>
  <c r="W60" i="5"/>
  <c r="M60" i="5"/>
  <c r="O60" i="5" s="1"/>
  <c r="AC60" i="4" s="1"/>
  <c r="AE60" i="4" s="1"/>
  <c r="AF60" i="4" s="1"/>
  <c r="T60" i="5"/>
  <c r="K60" i="5"/>
  <c r="D60" i="5"/>
  <c r="C60" i="5"/>
  <c r="AB60" i="5"/>
  <c r="U60" i="5"/>
  <c r="V53" i="5"/>
  <c r="Y53" i="5"/>
  <c r="AA53" i="5" s="1"/>
  <c r="H53" i="5"/>
  <c r="G53" i="5"/>
  <c r="W53" i="5"/>
  <c r="X53" i="5" s="1"/>
  <c r="E53" i="5"/>
  <c r="D53" i="5"/>
  <c r="F53" i="5" s="1"/>
  <c r="T53" i="5"/>
  <c r="C53" i="5"/>
  <c r="AB53" i="5"/>
  <c r="AD53" i="5" s="1"/>
  <c r="K53" i="5"/>
  <c r="L53" i="5"/>
  <c r="J53" i="5"/>
  <c r="I53" i="5"/>
  <c r="AF53" i="5"/>
  <c r="B53" i="5"/>
  <c r="AE53" i="5"/>
  <c r="AG53" i="5" s="1"/>
  <c r="Z53" i="5"/>
  <c r="S53" i="5"/>
  <c r="U53" i="5" s="1"/>
  <c r="R53" i="5"/>
  <c r="AC53" i="5"/>
  <c r="N53" i="5"/>
  <c r="M53" i="5"/>
  <c r="O53" i="5" s="1"/>
  <c r="AC53" i="4" s="1"/>
  <c r="AE53" i="4" s="1"/>
  <c r="AF53" i="4" s="1"/>
  <c r="Q53" i="5"/>
  <c r="P53" i="5"/>
  <c r="R65" i="5"/>
  <c r="B65" i="5"/>
  <c r="AE65" i="5"/>
  <c r="N65" i="5"/>
  <c r="O65" i="5" s="1"/>
  <c r="AC65" i="4" s="1"/>
  <c r="AE65" i="4" s="1"/>
  <c r="AF65" i="4" s="1"/>
  <c r="M65" i="5"/>
  <c r="AC65" i="5"/>
  <c r="AB65" i="5"/>
  <c r="AD65" i="5" s="1"/>
  <c r="K65" i="5"/>
  <c r="L65" i="5" s="1"/>
  <c r="J65" i="5"/>
  <c r="Y65" i="5"/>
  <c r="AA65" i="5" s="1"/>
  <c r="Q65" i="5"/>
  <c r="Z65" i="5"/>
  <c r="W65" i="5"/>
  <c r="X65" i="5" s="1"/>
  <c r="V65" i="5"/>
  <c r="P65" i="5"/>
  <c r="I65" i="5"/>
  <c r="H65" i="5"/>
  <c r="E65" i="5"/>
  <c r="AG65" i="5"/>
  <c r="AF65" i="5"/>
  <c r="T65" i="5"/>
  <c r="S65" i="5"/>
  <c r="U65" i="5" s="1"/>
  <c r="D65" i="5"/>
  <c r="F65" i="5" s="1"/>
  <c r="C65" i="5"/>
  <c r="G65" i="5"/>
  <c r="Q82" i="5"/>
  <c r="AF82" i="5"/>
  <c r="AG82" i="5" s="1"/>
  <c r="P82" i="5"/>
  <c r="AE82" i="5"/>
  <c r="O82" i="5"/>
  <c r="AC82" i="4" s="1"/>
  <c r="AE82" i="4" s="1"/>
  <c r="AF82" i="4" s="1"/>
  <c r="N82" i="5"/>
  <c r="AC82" i="5"/>
  <c r="M82" i="5"/>
  <c r="Z82" i="5"/>
  <c r="E82" i="5"/>
  <c r="Y82" i="5"/>
  <c r="D82" i="5"/>
  <c r="C82" i="5"/>
  <c r="W82" i="5"/>
  <c r="B82" i="5"/>
  <c r="V82" i="5"/>
  <c r="X82" i="5" s="1"/>
  <c r="T82" i="5"/>
  <c r="S82" i="5"/>
  <c r="U82" i="5" s="1"/>
  <c r="H82" i="5"/>
  <c r="K82" i="5"/>
  <c r="L82" i="5" s="1"/>
  <c r="J82" i="5"/>
  <c r="G82" i="5"/>
  <c r="I82" i="5" s="1"/>
  <c r="AA82" i="5"/>
  <c r="R82" i="5"/>
  <c r="AB82" i="5"/>
  <c r="Z57" i="5"/>
  <c r="AA57" i="5" s="1"/>
  <c r="J57" i="5"/>
  <c r="D57" i="5"/>
  <c r="F57" i="5" s="1"/>
  <c r="T57" i="5"/>
  <c r="C57" i="5"/>
  <c r="S57" i="5"/>
  <c r="U57" i="5" s="1"/>
  <c r="B57" i="5"/>
  <c r="R57" i="5"/>
  <c r="Q57" i="5"/>
  <c r="G57" i="5"/>
  <c r="I57" i="5" s="1"/>
  <c r="AF57" i="5"/>
  <c r="H57" i="5"/>
  <c r="AE57" i="5"/>
  <c r="AG57" i="5" s="1"/>
  <c r="AD57" i="5"/>
  <c r="E57" i="5"/>
  <c r="AC57" i="5"/>
  <c r="AB57" i="5"/>
  <c r="W57" i="5"/>
  <c r="X57" i="5" s="1"/>
  <c r="V57" i="5"/>
  <c r="P57" i="5"/>
  <c r="O57" i="5"/>
  <c r="AC57" i="4" s="1"/>
  <c r="AE57" i="4" s="1"/>
  <c r="AF57" i="4" s="1"/>
  <c r="N57" i="5"/>
  <c r="M57" i="5"/>
  <c r="K57" i="5"/>
  <c r="L57" i="5" s="1"/>
  <c r="Y57" i="5"/>
  <c r="N83" i="5"/>
  <c r="AC83" i="5"/>
  <c r="M83" i="5"/>
  <c r="AB83" i="5"/>
  <c r="AD83" i="5" s="1"/>
  <c r="K83" i="5"/>
  <c r="Z83" i="5"/>
  <c r="J83" i="5"/>
  <c r="Q83" i="5"/>
  <c r="R83" i="5" s="1"/>
  <c r="P83" i="5"/>
  <c r="O83" i="5"/>
  <c r="AC83" i="4" s="1"/>
  <c r="AE83" i="4" s="1"/>
  <c r="AF83" i="4" s="1"/>
  <c r="I83" i="5"/>
  <c r="H83" i="5"/>
  <c r="AF83" i="5"/>
  <c r="AE83" i="5"/>
  <c r="E83" i="5"/>
  <c r="F83" i="5" s="1"/>
  <c r="T83" i="5"/>
  <c r="W83" i="5"/>
  <c r="V83" i="5"/>
  <c r="S83" i="5"/>
  <c r="U83" i="5" s="1"/>
  <c r="D83" i="5"/>
  <c r="C83" i="5"/>
  <c r="B83" i="5"/>
  <c r="AG83" i="5"/>
  <c r="Y83" i="5"/>
  <c r="AA83" i="5" s="1"/>
  <c r="G83" i="5"/>
  <c r="AB118" i="5"/>
  <c r="AD118" i="5" s="1"/>
  <c r="K118" i="5"/>
  <c r="T118" i="5"/>
  <c r="B118" i="5"/>
  <c r="S118" i="5"/>
  <c r="U118" i="5" s="1"/>
  <c r="Q118" i="5"/>
  <c r="R118" i="5" s="1"/>
  <c r="P118" i="5"/>
  <c r="V118" i="5"/>
  <c r="X118" i="5" s="1"/>
  <c r="N118" i="5"/>
  <c r="O118" i="5" s="1"/>
  <c r="AC118" i="4" s="1"/>
  <c r="AE118" i="4" s="1"/>
  <c r="AF118" i="4" s="1"/>
  <c r="M118" i="5"/>
  <c r="E118" i="5"/>
  <c r="F118" i="5" s="1"/>
  <c r="AC118" i="5"/>
  <c r="D118" i="5"/>
  <c r="Y118" i="5"/>
  <c r="AA118" i="5" s="1"/>
  <c r="AE118" i="5"/>
  <c r="Z118" i="5"/>
  <c r="W118" i="5"/>
  <c r="J118" i="5"/>
  <c r="L118" i="5" s="1"/>
  <c r="H118" i="5"/>
  <c r="G118" i="5"/>
  <c r="I118" i="5" s="1"/>
  <c r="C118" i="5"/>
  <c r="AG118" i="5"/>
  <c r="AF118" i="5"/>
  <c r="Z140" i="5"/>
  <c r="J140" i="5"/>
  <c r="U140" i="5"/>
  <c r="D140" i="5"/>
  <c r="AC140" i="5"/>
  <c r="K140" i="5"/>
  <c r="AB140" i="5"/>
  <c r="I140" i="5"/>
  <c r="AD140" i="5"/>
  <c r="G140" i="5"/>
  <c r="AA140" i="5"/>
  <c r="F140" i="5"/>
  <c r="Y140" i="5"/>
  <c r="E140" i="5"/>
  <c r="W140" i="5"/>
  <c r="B140" i="5"/>
  <c r="S140" i="5"/>
  <c r="R140" i="5"/>
  <c r="Q140" i="5"/>
  <c r="P140" i="5"/>
  <c r="O140" i="5"/>
  <c r="AF140" i="5"/>
  <c r="L140" i="5"/>
  <c r="H140" i="5"/>
  <c r="C140" i="5"/>
  <c r="AI140" i="5"/>
  <c r="AE140" i="5"/>
  <c r="X140" i="5"/>
  <c r="T140" i="5"/>
  <c r="M140" i="5"/>
  <c r="AG140" i="5"/>
  <c r="AH140" i="5"/>
  <c r="V140" i="5"/>
  <c r="N140" i="5"/>
  <c r="T59" i="5"/>
  <c r="D59" i="5"/>
  <c r="F59" i="5" s="1"/>
  <c r="S59" i="5"/>
  <c r="B59" i="5"/>
  <c r="R59" i="5"/>
  <c r="Q59" i="5"/>
  <c r="AG59" i="5"/>
  <c r="P59" i="5"/>
  <c r="AF59" i="5"/>
  <c r="O59" i="5"/>
  <c r="AC59" i="4" s="1"/>
  <c r="AE59" i="4" s="1"/>
  <c r="AF59" i="4" s="1"/>
  <c r="W59" i="5"/>
  <c r="U59" i="5"/>
  <c r="N59" i="5"/>
  <c r="M59" i="5"/>
  <c r="L59" i="5"/>
  <c r="K59" i="5"/>
  <c r="AE59" i="5"/>
  <c r="H59" i="5"/>
  <c r="AD59" i="5"/>
  <c r="G59" i="5"/>
  <c r="I59" i="5" s="1"/>
  <c r="AC59" i="5"/>
  <c r="E59" i="5"/>
  <c r="AB59" i="5"/>
  <c r="C59" i="5"/>
  <c r="Y59" i="5"/>
  <c r="X59" i="5"/>
  <c r="V59" i="5"/>
  <c r="J59" i="5"/>
  <c r="Z59" i="5"/>
  <c r="AA59" i="5"/>
  <c r="AC13" i="5"/>
  <c r="M13" i="5"/>
  <c r="V13" i="5"/>
  <c r="E13" i="5"/>
  <c r="F13" i="5" s="1"/>
  <c r="AF13" i="5"/>
  <c r="N13" i="5"/>
  <c r="AE13" i="5"/>
  <c r="AG13" i="5" s="1"/>
  <c r="AD13" i="5"/>
  <c r="K13" i="5"/>
  <c r="AB13" i="5"/>
  <c r="J13" i="5"/>
  <c r="L13" i="5" s="1"/>
  <c r="W13" i="5"/>
  <c r="D13" i="5"/>
  <c r="C13" i="5"/>
  <c r="T13" i="5"/>
  <c r="B13" i="5"/>
  <c r="Q13" i="5"/>
  <c r="Z13" i="5"/>
  <c r="AA13" i="5" s="1"/>
  <c r="Y13" i="5"/>
  <c r="P13" i="5"/>
  <c r="R13" i="5" s="1"/>
  <c r="O13" i="5"/>
  <c r="AC13" i="4" s="1"/>
  <c r="AE13" i="4" s="1"/>
  <c r="AF13" i="4" s="1"/>
  <c r="H13" i="5"/>
  <c r="G13" i="5"/>
  <c r="I13" i="5" s="1"/>
  <c r="S13" i="5"/>
  <c r="U13" i="5" s="1"/>
  <c r="AD10" i="5"/>
  <c r="N10" i="5"/>
  <c r="P10" i="5"/>
  <c r="AF10" i="5"/>
  <c r="AG10" i="5" s="1"/>
  <c r="AE10" i="5"/>
  <c r="M10" i="5"/>
  <c r="O10" i="5" s="1"/>
  <c r="AC10" i="4" s="1"/>
  <c r="AE10" i="4" s="1"/>
  <c r="AF10" i="4" s="1"/>
  <c r="AC10" i="5"/>
  <c r="W10" i="5"/>
  <c r="X10" i="5" s="1"/>
  <c r="V10" i="5"/>
  <c r="E10" i="5"/>
  <c r="H10" i="5"/>
  <c r="G10" i="5"/>
  <c r="I10" i="5" s="1"/>
  <c r="D10" i="5"/>
  <c r="AB10" i="5"/>
  <c r="C10" i="5"/>
  <c r="B10" i="5"/>
  <c r="T10" i="5"/>
  <c r="S10" i="5"/>
  <c r="U10" i="5" s="1"/>
  <c r="K10" i="5"/>
  <c r="Z10" i="5"/>
  <c r="Y10" i="5"/>
  <c r="AA10" i="5" s="1"/>
  <c r="Q10" i="5"/>
  <c r="R10" i="5" s="1"/>
  <c r="J10" i="5"/>
  <c r="L10" i="5" s="1"/>
  <c r="Z105" i="5"/>
  <c r="J105" i="5"/>
  <c r="Y105" i="5"/>
  <c r="AA105" i="5" s="1"/>
  <c r="H105" i="5"/>
  <c r="V105" i="5"/>
  <c r="X105" i="5" s="1"/>
  <c r="Q105" i="5"/>
  <c r="R105" i="5" s="1"/>
  <c r="P105" i="5"/>
  <c r="O105" i="5"/>
  <c r="AC105" i="4" s="1"/>
  <c r="AE105" i="4" s="1"/>
  <c r="AF105" i="4" s="1"/>
  <c r="N105" i="5"/>
  <c r="M105" i="5"/>
  <c r="C105" i="5"/>
  <c r="W105" i="5"/>
  <c r="T105" i="5"/>
  <c r="S105" i="5"/>
  <c r="U105" i="5" s="1"/>
  <c r="K105" i="5"/>
  <c r="G105" i="5"/>
  <c r="I105" i="5" s="1"/>
  <c r="AF105" i="5"/>
  <c r="AE105" i="5"/>
  <c r="AG105" i="5" s="1"/>
  <c r="AC105" i="5"/>
  <c r="AD105" i="5" s="1"/>
  <c r="E105" i="5"/>
  <c r="D105" i="5"/>
  <c r="F105" i="5" s="1"/>
  <c r="B105" i="5"/>
  <c r="L105" i="5"/>
  <c r="AB105" i="5"/>
  <c r="AB30" i="5"/>
  <c r="AD30" i="5" s="1"/>
  <c r="K30" i="5"/>
  <c r="Z30" i="5"/>
  <c r="J30" i="5"/>
  <c r="L30" i="5" s="1"/>
  <c r="Y30" i="5"/>
  <c r="AA30" i="5" s="1"/>
  <c r="H30" i="5"/>
  <c r="AC30" i="5"/>
  <c r="C30" i="5"/>
  <c r="W30" i="5"/>
  <c r="B30" i="5"/>
  <c r="V30" i="5"/>
  <c r="X30" i="5" s="1"/>
  <c r="P30" i="5"/>
  <c r="R30" i="5" s="1"/>
  <c r="N30" i="5"/>
  <c r="M30" i="5"/>
  <c r="O30" i="5" s="1"/>
  <c r="AC30" i="4" s="1"/>
  <c r="AE30" i="4" s="1"/>
  <c r="AF30" i="4" s="1"/>
  <c r="G30" i="5"/>
  <c r="I30" i="5" s="1"/>
  <c r="D30" i="5"/>
  <c r="F30" i="5" s="1"/>
  <c r="AF30" i="5"/>
  <c r="AE30" i="5"/>
  <c r="AG30" i="5" s="1"/>
  <c r="S30" i="5"/>
  <c r="U30" i="5" s="1"/>
  <c r="E30" i="5"/>
  <c r="T30" i="5"/>
  <c r="Q30" i="5"/>
  <c r="N40" i="5"/>
  <c r="O40" i="5" s="1"/>
  <c r="AC40" i="4" s="1"/>
  <c r="AE40" i="4" s="1"/>
  <c r="AF40" i="4" s="1"/>
  <c r="AC40" i="5"/>
  <c r="M40" i="5"/>
  <c r="AB40" i="5"/>
  <c r="AD40" i="5" s="1"/>
  <c r="K40" i="5"/>
  <c r="L40" i="5" s="1"/>
  <c r="Z40" i="5"/>
  <c r="J40" i="5"/>
  <c r="Q40" i="5"/>
  <c r="AE40" i="5"/>
  <c r="AG40" i="5" s="1"/>
  <c r="D40" i="5"/>
  <c r="Y40" i="5"/>
  <c r="AA40" i="5" s="1"/>
  <c r="C40" i="5"/>
  <c r="B40" i="5"/>
  <c r="W40" i="5"/>
  <c r="P40" i="5"/>
  <c r="R40" i="5" s="1"/>
  <c r="AF40" i="5"/>
  <c r="V40" i="5"/>
  <c r="X40" i="5" s="1"/>
  <c r="H40" i="5"/>
  <c r="E40" i="5"/>
  <c r="F40" i="5"/>
  <c r="AH40" i="5" s="1"/>
  <c r="T40" i="5"/>
  <c r="S40" i="5"/>
  <c r="U40" i="5" s="1"/>
  <c r="G40" i="5"/>
  <c r="I40" i="5" s="1"/>
  <c r="V90" i="5"/>
  <c r="U90" i="5"/>
  <c r="E90" i="5"/>
  <c r="AE90" i="5"/>
  <c r="M90" i="5"/>
  <c r="AC90" i="5"/>
  <c r="K90" i="5"/>
  <c r="L90" i="5" s="1"/>
  <c r="AB90" i="5"/>
  <c r="AD90" i="5" s="1"/>
  <c r="J90" i="5"/>
  <c r="D90" i="5"/>
  <c r="F90" i="5" s="1"/>
  <c r="C90" i="5"/>
  <c r="AF90" i="5"/>
  <c r="AG90" i="5" s="1"/>
  <c r="B90" i="5"/>
  <c r="Z90" i="5"/>
  <c r="Y90" i="5"/>
  <c r="AA90" i="5" s="1"/>
  <c r="W90" i="5"/>
  <c r="T90" i="5"/>
  <c r="N90" i="5"/>
  <c r="Q90" i="5"/>
  <c r="R90" i="5" s="1"/>
  <c r="P90" i="5"/>
  <c r="O90" i="5"/>
  <c r="AC90" i="4" s="1"/>
  <c r="AE90" i="4" s="1"/>
  <c r="AF90" i="4" s="1"/>
  <c r="H90" i="5"/>
  <c r="X90" i="5"/>
  <c r="S90" i="5"/>
  <c r="G90" i="5"/>
  <c r="I90" i="5" s="1"/>
  <c r="AA62" i="5"/>
  <c r="K62" i="5"/>
  <c r="Q62" i="5"/>
  <c r="P62" i="5"/>
  <c r="AF62" i="5"/>
  <c r="O62" i="5"/>
  <c r="AC62" i="4" s="1"/>
  <c r="AE62" i="4" s="1"/>
  <c r="AF62" i="4" s="1"/>
  <c r="AE62" i="5"/>
  <c r="AG62" i="5" s="1"/>
  <c r="N62" i="5"/>
  <c r="M62" i="5"/>
  <c r="T62" i="5"/>
  <c r="C62" i="5"/>
  <c r="W62" i="5"/>
  <c r="V62" i="5"/>
  <c r="U62" i="5"/>
  <c r="S62" i="5"/>
  <c r="I62" i="5"/>
  <c r="H62" i="5"/>
  <c r="G62" i="5"/>
  <c r="Z62" i="5"/>
  <c r="B62" i="5"/>
  <c r="X62" i="5"/>
  <c r="J62" i="5"/>
  <c r="L62" i="5" s="1"/>
  <c r="E62" i="5"/>
  <c r="D62" i="5"/>
  <c r="F62" i="5" s="1"/>
  <c r="AC62" i="5"/>
  <c r="AB62" i="5"/>
  <c r="AD62" i="5" s="1"/>
  <c r="Y62" i="5"/>
  <c r="AC35" i="5"/>
  <c r="M35" i="5"/>
  <c r="O35" i="5" s="1"/>
  <c r="AC35" i="4" s="1"/>
  <c r="AE35" i="4" s="1"/>
  <c r="AF35" i="4" s="1"/>
  <c r="AB35" i="5"/>
  <c r="K35" i="5"/>
  <c r="L35" i="5" s="1"/>
  <c r="Z35" i="5"/>
  <c r="J35" i="5"/>
  <c r="Y35" i="5"/>
  <c r="AA35" i="5" s="1"/>
  <c r="P35" i="5"/>
  <c r="R35" i="5" s="1"/>
  <c r="N35" i="5"/>
  <c r="H35" i="5"/>
  <c r="W35" i="5"/>
  <c r="B35" i="5"/>
  <c r="AF35" i="5"/>
  <c r="AE35" i="5"/>
  <c r="AG35" i="5" s="1"/>
  <c r="AD35" i="5"/>
  <c r="X35" i="5"/>
  <c r="T35" i="5"/>
  <c r="S35" i="5"/>
  <c r="U35" i="5" s="1"/>
  <c r="Q35" i="5"/>
  <c r="E35" i="5"/>
  <c r="C35" i="5"/>
  <c r="G35" i="5"/>
  <c r="I35" i="5" s="1"/>
  <c r="V35" i="5"/>
  <c r="D35" i="5"/>
  <c r="F35" i="5"/>
  <c r="C12" i="2"/>
  <c r="C81" i="2"/>
  <c r="C83" i="2"/>
  <c r="C82" i="2"/>
  <c r="AF92" i="5"/>
  <c r="P92" i="5"/>
  <c r="AE92" i="5"/>
  <c r="AG92" i="5" s="1"/>
  <c r="Q92" i="5"/>
  <c r="R92" i="5" s="1"/>
  <c r="N92" i="5"/>
  <c r="M92" i="5"/>
  <c r="O92" i="5" s="1"/>
  <c r="AC92" i="4" s="1"/>
  <c r="AE92" i="4" s="1"/>
  <c r="AF92" i="4" s="1"/>
  <c r="AC92" i="5"/>
  <c r="K92" i="5"/>
  <c r="S92" i="5"/>
  <c r="U92" i="5" s="1"/>
  <c r="J92" i="5"/>
  <c r="L92" i="5" s="1"/>
  <c r="H92" i="5"/>
  <c r="AB92" i="5"/>
  <c r="AD92" i="5" s="1"/>
  <c r="E92" i="5"/>
  <c r="V92" i="5"/>
  <c r="X92" i="5" s="1"/>
  <c r="C92" i="5"/>
  <c r="B92" i="5"/>
  <c r="Z92" i="5"/>
  <c r="Y92" i="5"/>
  <c r="AA92" i="5" s="1"/>
  <c r="T92" i="5"/>
  <c r="W92" i="5"/>
  <c r="G92" i="5"/>
  <c r="I92" i="5" s="1"/>
  <c r="D92" i="5"/>
  <c r="T16" i="5"/>
  <c r="D16" i="5"/>
  <c r="S16" i="5"/>
  <c r="B16" i="5"/>
  <c r="Q16" i="5"/>
  <c r="P16" i="5"/>
  <c r="O16" i="5"/>
  <c r="AC16" i="4" s="1"/>
  <c r="AE16" i="4" s="1"/>
  <c r="AF16" i="4" s="1"/>
  <c r="AF16" i="5"/>
  <c r="N16" i="5"/>
  <c r="AE16" i="5"/>
  <c r="AG16" i="5" s="1"/>
  <c r="AB16" i="5"/>
  <c r="Z16" i="5"/>
  <c r="AA16" i="5" s="1"/>
  <c r="H16" i="5"/>
  <c r="Y16" i="5"/>
  <c r="G16" i="5"/>
  <c r="I16" i="5" s="1"/>
  <c r="V16" i="5"/>
  <c r="C16" i="5"/>
  <c r="AD16" i="5"/>
  <c r="AC16" i="5"/>
  <c r="R16" i="5"/>
  <c r="M16" i="5"/>
  <c r="L16" i="5"/>
  <c r="W16" i="5"/>
  <c r="X16" i="5" s="1"/>
  <c r="J16" i="5"/>
  <c r="E16" i="5"/>
  <c r="F16" i="5" s="1"/>
  <c r="K16" i="5"/>
  <c r="AF154" i="5"/>
  <c r="P154" i="5"/>
  <c r="U154" i="5"/>
  <c r="E154" i="5"/>
  <c r="AH154" i="5"/>
  <c r="O154" i="5"/>
  <c r="S154" i="5"/>
  <c r="R154" i="5"/>
  <c r="Q154" i="5"/>
  <c r="AG154" i="5"/>
  <c r="J154" i="5"/>
  <c r="AE154" i="5"/>
  <c r="I154" i="5"/>
  <c r="AD154" i="5"/>
  <c r="H154" i="5"/>
  <c r="AB154" i="5"/>
  <c r="F154" i="5"/>
  <c r="K154" i="5"/>
  <c r="G154" i="5"/>
  <c r="D154" i="5"/>
  <c r="C154" i="5"/>
  <c r="AI154" i="5"/>
  <c r="B154" i="5"/>
  <c r="V154" i="5"/>
  <c r="AC154" i="5"/>
  <c r="Z154" i="5"/>
  <c r="Y154" i="5"/>
  <c r="T154" i="5"/>
  <c r="N154" i="5"/>
  <c r="L154" i="5"/>
  <c r="X154" i="5"/>
  <c r="W154" i="5"/>
  <c r="M154" i="5"/>
  <c r="AA154" i="5"/>
  <c r="AE45" i="5"/>
  <c r="AD45" i="5"/>
  <c r="N45" i="5"/>
  <c r="AC45" i="5"/>
  <c r="M45" i="5"/>
  <c r="O45" i="5" s="1"/>
  <c r="AC45" i="4" s="1"/>
  <c r="AE45" i="4" s="1"/>
  <c r="AF45" i="4" s="1"/>
  <c r="AB45" i="5"/>
  <c r="K45" i="5"/>
  <c r="AH45" i="5"/>
  <c r="B45" i="5"/>
  <c r="G45" i="5"/>
  <c r="AG45" i="5"/>
  <c r="AF45" i="5"/>
  <c r="E45" i="5"/>
  <c r="F45" i="5" s="1"/>
  <c r="Z45" i="5"/>
  <c r="D45" i="5"/>
  <c r="Y45" i="5"/>
  <c r="AA45" i="5" s="1"/>
  <c r="C45" i="5"/>
  <c r="T45" i="5"/>
  <c r="I45" i="5"/>
  <c r="H45" i="5"/>
  <c r="X45" i="5"/>
  <c r="W45" i="5"/>
  <c r="V45" i="5"/>
  <c r="Q45" i="5"/>
  <c r="S45" i="5"/>
  <c r="U45" i="5" s="1"/>
  <c r="P45" i="5"/>
  <c r="R45" i="5" s="1"/>
  <c r="J45" i="5"/>
  <c r="L45" i="5" s="1"/>
  <c r="AI135" i="5"/>
  <c r="S135" i="5"/>
  <c r="AE135" i="5"/>
  <c r="N135" i="5"/>
  <c r="AD135" i="5"/>
  <c r="M135" i="5"/>
  <c r="Z135" i="5"/>
  <c r="G135" i="5"/>
  <c r="Y135" i="5"/>
  <c r="F135" i="5"/>
  <c r="X135" i="5"/>
  <c r="E135" i="5"/>
  <c r="V135" i="5"/>
  <c r="C135" i="5"/>
  <c r="L135" i="5"/>
  <c r="K135" i="5"/>
  <c r="J135" i="5"/>
  <c r="AH135" i="5"/>
  <c r="I135" i="5"/>
  <c r="AG135" i="5"/>
  <c r="H135" i="5"/>
  <c r="T135" i="5"/>
  <c r="R135" i="5"/>
  <c r="Q135" i="5"/>
  <c r="P135" i="5"/>
  <c r="O135" i="5"/>
  <c r="D135" i="5"/>
  <c r="AF135" i="5"/>
  <c r="AC135" i="5"/>
  <c r="AA135" i="5"/>
  <c r="AB135" i="5"/>
  <c r="W135" i="5"/>
  <c r="U135" i="5"/>
  <c r="B135" i="5"/>
  <c r="W15" i="5"/>
  <c r="G15" i="5"/>
  <c r="T15" i="5"/>
  <c r="C15" i="5"/>
  <c r="P15" i="5"/>
  <c r="AF15" i="5"/>
  <c r="AG15" i="5" s="1"/>
  <c r="N15" i="5"/>
  <c r="AE15" i="5"/>
  <c r="M15" i="5"/>
  <c r="O15" i="5" s="1"/>
  <c r="AC15" i="4" s="1"/>
  <c r="AE15" i="4" s="1"/>
  <c r="AF15" i="4" s="1"/>
  <c r="Z15" i="5"/>
  <c r="H15" i="5"/>
  <c r="Y15" i="5"/>
  <c r="AA15" i="5" s="1"/>
  <c r="E15" i="5"/>
  <c r="S15" i="5"/>
  <c r="U15" i="5" s="1"/>
  <c r="AD15" i="5"/>
  <c r="AC15" i="5"/>
  <c r="AB15" i="5"/>
  <c r="R15" i="5"/>
  <c r="Q15" i="5"/>
  <c r="K15" i="5"/>
  <c r="L15" i="5" s="1"/>
  <c r="D15" i="5"/>
  <c r="V15" i="5"/>
  <c r="X15" i="5" s="1"/>
  <c r="I15" i="5"/>
  <c r="J15" i="5"/>
  <c r="B15" i="5"/>
  <c r="AC78" i="5"/>
  <c r="M78" i="5"/>
  <c r="O78" i="5" s="1"/>
  <c r="AC78" i="4" s="1"/>
  <c r="AE78" i="4" s="1"/>
  <c r="AF78" i="4" s="1"/>
  <c r="AB78" i="5"/>
  <c r="AD78" i="5" s="1"/>
  <c r="L78" i="5"/>
  <c r="AA78" i="5"/>
  <c r="K78" i="5"/>
  <c r="Z78" i="5"/>
  <c r="J78" i="5"/>
  <c r="Y78" i="5"/>
  <c r="D78" i="5"/>
  <c r="X78" i="5"/>
  <c r="C78" i="5"/>
  <c r="W78" i="5"/>
  <c r="B78" i="5"/>
  <c r="V78" i="5"/>
  <c r="S78" i="5"/>
  <c r="U78" i="5" s="1"/>
  <c r="G78" i="5"/>
  <c r="P78" i="5"/>
  <c r="R78" i="5" s="1"/>
  <c r="N78" i="5"/>
  <c r="H78" i="5"/>
  <c r="I78" i="5" s="1"/>
  <c r="F78" i="5"/>
  <c r="AE78" i="5"/>
  <c r="AG78" i="5" s="1"/>
  <c r="Q78" i="5"/>
  <c r="E78" i="5"/>
  <c r="AF78" i="5"/>
  <c r="T78" i="5"/>
  <c r="E64" i="5"/>
  <c r="F64" i="5" s="1"/>
  <c r="AF64" i="5"/>
  <c r="AG64" i="5" s="1"/>
  <c r="AE64" i="5"/>
  <c r="N64" i="5"/>
  <c r="M64" i="5"/>
  <c r="O64" i="5" s="1"/>
  <c r="AC64" i="4" s="1"/>
  <c r="AE64" i="4" s="1"/>
  <c r="AF64" i="4" s="1"/>
  <c r="AC64" i="5"/>
  <c r="L64" i="5"/>
  <c r="AB64" i="5"/>
  <c r="AD64" i="5" s="1"/>
  <c r="K64" i="5"/>
  <c r="R64" i="5"/>
  <c r="G64" i="5"/>
  <c r="D64" i="5"/>
  <c r="C64" i="5"/>
  <c r="Z64" i="5"/>
  <c r="B64" i="5"/>
  <c r="W64" i="5"/>
  <c r="V64" i="5"/>
  <c r="T64" i="5"/>
  <c r="S64" i="5"/>
  <c r="U64" i="5" s="1"/>
  <c r="J64" i="5"/>
  <c r="Q64" i="5"/>
  <c r="P64" i="5"/>
  <c r="H64" i="5"/>
  <c r="Y64" i="5"/>
  <c r="AA64" i="5" s="1"/>
  <c r="H85" i="5"/>
  <c r="W85" i="5"/>
  <c r="X85" i="5" s="1"/>
  <c r="G85" i="5"/>
  <c r="V85" i="5"/>
  <c r="F85" i="5"/>
  <c r="E85" i="5"/>
  <c r="T85" i="5"/>
  <c r="U85" i="5" s="1"/>
  <c r="D85" i="5"/>
  <c r="N85" i="5"/>
  <c r="M85" i="5"/>
  <c r="O85" i="5" s="1"/>
  <c r="AC85" i="4" s="1"/>
  <c r="AE85" i="4" s="1"/>
  <c r="AF85" i="4" s="1"/>
  <c r="AF85" i="5"/>
  <c r="K85" i="5"/>
  <c r="L85" i="5" s="1"/>
  <c r="I85" i="5"/>
  <c r="AC85" i="5"/>
  <c r="C85" i="5"/>
  <c r="AB85" i="5"/>
  <c r="Z85" i="5"/>
  <c r="Y85" i="5"/>
  <c r="AA85" i="5" s="1"/>
  <c r="P85" i="5"/>
  <c r="R85" i="5" s="1"/>
  <c r="Q85" i="5"/>
  <c r="J85" i="5"/>
  <c r="B85" i="5"/>
  <c r="AE85" i="5"/>
  <c r="AG85" i="5" s="1"/>
  <c r="S85" i="5"/>
  <c r="T8" i="9"/>
  <c r="S8" i="9"/>
  <c r="M8" i="9"/>
  <c r="Q8" i="9"/>
  <c r="O8" i="9"/>
  <c r="AE98" i="5"/>
  <c r="N98" i="5"/>
  <c r="AC98" i="5"/>
  <c r="M98" i="5"/>
  <c r="O98" i="5" s="1"/>
  <c r="AC98" i="4" s="1"/>
  <c r="AE98" i="4" s="1"/>
  <c r="AF98" i="4" s="1"/>
  <c r="K98" i="5"/>
  <c r="L98" i="5" s="1"/>
  <c r="Z98" i="5"/>
  <c r="AA98" i="5" s="1"/>
  <c r="Y98" i="5"/>
  <c r="E98" i="5"/>
  <c r="F98" i="5" s="1"/>
  <c r="D98" i="5"/>
  <c r="W98" i="5"/>
  <c r="C98" i="5"/>
  <c r="V98" i="5"/>
  <c r="B98" i="5"/>
  <c r="J98" i="5"/>
  <c r="H98" i="5"/>
  <c r="G98" i="5"/>
  <c r="AF98" i="5"/>
  <c r="AG98" i="5" s="1"/>
  <c r="Q98" i="5"/>
  <c r="T98" i="5"/>
  <c r="U98" i="5" s="1"/>
  <c r="S98" i="5"/>
  <c r="P98" i="5"/>
  <c r="AB98" i="5"/>
  <c r="Q9" i="5"/>
  <c r="P9" i="5"/>
  <c r="R9" i="5" s="1"/>
  <c r="AF9" i="5"/>
  <c r="AE9" i="5"/>
  <c r="AG9" i="5" s="1"/>
  <c r="N9" i="5"/>
  <c r="M9" i="5"/>
  <c r="O9" i="5" s="1"/>
  <c r="AC9" i="4" s="1"/>
  <c r="AE9" i="4" s="1"/>
  <c r="AF9" i="4" s="1"/>
  <c r="G9" i="5"/>
  <c r="W9" i="5"/>
  <c r="F9" i="5"/>
  <c r="L9" i="5"/>
  <c r="K9" i="5"/>
  <c r="J9" i="5"/>
  <c r="AC9" i="5"/>
  <c r="D9" i="5"/>
  <c r="AB9" i="5"/>
  <c r="C9" i="5"/>
  <c r="B9" i="5"/>
  <c r="Z9" i="5"/>
  <c r="AA9" i="5" s="1"/>
  <c r="Y9" i="5"/>
  <c r="V9" i="5"/>
  <c r="X9" i="5" s="1"/>
  <c r="T9" i="5"/>
  <c r="S9" i="5"/>
  <c r="U9" i="5" s="1"/>
  <c r="H9" i="5"/>
  <c r="I9" i="5" s="1"/>
  <c r="E9" i="5"/>
  <c r="T107" i="5"/>
  <c r="U107" i="5" s="1"/>
  <c r="D107" i="5"/>
  <c r="F107" i="5" s="1"/>
  <c r="S107" i="5"/>
  <c r="C107" i="5"/>
  <c r="B107" i="5"/>
  <c r="AF107" i="5"/>
  <c r="P107" i="5"/>
  <c r="AE107" i="5"/>
  <c r="AG107" i="5" s="1"/>
  <c r="K107" i="5"/>
  <c r="J107" i="5"/>
  <c r="AC107" i="5"/>
  <c r="AB107" i="5"/>
  <c r="AD107" i="5" s="1"/>
  <c r="H107" i="5"/>
  <c r="G107" i="5"/>
  <c r="I107" i="5" s="1"/>
  <c r="W107" i="5"/>
  <c r="X107" i="5" s="1"/>
  <c r="V107" i="5"/>
  <c r="Q107" i="5"/>
  <c r="N107" i="5"/>
  <c r="L107" i="5"/>
  <c r="Z107" i="5"/>
  <c r="M107" i="5"/>
  <c r="O107" i="5" s="1"/>
  <c r="AC107" i="4" s="1"/>
  <c r="AE107" i="4" s="1"/>
  <c r="AF107" i="4" s="1"/>
  <c r="E107" i="5"/>
  <c r="Y107" i="5"/>
  <c r="AA107" i="5" s="1"/>
  <c r="Z79" i="5"/>
  <c r="J79" i="5"/>
  <c r="L79" i="5" s="1"/>
  <c r="Y79" i="5"/>
  <c r="H79" i="5"/>
  <c r="I79" i="5" s="1"/>
  <c r="W79" i="5"/>
  <c r="G79" i="5"/>
  <c r="V79" i="5"/>
  <c r="X79" i="5" s="1"/>
  <c r="F79" i="5"/>
  <c r="P79" i="5"/>
  <c r="N79" i="5"/>
  <c r="M79" i="5"/>
  <c r="O79" i="5" s="1"/>
  <c r="AC79" i="4" s="1"/>
  <c r="AE79" i="4" s="1"/>
  <c r="AF79" i="4" s="1"/>
  <c r="AE79" i="5"/>
  <c r="AG79" i="5" s="1"/>
  <c r="E79" i="5"/>
  <c r="D79" i="5"/>
  <c r="S79" i="5"/>
  <c r="AB79" i="5"/>
  <c r="AD79" i="5" s="1"/>
  <c r="AA79" i="5"/>
  <c r="U79" i="5"/>
  <c r="T79" i="5"/>
  <c r="R79" i="5"/>
  <c r="C79" i="5"/>
  <c r="B79" i="5"/>
  <c r="AF79" i="5"/>
  <c r="AC79" i="5"/>
  <c r="Q79" i="5"/>
  <c r="K79" i="5"/>
  <c r="AB129" i="5"/>
  <c r="L129" i="5"/>
  <c r="AA129" i="5"/>
  <c r="K129" i="5"/>
  <c r="Z129" i="5"/>
  <c r="J129" i="5"/>
  <c r="X129" i="5"/>
  <c r="H129" i="5"/>
  <c r="Q129" i="5"/>
  <c r="P129" i="5"/>
  <c r="AI129" i="5"/>
  <c r="O129" i="5"/>
  <c r="AH129" i="5"/>
  <c r="N129" i="5"/>
  <c r="AG129" i="5"/>
  <c r="M129" i="5"/>
  <c r="R129" i="5"/>
  <c r="I129" i="5"/>
  <c r="G129" i="5"/>
  <c r="F129" i="5"/>
  <c r="E129" i="5"/>
  <c r="AF129" i="5"/>
  <c r="C129" i="5"/>
  <c r="AE129" i="5"/>
  <c r="B129" i="5"/>
  <c r="Y129" i="5"/>
  <c r="W129" i="5"/>
  <c r="U129" i="5"/>
  <c r="AD129" i="5"/>
  <c r="AC129" i="5"/>
  <c r="D129" i="5"/>
  <c r="T129" i="5"/>
  <c r="S129" i="5"/>
  <c r="V129" i="5"/>
  <c r="T121" i="5"/>
  <c r="D121" i="5"/>
  <c r="F121" i="5" s="1"/>
  <c r="S121" i="5"/>
  <c r="C121" i="5"/>
  <c r="B121" i="5"/>
  <c r="AC121" i="5"/>
  <c r="J121" i="5"/>
  <c r="AB121" i="5"/>
  <c r="AD121" i="5" s="1"/>
  <c r="H121" i="5"/>
  <c r="I121" i="5" s="1"/>
  <c r="Z121" i="5"/>
  <c r="AA121" i="5" s="1"/>
  <c r="G121" i="5"/>
  <c r="Y121" i="5"/>
  <c r="W121" i="5"/>
  <c r="V121" i="5"/>
  <c r="X121" i="5" s="1"/>
  <c r="U121" i="5"/>
  <c r="Q121" i="5"/>
  <c r="K121" i="5"/>
  <c r="E121" i="5"/>
  <c r="AF121" i="5"/>
  <c r="AE121" i="5"/>
  <c r="AG121" i="5" s="1"/>
  <c r="P121" i="5"/>
  <c r="R121" i="5" s="1"/>
  <c r="N121" i="5"/>
  <c r="M121" i="5"/>
  <c r="O121" i="5" s="1"/>
  <c r="AC121" i="4" s="1"/>
  <c r="AE121" i="4" s="1"/>
  <c r="AF121" i="4" s="1"/>
  <c r="Z138" i="5"/>
  <c r="J138" i="5"/>
  <c r="AC138" i="5"/>
  <c r="L138" i="5"/>
  <c r="AB138" i="5"/>
  <c r="K138" i="5"/>
  <c r="S138" i="5"/>
  <c r="R138" i="5"/>
  <c r="Q138" i="5"/>
  <c r="AH138" i="5"/>
  <c r="O138" i="5"/>
  <c r="I138" i="5"/>
  <c r="AI138" i="5"/>
  <c r="H138" i="5"/>
  <c r="AG138" i="5"/>
  <c r="G138" i="5"/>
  <c r="AF138" i="5"/>
  <c r="F138" i="5"/>
  <c r="AE138" i="5"/>
  <c r="E138" i="5"/>
  <c r="U138" i="5"/>
  <c r="AD138" i="5"/>
  <c r="AA138" i="5"/>
  <c r="Y138" i="5"/>
  <c r="W138" i="5"/>
  <c r="V138" i="5"/>
  <c r="N138" i="5"/>
  <c r="M138" i="5"/>
  <c r="C138" i="5"/>
  <c r="X138" i="5"/>
  <c r="T138" i="5"/>
  <c r="P138" i="5"/>
  <c r="D138" i="5"/>
  <c r="B138" i="5"/>
  <c r="AG108" i="5"/>
  <c r="Q108" i="5"/>
  <c r="AF108" i="5"/>
  <c r="P108" i="5"/>
  <c r="R108" i="5" s="1"/>
  <c r="AE108" i="5"/>
  <c r="AC108" i="5"/>
  <c r="AD108" i="5" s="1"/>
  <c r="M108" i="5"/>
  <c r="O108" i="5" s="1"/>
  <c r="AC108" i="4" s="1"/>
  <c r="AE108" i="4" s="1"/>
  <c r="AF108" i="4" s="1"/>
  <c r="T108" i="5"/>
  <c r="S108" i="5"/>
  <c r="N108" i="5"/>
  <c r="Z108" i="5"/>
  <c r="AA108" i="5" s="1"/>
  <c r="W108" i="5"/>
  <c r="V108" i="5"/>
  <c r="U108" i="5"/>
  <c r="K108" i="5"/>
  <c r="J108" i="5"/>
  <c r="L108" i="5" s="1"/>
  <c r="H108" i="5"/>
  <c r="G108" i="5"/>
  <c r="D108" i="5"/>
  <c r="I108" i="5"/>
  <c r="E108" i="5"/>
  <c r="C108" i="5"/>
  <c r="B108" i="5"/>
  <c r="AB108" i="5"/>
  <c r="Y108" i="5"/>
  <c r="X108" i="5"/>
  <c r="H63" i="5"/>
  <c r="P63" i="5"/>
  <c r="AF63" i="5"/>
  <c r="AG63" i="5" s="1"/>
  <c r="O63" i="5"/>
  <c r="AC63" i="4" s="1"/>
  <c r="AE63" i="4" s="1"/>
  <c r="AF63" i="4" s="1"/>
  <c r="AE63" i="5"/>
  <c r="N63" i="5"/>
  <c r="AD63" i="5"/>
  <c r="M63" i="5"/>
  <c r="AC63" i="5"/>
  <c r="S63" i="5"/>
  <c r="B63" i="5"/>
  <c r="Q63" i="5"/>
  <c r="R63" i="5" s="1"/>
  <c r="K63" i="5"/>
  <c r="L63" i="5" s="1"/>
  <c r="J63" i="5"/>
  <c r="I63" i="5"/>
  <c r="G63" i="5"/>
  <c r="AB63" i="5"/>
  <c r="D63" i="5"/>
  <c r="AA63" i="5"/>
  <c r="C63" i="5"/>
  <c r="Z63" i="5"/>
  <c r="Y63" i="5"/>
  <c r="U63" i="5"/>
  <c r="W63" i="5"/>
  <c r="V63" i="5"/>
  <c r="X63" i="5" s="1"/>
  <c r="T63" i="5"/>
  <c r="E63" i="5"/>
  <c r="K84" i="5"/>
  <c r="Z84" i="5"/>
  <c r="AA84" i="5" s="1"/>
  <c r="J84" i="5"/>
  <c r="L84" i="5" s="1"/>
  <c r="Y84" i="5"/>
  <c r="X84" i="5"/>
  <c r="H84" i="5"/>
  <c r="I84" i="5" s="1"/>
  <c r="W84" i="5"/>
  <c r="G84" i="5"/>
  <c r="AC84" i="5"/>
  <c r="C84" i="5"/>
  <c r="AB84" i="5"/>
  <c r="AD84" i="5" s="1"/>
  <c r="B84" i="5"/>
  <c r="V84" i="5"/>
  <c r="T84" i="5"/>
  <c r="Q84" i="5"/>
  <c r="AF84" i="5"/>
  <c r="AG84" i="5"/>
  <c r="AE84" i="5"/>
  <c r="P84" i="5"/>
  <c r="R84" i="5" s="1"/>
  <c r="N84" i="5"/>
  <c r="M84" i="5"/>
  <c r="D84" i="5"/>
  <c r="F84" i="5" s="1"/>
  <c r="S84" i="5"/>
  <c r="U84" i="5" s="1"/>
  <c r="E84" i="5"/>
  <c r="AD61" i="5"/>
  <c r="N61" i="5"/>
  <c r="R61" i="5"/>
  <c r="Q61" i="5"/>
  <c r="P61" i="5"/>
  <c r="AF61" i="5"/>
  <c r="AE61" i="5"/>
  <c r="AG61" i="5" s="1"/>
  <c r="M61" i="5"/>
  <c r="O61" i="5" s="1"/>
  <c r="AC61" i="4" s="1"/>
  <c r="AE61" i="4" s="1"/>
  <c r="AF61" i="4" s="1"/>
  <c r="D61" i="5"/>
  <c r="F61" i="5" s="1"/>
  <c r="AB61" i="5"/>
  <c r="E61" i="5"/>
  <c r="AA61" i="5"/>
  <c r="C61" i="5"/>
  <c r="Z61" i="5"/>
  <c r="B61" i="5"/>
  <c r="Y61" i="5"/>
  <c r="X61" i="5"/>
  <c r="T61" i="5"/>
  <c r="S61" i="5"/>
  <c r="U61" i="5" s="1"/>
  <c r="K61" i="5"/>
  <c r="H61" i="5"/>
  <c r="W61" i="5"/>
  <c r="V61" i="5"/>
  <c r="J61" i="5"/>
  <c r="AC61" i="5"/>
  <c r="G61" i="5"/>
  <c r="I61" i="5" s="1"/>
  <c r="AC56" i="5"/>
  <c r="M56" i="5"/>
  <c r="O56" i="5" s="1"/>
  <c r="AC56" i="4" s="1"/>
  <c r="AE56" i="4" s="1"/>
  <c r="AF56" i="4" s="1"/>
  <c r="V56" i="5"/>
  <c r="X56" i="5" s="1"/>
  <c r="E56" i="5"/>
  <c r="D56" i="5"/>
  <c r="F56" i="5" s="1"/>
  <c r="T56" i="5"/>
  <c r="C56" i="5"/>
  <c r="S56" i="5"/>
  <c r="U56" i="5" s="1"/>
  <c r="B56" i="5"/>
  <c r="Y56" i="5"/>
  <c r="H56" i="5"/>
  <c r="N56" i="5"/>
  <c r="K56" i="5"/>
  <c r="J56" i="5"/>
  <c r="L56" i="5" s="1"/>
  <c r="AD56" i="5"/>
  <c r="AB56" i="5"/>
  <c r="AA56" i="5"/>
  <c r="Z56" i="5"/>
  <c r="Q56" i="5"/>
  <c r="G56" i="5"/>
  <c r="I56" i="5" s="1"/>
  <c r="AF56" i="5"/>
  <c r="AE56" i="5"/>
  <c r="AG56" i="5" s="1"/>
  <c r="W56" i="5"/>
  <c r="P56" i="5"/>
  <c r="R56" i="5" s="1"/>
  <c r="Y100" i="5"/>
  <c r="H100" i="5"/>
  <c r="W100" i="5"/>
  <c r="G100" i="5"/>
  <c r="I100" i="5" s="1"/>
  <c r="E100" i="5"/>
  <c r="T100" i="5"/>
  <c r="S100" i="5"/>
  <c r="U100" i="5" s="1"/>
  <c r="Q100" i="5"/>
  <c r="P100" i="5"/>
  <c r="R100" i="5" s="1"/>
  <c r="AF100" i="5"/>
  <c r="C100" i="5"/>
  <c r="AE100" i="5"/>
  <c r="AG100" i="5" s="1"/>
  <c r="B100" i="5"/>
  <c r="AC100" i="5"/>
  <c r="AB100" i="5"/>
  <c r="AD100" i="5" s="1"/>
  <c r="Z100" i="5"/>
  <c r="V100" i="5"/>
  <c r="X100" i="5" s="1"/>
  <c r="J100" i="5"/>
  <c r="L100" i="5" s="1"/>
  <c r="N100" i="5"/>
  <c r="M100" i="5"/>
  <c r="O100" i="5" s="1"/>
  <c r="AC100" i="4" s="1"/>
  <c r="AE100" i="4" s="1"/>
  <c r="AF100" i="4" s="1"/>
  <c r="K100" i="5"/>
  <c r="F100" i="5"/>
  <c r="AH100" i="5" s="1"/>
  <c r="D100" i="5"/>
  <c r="AA100" i="5"/>
  <c r="W106" i="5"/>
  <c r="G106" i="5"/>
  <c r="I106" i="5" s="1"/>
  <c r="V106" i="5"/>
  <c r="E106" i="5"/>
  <c r="F106" i="5" s="1"/>
  <c r="S106" i="5"/>
  <c r="C106" i="5"/>
  <c r="Z106" i="5"/>
  <c r="AA106" i="5" s="1"/>
  <c r="B106" i="5"/>
  <c r="Y106" i="5"/>
  <c r="X106" i="5"/>
  <c r="T106" i="5"/>
  <c r="U106" i="5" s="1"/>
  <c r="AF106" i="5"/>
  <c r="Q106" i="5"/>
  <c r="P106" i="5"/>
  <c r="R106" i="5" s="1"/>
  <c r="O106" i="5"/>
  <c r="AC106" i="4" s="1"/>
  <c r="AE106" i="4" s="1"/>
  <c r="AF106" i="4" s="1"/>
  <c r="N106" i="5"/>
  <c r="K106" i="5"/>
  <c r="J106" i="5"/>
  <c r="H106" i="5"/>
  <c r="D106" i="5"/>
  <c r="AG106" i="5"/>
  <c r="AB106" i="5"/>
  <c r="AE106" i="5"/>
  <c r="AC106" i="5"/>
  <c r="M106" i="5"/>
  <c r="H42" i="5"/>
  <c r="W42" i="5"/>
  <c r="G42" i="5"/>
  <c r="I42" i="5" s="1"/>
  <c r="V42" i="5"/>
  <c r="X42" i="5" s="1"/>
  <c r="E42" i="5"/>
  <c r="F42" i="5" s="1"/>
  <c r="T42" i="5"/>
  <c r="D42" i="5"/>
  <c r="K42" i="5"/>
  <c r="L42" i="5" s="1"/>
  <c r="J42" i="5"/>
  <c r="AF42" i="5"/>
  <c r="AE42" i="5"/>
  <c r="AG42" i="5" s="1"/>
  <c r="C42" i="5"/>
  <c r="S42" i="5"/>
  <c r="AC42" i="5"/>
  <c r="AB42" i="5"/>
  <c r="R42" i="5"/>
  <c r="Q42" i="5"/>
  <c r="P42" i="5"/>
  <c r="B42" i="5"/>
  <c r="Z42" i="5"/>
  <c r="Y42" i="5"/>
  <c r="AA42" i="5" s="1"/>
  <c r="N42" i="5"/>
  <c r="M42" i="5"/>
  <c r="O42" i="5" s="1"/>
  <c r="AC42" i="4" s="1"/>
  <c r="AE42" i="4" s="1"/>
  <c r="AF42" i="4" s="1"/>
  <c r="Y25" i="5"/>
  <c r="AA25" i="5" s="1"/>
  <c r="AC25" i="5"/>
  <c r="AD25" i="5" s="1"/>
  <c r="AB25" i="5"/>
  <c r="K25" i="5"/>
  <c r="J25" i="5"/>
  <c r="L25" i="5" s="1"/>
  <c r="Z25" i="5"/>
  <c r="H25" i="5"/>
  <c r="P25" i="5"/>
  <c r="R25" i="5" s="1"/>
  <c r="O25" i="5"/>
  <c r="AC25" i="4" s="1"/>
  <c r="AE25" i="4" s="1"/>
  <c r="AF25" i="4" s="1"/>
  <c r="N25" i="5"/>
  <c r="M25" i="5"/>
  <c r="G25" i="5"/>
  <c r="I25" i="5" s="1"/>
  <c r="D25" i="5"/>
  <c r="C25" i="5"/>
  <c r="W25" i="5"/>
  <c r="B25" i="5"/>
  <c r="V25" i="5"/>
  <c r="X25" i="5" s="1"/>
  <c r="S25" i="5"/>
  <c r="AF25" i="5"/>
  <c r="AE25" i="5"/>
  <c r="AG25" i="5" s="1"/>
  <c r="Q25" i="5"/>
  <c r="E25" i="5"/>
  <c r="U25" i="5"/>
  <c r="T25" i="5"/>
  <c r="W120" i="5"/>
  <c r="G120" i="5"/>
  <c r="V120" i="5"/>
  <c r="E120" i="5"/>
  <c r="Z120" i="5"/>
  <c r="D120" i="5"/>
  <c r="F120" i="5" s="1"/>
  <c r="Y120" i="5"/>
  <c r="AA120" i="5" s="1"/>
  <c r="C120" i="5"/>
  <c r="B120" i="5"/>
  <c r="T120" i="5"/>
  <c r="S120" i="5"/>
  <c r="U120" i="5" s="1"/>
  <c r="AF120" i="5"/>
  <c r="H120" i="5"/>
  <c r="I120" i="5" s="1"/>
  <c r="AE120" i="5"/>
  <c r="AD120" i="5"/>
  <c r="AC120" i="5"/>
  <c r="AB120" i="5"/>
  <c r="N120" i="5"/>
  <c r="M120" i="5"/>
  <c r="K120" i="5"/>
  <c r="O120" i="5"/>
  <c r="AC120" i="4" s="1"/>
  <c r="AE120" i="4" s="1"/>
  <c r="AF120" i="4" s="1"/>
  <c r="L120" i="5"/>
  <c r="J120" i="5"/>
  <c r="Q120" i="5"/>
  <c r="P120" i="5"/>
  <c r="R120" i="5" s="1"/>
  <c r="AG120" i="5"/>
  <c r="Z94" i="5"/>
  <c r="J94" i="5"/>
  <c r="Y94" i="5"/>
  <c r="W94" i="5"/>
  <c r="G94" i="5"/>
  <c r="I94" i="5" s="1"/>
  <c r="U94" i="5"/>
  <c r="B94" i="5"/>
  <c r="T94" i="5"/>
  <c r="S94" i="5"/>
  <c r="Q94" i="5"/>
  <c r="C94" i="5"/>
  <c r="AC94" i="5"/>
  <c r="AB94" i="5"/>
  <c r="AD94" i="5" s="1"/>
  <c r="AA94" i="5"/>
  <c r="P94" i="5"/>
  <c r="AG94" i="5"/>
  <c r="AF94" i="5"/>
  <c r="N94" i="5"/>
  <c r="O94" i="5" s="1"/>
  <c r="AC94" i="4" s="1"/>
  <c r="AE94" i="4" s="1"/>
  <c r="AF94" i="4" s="1"/>
  <c r="M94" i="5"/>
  <c r="L94" i="5"/>
  <c r="K94" i="5"/>
  <c r="D94" i="5"/>
  <c r="F94" i="5" s="1"/>
  <c r="AE94" i="5"/>
  <c r="V94" i="5"/>
  <c r="X94" i="5" s="1"/>
  <c r="H94" i="5"/>
  <c r="E94" i="5"/>
  <c r="Y47" i="5"/>
  <c r="H47" i="5"/>
  <c r="W47" i="5"/>
  <c r="X47" i="5" s="1"/>
  <c r="G47" i="5"/>
  <c r="I47" i="5" s="1"/>
  <c r="V47" i="5"/>
  <c r="E47" i="5"/>
  <c r="AB47" i="5"/>
  <c r="AD47" i="5" s="1"/>
  <c r="L47" i="5"/>
  <c r="N47" i="5"/>
  <c r="M47" i="5"/>
  <c r="O47" i="5" s="1"/>
  <c r="AC47" i="4" s="1"/>
  <c r="AE47" i="4" s="1"/>
  <c r="AF47" i="4" s="1"/>
  <c r="K47" i="5"/>
  <c r="J47" i="5"/>
  <c r="AC47" i="5"/>
  <c r="AA47" i="5"/>
  <c r="S47" i="5"/>
  <c r="R47" i="5"/>
  <c r="Q47" i="5"/>
  <c r="P47" i="5"/>
  <c r="D47" i="5"/>
  <c r="F47" i="5" s="1"/>
  <c r="Z47" i="5"/>
  <c r="T47" i="5"/>
  <c r="U47" i="5" s="1"/>
  <c r="C47" i="5"/>
  <c r="B47" i="5"/>
  <c r="AF47" i="5"/>
  <c r="AG47" i="5" s="1"/>
  <c r="AE47" i="5"/>
  <c r="AD109" i="5"/>
  <c r="N109" i="5"/>
  <c r="AC109" i="5"/>
  <c r="M109" i="5"/>
  <c r="O109" i="5" s="1"/>
  <c r="AC109" i="4" s="1"/>
  <c r="AE109" i="4" s="1"/>
  <c r="AF109" i="4" s="1"/>
  <c r="AB109" i="5"/>
  <c r="L109" i="5"/>
  <c r="Z109" i="5"/>
  <c r="J109" i="5"/>
  <c r="Y109" i="5"/>
  <c r="AA109" i="5" s="1"/>
  <c r="E109" i="5"/>
  <c r="D109" i="5"/>
  <c r="F109" i="5" s="1"/>
  <c r="W109" i="5"/>
  <c r="C109" i="5"/>
  <c r="V109" i="5"/>
  <c r="X109" i="5" s="1"/>
  <c r="B109" i="5"/>
  <c r="AF109" i="5"/>
  <c r="H109" i="5"/>
  <c r="T109" i="5"/>
  <c r="S109" i="5"/>
  <c r="U109" i="5" s="1"/>
  <c r="Q109" i="5"/>
  <c r="P109" i="5"/>
  <c r="R109" i="5" s="1"/>
  <c r="G109" i="5"/>
  <c r="I109" i="5" s="1"/>
  <c r="AG109" i="5"/>
  <c r="AE109" i="5"/>
  <c r="K109" i="5"/>
  <c r="AH47" i="5" l="1"/>
  <c r="AI47" i="5"/>
  <c r="AI100" i="5"/>
  <c r="AI94" i="5"/>
  <c r="AH94" i="5"/>
  <c r="AI109" i="5"/>
  <c r="AH109" i="5"/>
  <c r="AH78" i="5"/>
  <c r="AH120" i="5"/>
  <c r="AI120" i="5"/>
  <c r="AH16" i="5"/>
  <c r="AI79" i="5"/>
  <c r="L121" i="5"/>
  <c r="AI121" i="5" s="1"/>
  <c r="AD98" i="5"/>
  <c r="AI65" i="5"/>
  <c r="AH65" i="5"/>
  <c r="AI41" i="5"/>
  <c r="AH41" i="5"/>
  <c r="AC5" i="4"/>
  <c r="AI75" i="5"/>
  <c r="AH75" i="5"/>
  <c r="AH8" i="5"/>
  <c r="AI8" i="5"/>
  <c r="AI11" i="5"/>
  <c r="AI14" i="5"/>
  <c r="AH14" i="5"/>
  <c r="R98" i="5"/>
  <c r="AH98" i="5" s="1"/>
  <c r="X64" i="5"/>
  <c r="AI91" i="5"/>
  <c r="AI86" i="5"/>
  <c r="AH86" i="5"/>
  <c r="AI116" i="5"/>
  <c r="AH116" i="5"/>
  <c r="AI56" i="5"/>
  <c r="L106" i="5"/>
  <c r="AI106" i="5" s="1"/>
  <c r="AI62" i="5"/>
  <c r="AI57" i="5"/>
  <c r="AH57" i="5"/>
  <c r="F82" i="5"/>
  <c r="AH99" i="5"/>
  <c r="AH27" i="5"/>
  <c r="AI27" i="5"/>
  <c r="AH97" i="5"/>
  <c r="AI97" i="5"/>
  <c r="AI73" i="5"/>
  <c r="AH73" i="5"/>
  <c r="AI58" i="5"/>
  <c r="AH58" i="5"/>
  <c r="AI66" i="5"/>
  <c r="AH66" i="5"/>
  <c r="AI52" i="5"/>
  <c r="AH52" i="5"/>
  <c r="AH103" i="5"/>
  <c r="AI103" i="5"/>
  <c r="AI117" i="5"/>
  <c r="AH117" i="5"/>
  <c r="AD42" i="5"/>
  <c r="AH56" i="5"/>
  <c r="O84" i="5"/>
  <c r="AC84" i="4" s="1"/>
  <c r="AE84" i="4" s="1"/>
  <c r="AF84" i="4" s="1"/>
  <c r="AH85" i="5"/>
  <c r="L83" i="5"/>
  <c r="AH83" i="5" s="1"/>
  <c r="AI19" i="5"/>
  <c r="AH19" i="5"/>
  <c r="AI74" i="5"/>
  <c r="AH74" i="5"/>
  <c r="AI72" i="5"/>
  <c r="AH72" i="5"/>
  <c r="AH70" i="5"/>
  <c r="AI70" i="5"/>
  <c r="F108" i="5"/>
  <c r="AI35" i="5"/>
  <c r="AH35" i="5"/>
  <c r="F10" i="5"/>
  <c r="AD82" i="5"/>
  <c r="AA67" i="5"/>
  <c r="AI67" i="5" s="1"/>
  <c r="AH81" i="5"/>
  <c r="AI46" i="5"/>
  <c r="AH46" i="5"/>
  <c r="AH32" i="5"/>
  <c r="AI32" i="5"/>
  <c r="AH77" i="5"/>
  <c r="AI77" i="5"/>
  <c r="AI55" i="5"/>
  <c r="AH55" i="5"/>
  <c r="AI49" i="5"/>
  <c r="AH49" i="5"/>
  <c r="AI110" i="5"/>
  <c r="AH11" i="5"/>
  <c r="AH30" i="5"/>
  <c r="AI30" i="5"/>
  <c r="AI95" i="5"/>
  <c r="AH95" i="5"/>
  <c r="AD85" i="5"/>
  <c r="AI85" i="5" s="1"/>
  <c r="U16" i="5"/>
  <c r="C10" i="11" s="1"/>
  <c r="E10" i="11" s="1"/>
  <c r="G10" i="11" s="1"/>
  <c r="AI105" i="5"/>
  <c r="AH105" i="5"/>
  <c r="AI59" i="5"/>
  <c r="AH59" i="5"/>
  <c r="AI118" i="5"/>
  <c r="AH118" i="5"/>
  <c r="AI115" i="5"/>
  <c r="AH115" i="5"/>
  <c r="AI96" i="5"/>
  <c r="AI50" i="5"/>
  <c r="AH50" i="5"/>
  <c r="AI26" i="5"/>
  <c r="U42" i="5"/>
  <c r="AH42" i="5" s="1"/>
  <c r="L61" i="5"/>
  <c r="AI61" i="5" s="1"/>
  <c r="I98" i="5"/>
  <c r="AI98" i="5" s="1"/>
  <c r="F15" i="5"/>
  <c r="R62" i="5"/>
  <c r="C9" i="11" s="1"/>
  <c r="E9" i="11" s="1"/>
  <c r="G9" i="11" s="1"/>
  <c r="X13" i="5"/>
  <c r="E31" i="2" s="1"/>
  <c r="AI69" i="5"/>
  <c r="AH69" i="5"/>
  <c r="AI123" i="5"/>
  <c r="AH123" i="5"/>
  <c r="AI21" i="5"/>
  <c r="AH21" i="5"/>
  <c r="AI34" i="5"/>
  <c r="AH34" i="5"/>
  <c r="F25" i="5"/>
  <c r="F63" i="5"/>
  <c r="I64" i="5"/>
  <c r="AI64" i="5" s="1"/>
  <c r="F92" i="5"/>
  <c r="X83" i="5"/>
  <c r="AH51" i="5"/>
  <c r="AI51" i="5"/>
  <c r="AI122" i="5"/>
  <c r="AH122" i="5"/>
  <c r="AI12" i="5"/>
  <c r="AH12" i="5"/>
  <c r="AI80" i="5"/>
  <c r="AH80" i="5"/>
  <c r="R8" i="9"/>
  <c r="H76" i="2" s="1"/>
  <c r="G76" i="2"/>
  <c r="AH90" i="5"/>
  <c r="AI90" i="5"/>
  <c r="AI53" i="5"/>
  <c r="AH53" i="5"/>
  <c r="AH28" i="5"/>
  <c r="R89" i="5"/>
  <c r="AH89" i="5" s="1"/>
  <c r="AI71" i="5"/>
  <c r="AH71" i="5"/>
  <c r="C7" i="11"/>
  <c r="E7" i="11" s="1"/>
  <c r="G7" i="11" s="1"/>
  <c r="AH37" i="5"/>
  <c r="AI37" i="5"/>
  <c r="AH114" i="5"/>
  <c r="AI114" i="5"/>
  <c r="AI20" i="5"/>
  <c r="AH20" i="5"/>
  <c r="AH79" i="5"/>
  <c r="X98" i="5"/>
  <c r="AI78" i="5"/>
  <c r="AI60" i="5"/>
  <c r="AI113" i="5"/>
  <c r="AH113" i="5"/>
  <c r="AI7" i="5"/>
  <c r="AH7" i="5"/>
  <c r="AI68" i="5"/>
  <c r="AH68" i="5"/>
  <c r="X120" i="5"/>
  <c r="R94" i="5"/>
  <c r="R107" i="5"/>
  <c r="AI107" i="5" s="1"/>
  <c r="AI83" i="5"/>
  <c r="AH44" i="5"/>
  <c r="AI44" i="5"/>
  <c r="AH54" i="5"/>
  <c r="AI88" i="5"/>
  <c r="AH88" i="5"/>
  <c r="AI29" i="5"/>
  <c r="AH29" i="5"/>
  <c r="AH26" i="5"/>
  <c r="AD106" i="5"/>
  <c r="AI40" i="5"/>
  <c r="AH60" i="5"/>
  <c r="AI38" i="5"/>
  <c r="AH38" i="5"/>
  <c r="C14" i="11"/>
  <c r="E14" i="11" s="1"/>
  <c r="G14" i="11" s="1"/>
  <c r="E34" i="2"/>
  <c r="AH112" i="5"/>
  <c r="AI112" i="5"/>
  <c r="AH111" i="5"/>
  <c r="AI111" i="5"/>
  <c r="AD9" i="5"/>
  <c r="AI9" i="5" s="1"/>
  <c r="AI45" i="5"/>
  <c r="AI16" i="5"/>
  <c r="AI43" i="5"/>
  <c r="AH43" i="5"/>
  <c r="AI93" i="5"/>
  <c r="AH93" i="5"/>
  <c r="AH36" i="5"/>
  <c r="AI36" i="5"/>
  <c r="AI17" i="5"/>
  <c r="AH17" i="5"/>
  <c r="AI18" i="5"/>
  <c r="AH18" i="5"/>
  <c r="AH33" i="5"/>
  <c r="AH124" i="5"/>
  <c r="AI124" i="5"/>
  <c r="AH104" i="5"/>
  <c r="AI104" i="5"/>
  <c r="AH39" i="5"/>
  <c r="AI23" i="5"/>
  <c r="AH23" i="5"/>
  <c r="AH101" i="5"/>
  <c r="AI101" i="5"/>
  <c r="L28" i="5"/>
  <c r="E27" i="2" s="1"/>
  <c r="AA28" i="5"/>
  <c r="AI28" i="5" s="1"/>
  <c r="AI24" i="5"/>
  <c r="AI48" i="5"/>
  <c r="AH48" i="5"/>
  <c r="AH22" i="5"/>
  <c r="AI22" i="5"/>
  <c r="AI31" i="5"/>
  <c r="AH31" i="5"/>
  <c r="D32" i="2"/>
  <c r="AI54" i="5"/>
  <c r="R6" i="9"/>
  <c r="H74" i="2" s="1"/>
  <c r="G74" i="2"/>
  <c r="AI81" i="5"/>
  <c r="AH76" i="5"/>
  <c r="AI102" i="5"/>
  <c r="C15" i="11"/>
  <c r="E15" i="11" s="1"/>
  <c r="G15" i="11" s="1"/>
  <c r="D31" i="2"/>
  <c r="AA5" i="5"/>
  <c r="C16" i="11"/>
  <c r="E16" i="11" s="1"/>
  <c r="G16" i="11" s="1"/>
  <c r="AH87" i="5"/>
  <c r="D26" i="2"/>
  <c r="R5" i="9"/>
  <c r="H73" i="2" s="1"/>
  <c r="G73" i="2"/>
  <c r="D33" i="2"/>
  <c r="N5" i="9"/>
  <c r="D73" i="2" s="1"/>
  <c r="C73" i="2"/>
  <c r="AI39" i="5"/>
  <c r="P7" i="9"/>
  <c r="F75" i="2" s="1"/>
  <c r="E75" i="2"/>
  <c r="D34" i="2"/>
  <c r="P5" i="9"/>
  <c r="F73" i="2" s="1"/>
  <c r="E73" i="2"/>
  <c r="AH96" i="5"/>
  <c r="D27" i="2"/>
  <c r="N7" i="9"/>
  <c r="D75" i="2" s="1"/>
  <c r="C75" i="2"/>
  <c r="R7" i="9"/>
  <c r="H75" i="2" s="1"/>
  <c r="G75" i="2"/>
  <c r="AH91" i="5"/>
  <c r="P8" i="9"/>
  <c r="F76" i="2" s="1"/>
  <c r="E76" i="2"/>
  <c r="D29" i="2"/>
  <c r="D30" i="2"/>
  <c r="N6" i="9"/>
  <c r="D74" i="2" s="1"/>
  <c r="C74" i="2"/>
  <c r="N8" i="9"/>
  <c r="D76" i="2" s="1"/>
  <c r="C76" i="2"/>
  <c r="I5" i="5"/>
  <c r="AH5" i="5" s="1"/>
  <c r="D25" i="2"/>
  <c r="D28" i="2"/>
  <c r="P6" i="9"/>
  <c r="F74" i="2" s="1"/>
  <c r="E74" i="2"/>
  <c r="AI15" i="5" l="1"/>
  <c r="AH15" i="5"/>
  <c r="AI13" i="5"/>
  <c r="AH62" i="5"/>
  <c r="AI92" i="5"/>
  <c r="AH92" i="5"/>
  <c r="AH13" i="5"/>
  <c r="AH64" i="5"/>
  <c r="C11" i="11"/>
  <c r="E11" i="11" s="1"/>
  <c r="G11" i="11" s="1"/>
  <c r="F26" i="2"/>
  <c r="G26" i="2"/>
  <c r="AH121" i="5"/>
  <c r="AH108" i="5"/>
  <c r="AI108" i="5"/>
  <c r="E42" i="2" s="1"/>
  <c r="F42" i="2" s="1"/>
  <c r="AH63" i="5"/>
  <c r="AI63" i="5"/>
  <c r="AI42" i="5"/>
  <c r="E40" i="2" s="1"/>
  <c r="F40" i="2" s="1"/>
  <c r="AH84" i="5"/>
  <c r="F27" i="2"/>
  <c r="G27" i="2" s="1"/>
  <c r="C12" i="11"/>
  <c r="E12" i="11" s="1"/>
  <c r="G12" i="11" s="1"/>
  <c r="E32" i="2"/>
  <c r="F32" i="2" s="1"/>
  <c r="G32" i="2" s="1"/>
  <c r="AH25" i="5"/>
  <c r="AI25" i="5"/>
  <c r="E33" i="2"/>
  <c r="F33" i="2" s="1"/>
  <c r="G33" i="2" s="1"/>
  <c r="AH9" i="5"/>
  <c r="C9" i="2" s="1"/>
  <c r="C10" i="2" s="1"/>
  <c r="C13" i="11"/>
  <c r="E13" i="11" s="1"/>
  <c r="G13" i="11" s="1"/>
  <c r="E29" i="2"/>
  <c r="C49" i="2"/>
  <c r="AE5" i="4"/>
  <c r="AF5" i="4" s="1"/>
  <c r="AI84" i="5"/>
  <c r="AH107" i="5"/>
  <c r="C6" i="11"/>
  <c r="E6" i="11" s="1"/>
  <c r="G6" i="11" s="1"/>
  <c r="E26" i="2"/>
  <c r="AI5" i="5"/>
  <c r="E28" i="2"/>
  <c r="F28" i="2" s="1"/>
  <c r="G28" i="2" s="1"/>
  <c r="AH106" i="5"/>
  <c r="F25" i="2"/>
  <c r="G25" i="2" s="1"/>
  <c r="F29" i="2"/>
  <c r="G29" i="2" s="1"/>
  <c r="C8" i="11"/>
  <c r="E8" i="11" s="1"/>
  <c r="G8" i="11" s="1"/>
  <c r="AH61" i="5"/>
  <c r="AI10" i="5"/>
  <c r="AH10" i="5"/>
  <c r="AI89" i="5"/>
  <c r="AH67" i="5"/>
  <c r="F31" i="2"/>
  <c r="G31" i="2" s="1"/>
  <c r="E25" i="2"/>
  <c r="F34" i="2"/>
  <c r="G34" i="2"/>
  <c r="E30" i="2"/>
  <c r="F30" i="2" s="1"/>
  <c r="G30" i="2" s="1"/>
  <c r="C5" i="11"/>
  <c r="E5" i="11" s="1"/>
  <c r="G5" i="11" s="1"/>
  <c r="AH82" i="5"/>
  <c r="AI82" i="5"/>
  <c r="E41" i="2" s="1"/>
  <c r="F41" i="2" s="1"/>
  <c r="C11" i="2" l="1"/>
  <c r="E39" i="2"/>
  <c r="F39" i="2" s="1"/>
  <c r="G1" i="3"/>
  <c r="C13" i="2"/>
  <c r="G17" i="11"/>
  <c r="C20" i="2" s="1"/>
  <c r="A147" i="3" l="1"/>
  <c r="A139" i="3"/>
  <c r="A131" i="3"/>
  <c r="A123" i="3"/>
  <c r="A115" i="3"/>
  <c r="A107" i="3"/>
  <c r="A99" i="3"/>
  <c r="A148" i="3"/>
  <c r="A140" i="3"/>
  <c r="A132" i="3"/>
  <c r="A124" i="3"/>
  <c r="A98" i="3"/>
  <c r="A141" i="3"/>
  <c r="A135" i="3"/>
  <c r="A129" i="3"/>
  <c r="A120" i="3"/>
  <c r="A104" i="3"/>
  <c r="A92" i="3"/>
  <c r="A84" i="3"/>
  <c r="A76" i="3"/>
  <c r="A68" i="3"/>
  <c r="A60" i="3"/>
  <c r="A52" i="3"/>
  <c r="A44" i="3"/>
  <c r="A36" i="3"/>
  <c r="A28" i="3"/>
  <c r="A20" i="3"/>
  <c r="A110" i="3"/>
  <c r="A150" i="3"/>
  <c r="A144" i="3"/>
  <c r="A138" i="3"/>
  <c r="A116" i="3"/>
  <c r="A93" i="3"/>
  <c r="A85" i="3"/>
  <c r="A77" i="3"/>
  <c r="A69" i="3"/>
  <c r="A61" i="3"/>
  <c r="A53" i="3"/>
  <c r="A45" i="3"/>
  <c r="A37" i="3"/>
  <c r="A29" i="3"/>
  <c r="A21" i="3"/>
  <c r="A105" i="3"/>
  <c r="A153" i="3"/>
  <c r="A133" i="3"/>
  <c r="A127" i="3"/>
  <c r="A111" i="3"/>
  <c r="A100" i="3"/>
  <c r="A94" i="3"/>
  <c r="A86" i="3"/>
  <c r="A78" i="3"/>
  <c r="A70" i="3"/>
  <c r="A62" i="3"/>
  <c r="A54" i="3"/>
  <c r="A112" i="3"/>
  <c r="A101" i="3"/>
  <c r="A151" i="3"/>
  <c r="A145" i="3"/>
  <c r="A125" i="3"/>
  <c r="A118" i="3"/>
  <c r="A88" i="3"/>
  <c r="A80" i="3"/>
  <c r="A72" i="3"/>
  <c r="A64" i="3"/>
  <c r="A56" i="3"/>
  <c r="A48" i="3"/>
  <c r="A40" i="3"/>
  <c r="A32" i="3"/>
  <c r="A24" i="3"/>
  <c r="A96" i="3"/>
  <c r="A154" i="3"/>
  <c r="A149" i="3"/>
  <c r="A143" i="3"/>
  <c r="A137" i="3"/>
  <c r="A119" i="3"/>
  <c r="A97" i="3"/>
  <c r="A90" i="3"/>
  <c r="A82" i="3"/>
  <c r="A74" i="3"/>
  <c r="A66" i="3"/>
  <c r="A58" i="3"/>
  <c r="A50" i="3"/>
  <c r="A152" i="3"/>
  <c r="A79" i="3"/>
  <c r="A67" i="3"/>
  <c r="A27" i="3"/>
  <c r="A25" i="3"/>
  <c r="A128" i="3"/>
  <c r="A91" i="3"/>
  <c r="A34" i="3"/>
  <c r="A23" i="3"/>
  <c r="A14" i="3"/>
  <c r="A9" i="3"/>
  <c r="A83" i="3"/>
  <c r="A55" i="3"/>
  <c r="A18" i="3"/>
  <c r="A146" i="3"/>
  <c r="A136" i="3"/>
  <c r="A113" i="3"/>
  <c r="A57" i="3"/>
  <c r="A49" i="3"/>
  <c r="A12" i="3"/>
  <c r="A95" i="3"/>
  <c r="A114" i="3"/>
  <c r="A16" i="3"/>
  <c r="A8" i="3"/>
  <c r="A63" i="3"/>
  <c r="A47" i="3"/>
  <c r="A43" i="3"/>
  <c r="A41" i="3"/>
  <c r="A30" i="3"/>
  <c r="A42" i="3"/>
  <c r="A103" i="3"/>
  <c r="A81" i="3"/>
  <c r="A10" i="3"/>
  <c r="A106" i="3"/>
  <c r="A87" i="3"/>
  <c r="A75" i="3"/>
  <c r="A51" i="3"/>
  <c r="A39" i="3"/>
  <c r="A19" i="3"/>
  <c r="A17" i="3"/>
  <c r="A5" i="3"/>
  <c r="A109" i="3"/>
  <c r="A26" i="3"/>
  <c r="A11" i="3"/>
  <c r="A142" i="3"/>
  <c r="A134" i="3"/>
  <c r="A122" i="3"/>
  <c r="A102" i="3"/>
  <c r="A65" i="3"/>
  <c r="A15" i="3"/>
  <c r="A6" i="3"/>
  <c r="A108" i="3"/>
  <c r="A117" i="3"/>
  <c r="A73" i="3"/>
  <c r="A130" i="3"/>
  <c r="A126" i="3"/>
  <c r="A71" i="3"/>
  <c r="A59" i="3"/>
  <c r="A35" i="3"/>
  <c r="A33" i="3"/>
  <c r="A22" i="3"/>
  <c r="A89" i="3"/>
  <c r="A46" i="3"/>
  <c r="A31" i="3"/>
  <c r="A7" i="3"/>
  <c r="A38" i="3"/>
  <c r="A121" i="3"/>
  <c r="A13" i="3"/>
  <c r="K144" i="3" l="1"/>
  <c r="J144" i="3"/>
  <c r="I144" i="3"/>
  <c r="H144" i="3"/>
  <c r="D144" i="3"/>
  <c r="C144" i="3"/>
  <c r="B144" i="3"/>
  <c r="N144" i="3"/>
  <c r="M144" i="3"/>
  <c r="G144" i="3"/>
  <c r="L144" i="3"/>
  <c r="F144" i="3"/>
  <c r="E144" i="3"/>
  <c r="M35" i="3"/>
  <c r="N35" i="3" s="1"/>
  <c r="J64" i="3"/>
  <c r="I64" i="3"/>
  <c r="H64" i="3"/>
  <c r="G64" i="3"/>
  <c r="F64" i="3"/>
  <c r="E64" i="3"/>
  <c r="B64" i="3"/>
  <c r="M64" i="3"/>
  <c r="K64" i="3"/>
  <c r="N64" i="3"/>
  <c r="L64" i="3"/>
  <c r="C64" i="3"/>
  <c r="D64" i="3"/>
  <c r="I111" i="3"/>
  <c r="F111" i="3"/>
  <c r="E111" i="3"/>
  <c r="D111" i="3"/>
  <c r="C111" i="3"/>
  <c r="B111" i="3"/>
  <c r="N111" i="3"/>
  <c r="M111" i="3"/>
  <c r="J111" i="3"/>
  <c r="G111" i="3"/>
  <c r="L111" i="3"/>
  <c r="K111" i="3"/>
  <c r="H111" i="3"/>
  <c r="M11" i="3"/>
  <c r="N11" i="3" s="1"/>
  <c r="N90" i="3"/>
  <c r="M90" i="3"/>
  <c r="L90" i="3"/>
  <c r="K90" i="3"/>
  <c r="J90" i="3"/>
  <c r="I90" i="3"/>
  <c r="F90" i="3"/>
  <c r="E90" i="3"/>
  <c r="D90" i="3"/>
  <c r="H90" i="3"/>
  <c r="G90" i="3"/>
  <c r="C90" i="3"/>
  <c r="B90" i="3"/>
  <c r="C140" i="3"/>
  <c r="B140" i="3"/>
  <c r="N140" i="3"/>
  <c r="M140" i="3"/>
  <c r="L140" i="3"/>
  <c r="K140" i="3"/>
  <c r="H140" i="3"/>
  <c r="G140" i="3"/>
  <c r="F140" i="3"/>
  <c r="E140" i="3"/>
  <c r="J140" i="3"/>
  <c r="I140" i="3"/>
  <c r="D140" i="3"/>
  <c r="N42" i="3"/>
  <c r="M42" i="3"/>
  <c r="L42" i="3"/>
  <c r="K42" i="3"/>
  <c r="F42" i="3"/>
  <c r="E42" i="3"/>
  <c r="J42" i="3"/>
  <c r="I42" i="3"/>
  <c r="H42" i="3"/>
  <c r="G42" i="3"/>
  <c r="D42" i="3"/>
  <c r="C42" i="3"/>
  <c r="B42" i="3"/>
  <c r="J72" i="3"/>
  <c r="I72" i="3"/>
  <c r="H72" i="3"/>
  <c r="G72" i="3"/>
  <c r="F72" i="3"/>
  <c r="E72" i="3"/>
  <c r="B72" i="3"/>
  <c r="M72" i="3"/>
  <c r="N72" i="3"/>
  <c r="L72" i="3"/>
  <c r="K72" i="3"/>
  <c r="D72" i="3"/>
  <c r="C72" i="3"/>
  <c r="M41" i="3"/>
  <c r="N41" i="3" s="1"/>
  <c r="J88" i="3"/>
  <c r="I88" i="3"/>
  <c r="H88" i="3"/>
  <c r="G88" i="3"/>
  <c r="F88" i="3"/>
  <c r="E88" i="3"/>
  <c r="B88" i="3"/>
  <c r="M88" i="3"/>
  <c r="C88" i="3"/>
  <c r="N88" i="3"/>
  <c r="D88" i="3"/>
  <c r="K88" i="3"/>
  <c r="L88" i="3"/>
  <c r="M97" i="3"/>
  <c r="N97" i="3"/>
  <c r="L97" i="3"/>
  <c r="K97" i="3"/>
  <c r="J97" i="3"/>
  <c r="I97" i="3"/>
  <c r="F97" i="3"/>
  <c r="E97" i="3"/>
  <c r="D97" i="3"/>
  <c r="G97" i="3"/>
  <c r="C97" i="3"/>
  <c r="B97" i="3"/>
  <c r="H97" i="3"/>
  <c r="M23" i="3"/>
  <c r="N23" i="3" s="1"/>
  <c r="M17" i="3"/>
  <c r="N17" i="3" s="1"/>
  <c r="C148" i="3"/>
  <c r="B148" i="3"/>
  <c r="L148" i="3"/>
  <c r="K148" i="3"/>
  <c r="J148" i="3"/>
  <c r="I148" i="3"/>
  <c r="H148" i="3"/>
  <c r="G148" i="3"/>
  <c r="D148" i="3"/>
  <c r="N148" i="3"/>
  <c r="M148" i="3"/>
  <c r="E148" i="3"/>
  <c r="F148" i="3"/>
  <c r="L89" i="3"/>
  <c r="K89" i="3"/>
  <c r="J89" i="3"/>
  <c r="I89" i="3"/>
  <c r="H89" i="3"/>
  <c r="G89" i="3"/>
  <c r="D89" i="3"/>
  <c r="C89" i="3"/>
  <c r="B89" i="3"/>
  <c r="N89" i="3"/>
  <c r="M89" i="3"/>
  <c r="F89" i="3"/>
  <c r="E89" i="3"/>
  <c r="N74" i="3"/>
  <c r="M74" i="3"/>
  <c r="L74" i="3"/>
  <c r="K74" i="3"/>
  <c r="J74" i="3"/>
  <c r="I74" i="3"/>
  <c r="F74" i="3"/>
  <c r="E74" i="3"/>
  <c r="D74" i="3"/>
  <c r="H74" i="3"/>
  <c r="G74" i="3"/>
  <c r="C74" i="3"/>
  <c r="B74" i="3"/>
  <c r="M33" i="3"/>
  <c r="N33" i="3" s="1"/>
  <c r="N43" i="3"/>
  <c r="M43" i="3"/>
  <c r="H43" i="3"/>
  <c r="G43" i="3"/>
  <c r="F43" i="3"/>
  <c r="E43" i="3"/>
  <c r="D43" i="3"/>
  <c r="C43" i="3"/>
  <c r="J43" i="3"/>
  <c r="B43" i="3"/>
  <c r="L43" i="3"/>
  <c r="I43" i="3"/>
  <c r="K43" i="3"/>
  <c r="N59" i="3"/>
  <c r="M59" i="3"/>
  <c r="L59" i="3"/>
  <c r="K59" i="3"/>
  <c r="H59" i="3"/>
  <c r="G59" i="3"/>
  <c r="F59" i="3"/>
  <c r="C59" i="3"/>
  <c r="J59" i="3"/>
  <c r="I59" i="3"/>
  <c r="E59" i="3"/>
  <c r="D59" i="3"/>
  <c r="B59" i="3"/>
  <c r="G118" i="3"/>
  <c r="E118" i="3"/>
  <c r="L118" i="3"/>
  <c r="K118" i="3"/>
  <c r="J118" i="3"/>
  <c r="I118" i="3"/>
  <c r="H118" i="3"/>
  <c r="F118" i="3"/>
  <c r="B118" i="3"/>
  <c r="N118" i="3"/>
  <c r="M118" i="3"/>
  <c r="D118" i="3"/>
  <c r="C118" i="3"/>
  <c r="M105" i="3"/>
  <c r="E105" i="3"/>
  <c r="D105" i="3"/>
  <c r="C105" i="3"/>
  <c r="B105" i="3"/>
  <c r="N105" i="3"/>
  <c r="L105" i="3"/>
  <c r="K105" i="3"/>
  <c r="H105" i="3"/>
  <c r="J105" i="3"/>
  <c r="I105" i="3"/>
  <c r="G105" i="3"/>
  <c r="F105" i="3"/>
  <c r="M21" i="3"/>
  <c r="N21" i="3" s="1"/>
  <c r="M29" i="3"/>
  <c r="N29" i="3" s="1"/>
  <c r="K128" i="3"/>
  <c r="J128" i="3"/>
  <c r="I128" i="3"/>
  <c r="H128" i="3"/>
  <c r="N128" i="3"/>
  <c r="M128" i="3"/>
  <c r="L128" i="3"/>
  <c r="G128" i="3"/>
  <c r="D128" i="3"/>
  <c r="C128" i="3"/>
  <c r="B128" i="3"/>
  <c r="E128" i="3"/>
  <c r="F128" i="3"/>
  <c r="K112" i="3"/>
  <c r="I112" i="3"/>
  <c r="H112" i="3"/>
  <c r="G112" i="3"/>
  <c r="F112" i="3"/>
  <c r="E112" i="3"/>
  <c r="D112" i="3"/>
  <c r="M112" i="3"/>
  <c r="N112" i="3"/>
  <c r="L112" i="3"/>
  <c r="J112" i="3"/>
  <c r="C112" i="3"/>
  <c r="B112" i="3"/>
  <c r="D45" i="3"/>
  <c r="C45" i="3"/>
  <c r="B45" i="3"/>
  <c r="L45" i="3"/>
  <c r="K45" i="3"/>
  <c r="J45" i="3"/>
  <c r="G45" i="3"/>
  <c r="F45" i="3"/>
  <c r="E45" i="3"/>
  <c r="I45" i="3"/>
  <c r="N45" i="3"/>
  <c r="M45" i="3"/>
  <c r="H45" i="3"/>
  <c r="B52" i="3"/>
  <c r="N52" i="3"/>
  <c r="M52" i="3"/>
  <c r="J52" i="3"/>
  <c r="I52" i="3"/>
  <c r="H52" i="3"/>
  <c r="E52" i="3"/>
  <c r="C52" i="3"/>
  <c r="G52" i="3"/>
  <c r="L52" i="3"/>
  <c r="K52" i="3"/>
  <c r="F52" i="3"/>
  <c r="D52" i="3"/>
  <c r="D99" i="3"/>
  <c r="C99" i="3"/>
  <c r="B99" i="3"/>
  <c r="L99" i="3"/>
  <c r="K99" i="3"/>
  <c r="J99" i="3"/>
  <c r="G99" i="3"/>
  <c r="N99" i="3"/>
  <c r="M99" i="3"/>
  <c r="I99" i="3"/>
  <c r="H99" i="3"/>
  <c r="F99" i="3"/>
  <c r="E99" i="3"/>
  <c r="N18" i="3"/>
  <c r="J18" i="3" s="1"/>
  <c r="M18" i="3"/>
  <c r="M129" i="3"/>
  <c r="L129" i="3"/>
  <c r="K129" i="3"/>
  <c r="J129" i="3"/>
  <c r="B129" i="3"/>
  <c r="N129" i="3"/>
  <c r="I129" i="3"/>
  <c r="H129" i="3"/>
  <c r="E129" i="3"/>
  <c r="F129" i="3"/>
  <c r="G129" i="3"/>
  <c r="C129" i="3"/>
  <c r="D129" i="3"/>
  <c r="G150" i="3"/>
  <c r="F150" i="3"/>
  <c r="E150" i="3"/>
  <c r="D150" i="3"/>
  <c r="H150" i="3"/>
  <c r="C150" i="3"/>
  <c r="B150" i="3"/>
  <c r="N150" i="3"/>
  <c r="M150" i="3"/>
  <c r="K150" i="3"/>
  <c r="L150" i="3"/>
  <c r="J150" i="3"/>
  <c r="I150" i="3"/>
  <c r="M14" i="3"/>
  <c r="N14" i="3" s="1"/>
  <c r="M5" i="3"/>
  <c r="N5" i="3" s="1"/>
  <c r="M20" i="3"/>
  <c r="N20" i="3" s="1"/>
  <c r="M34" i="3"/>
  <c r="N34" i="3" s="1"/>
  <c r="I143" i="3"/>
  <c r="H143" i="3"/>
  <c r="G143" i="3"/>
  <c r="F143" i="3"/>
  <c r="N143" i="3"/>
  <c r="M143" i="3"/>
  <c r="J143" i="3"/>
  <c r="E143" i="3"/>
  <c r="D143" i="3"/>
  <c r="C143" i="3"/>
  <c r="L143" i="3"/>
  <c r="K143" i="3"/>
  <c r="B143" i="3"/>
  <c r="N12" i="3"/>
  <c r="K12" i="3" s="1"/>
  <c r="M12" i="3"/>
  <c r="H12" i="3"/>
  <c r="G12" i="3"/>
  <c r="F12" i="3"/>
  <c r="E12" i="3"/>
  <c r="B60" i="3"/>
  <c r="N60" i="3"/>
  <c r="M60" i="3"/>
  <c r="J60" i="3"/>
  <c r="I60" i="3"/>
  <c r="H60" i="3"/>
  <c r="E60" i="3"/>
  <c r="K60" i="3"/>
  <c r="G60" i="3"/>
  <c r="F60" i="3"/>
  <c r="D60" i="3"/>
  <c r="L60" i="3"/>
  <c r="C60" i="3"/>
  <c r="K107" i="3"/>
  <c r="J107" i="3"/>
  <c r="I107" i="3"/>
  <c r="H107" i="3"/>
  <c r="G107" i="3"/>
  <c r="F107" i="3"/>
  <c r="C107" i="3"/>
  <c r="B107" i="3"/>
  <c r="N107" i="3"/>
  <c r="D107" i="3"/>
  <c r="E107" i="3"/>
  <c r="L107" i="3"/>
  <c r="M107" i="3"/>
  <c r="N66" i="3"/>
  <c r="M66" i="3"/>
  <c r="L66" i="3"/>
  <c r="K66" i="3"/>
  <c r="J66" i="3"/>
  <c r="I66" i="3"/>
  <c r="F66" i="3"/>
  <c r="E66" i="3"/>
  <c r="D66" i="3"/>
  <c r="H66" i="3"/>
  <c r="G66" i="3"/>
  <c r="C66" i="3"/>
  <c r="B66" i="3"/>
  <c r="N22" i="3"/>
  <c r="G22" i="3" s="1"/>
  <c r="M22" i="3"/>
  <c r="N138" i="3"/>
  <c r="M138" i="3"/>
  <c r="L138" i="3"/>
  <c r="D138" i="3"/>
  <c r="C138" i="3"/>
  <c r="B138" i="3"/>
  <c r="K138" i="3"/>
  <c r="J138" i="3"/>
  <c r="I138" i="3"/>
  <c r="G138" i="3"/>
  <c r="F138" i="3"/>
  <c r="H138" i="3"/>
  <c r="E138" i="3"/>
  <c r="N82" i="3"/>
  <c r="M82" i="3"/>
  <c r="L82" i="3"/>
  <c r="K82" i="3"/>
  <c r="J82" i="3"/>
  <c r="I82" i="3"/>
  <c r="F82" i="3"/>
  <c r="E82" i="3"/>
  <c r="D82" i="3"/>
  <c r="B82" i="3"/>
  <c r="C82" i="3"/>
  <c r="G82" i="3"/>
  <c r="H82" i="3"/>
  <c r="E141" i="3"/>
  <c r="D141" i="3"/>
  <c r="C141" i="3"/>
  <c r="B141" i="3"/>
  <c r="F141" i="3"/>
  <c r="N141" i="3"/>
  <c r="M141" i="3"/>
  <c r="L141" i="3"/>
  <c r="K141" i="3"/>
  <c r="I141" i="3"/>
  <c r="J141" i="3"/>
  <c r="H141" i="3"/>
  <c r="G141" i="3"/>
  <c r="H47" i="3"/>
  <c r="G47" i="3"/>
  <c r="F47" i="3"/>
  <c r="E47" i="3"/>
  <c r="N47" i="3"/>
  <c r="I47" i="3"/>
  <c r="D47" i="3"/>
  <c r="M47" i="3"/>
  <c r="C47" i="3"/>
  <c r="K47" i="3"/>
  <c r="B47" i="3"/>
  <c r="J47" i="3"/>
  <c r="L47" i="3"/>
  <c r="H71" i="3"/>
  <c r="G71" i="3"/>
  <c r="F71" i="3"/>
  <c r="E71" i="3"/>
  <c r="D71" i="3"/>
  <c r="C71" i="3"/>
  <c r="N71" i="3"/>
  <c r="K71" i="3"/>
  <c r="M71" i="3"/>
  <c r="L71" i="3"/>
  <c r="J71" i="3"/>
  <c r="I71" i="3"/>
  <c r="B71" i="3"/>
  <c r="C124" i="3"/>
  <c r="B124" i="3"/>
  <c r="H124" i="3"/>
  <c r="G124" i="3"/>
  <c r="F124" i="3"/>
  <c r="E124" i="3"/>
  <c r="D124" i="3"/>
  <c r="N124" i="3"/>
  <c r="K124" i="3"/>
  <c r="I124" i="3"/>
  <c r="J124" i="3"/>
  <c r="L124" i="3"/>
  <c r="M124" i="3"/>
  <c r="M8" i="3"/>
  <c r="N8" i="3" s="1"/>
  <c r="N130" i="3"/>
  <c r="M130" i="3"/>
  <c r="L130" i="3"/>
  <c r="H130" i="3"/>
  <c r="G130" i="3"/>
  <c r="F130" i="3"/>
  <c r="E130" i="3"/>
  <c r="D130" i="3"/>
  <c r="C130" i="3"/>
  <c r="K130" i="3"/>
  <c r="J130" i="3"/>
  <c r="I130" i="3"/>
  <c r="B130" i="3"/>
  <c r="I151" i="3"/>
  <c r="H151" i="3"/>
  <c r="G151" i="3"/>
  <c r="F151" i="3"/>
  <c r="N151" i="3"/>
  <c r="M151" i="3"/>
  <c r="L151" i="3"/>
  <c r="K151" i="3"/>
  <c r="J151" i="3"/>
  <c r="E151" i="3"/>
  <c r="D151" i="3"/>
  <c r="B151" i="3"/>
  <c r="C151" i="3"/>
  <c r="M39" i="3"/>
  <c r="N39" i="3" s="1"/>
  <c r="M37" i="3"/>
  <c r="N37" i="3" s="1"/>
  <c r="I95" i="3"/>
  <c r="H95" i="3"/>
  <c r="G95" i="3"/>
  <c r="F95" i="3"/>
  <c r="E95" i="3"/>
  <c r="D95" i="3"/>
  <c r="C95" i="3"/>
  <c r="L95" i="3"/>
  <c r="B95" i="3"/>
  <c r="N95" i="3"/>
  <c r="M95" i="3"/>
  <c r="K95" i="3"/>
  <c r="J95" i="3"/>
  <c r="M13" i="3"/>
  <c r="N13" i="3" s="1"/>
  <c r="F54" i="3"/>
  <c r="E54" i="3"/>
  <c r="D54" i="3"/>
  <c r="C54" i="3"/>
  <c r="B54" i="3"/>
  <c r="N54" i="3"/>
  <c r="M54" i="3"/>
  <c r="L54" i="3"/>
  <c r="I54" i="3"/>
  <c r="J54" i="3"/>
  <c r="H54" i="3"/>
  <c r="G54" i="3"/>
  <c r="K54" i="3"/>
  <c r="M121" i="3"/>
  <c r="L121" i="3"/>
  <c r="K121" i="3"/>
  <c r="G121" i="3"/>
  <c r="F121" i="3"/>
  <c r="E121" i="3"/>
  <c r="D121" i="3"/>
  <c r="C121" i="3"/>
  <c r="B121" i="3"/>
  <c r="J121" i="3"/>
  <c r="H121" i="3"/>
  <c r="N121" i="3"/>
  <c r="I121" i="3"/>
  <c r="M6" i="3"/>
  <c r="N6" i="3" s="1"/>
  <c r="H87" i="3"/>
  <c r="G87" i="3"/>
  <c r="F87" i="3"/>
  <c r="E87" i="3"/>
  <c r="D87" i="3"/>
  <c r="C87" i="3"/>
  <c r="N87" i="3"/>
  <c r="K87" i="3"/>
  <c r="M87" i="3"/>
  <c r="L87" i="3"/>
  <c r="J87" i="3"/>
  <c r="I87" i="3"/>
  <c r="B87" i="3"/>
  <c r="L49" i="3"/>
  <c r="K49" i="3"/>
  <c r="J49" i="3"/>
  <c r="I49" i="3"/>
  <c r="D49" i="3"/>
  <c r="C49" i="3"/>
  <c r="B49" i="3"/>
  <c r="G49" i="3"/>
  <c r="F49" i="3"/>
  <c r="E49" i="3"/>
  <c r="H49" i="3"/>
  <c r="M49" i="3"/>
  <c r="N49" i="3"/>
  <c r="N67" i="3"/>
  <c r="M67" i="3"/>
  <c r="L67" i="3"/>
  <c r="K67" i="3"/>
  <c r="H67" i="3"/>
  <c r="G67" i="3"/>
  <c r="F67" i="3"/>
  <c r="C67" i="3"/>
  <c r="D67" i="3"/>
  <c r="I67" i="3"/>
  <c r="B67" i="3"/>
  <c r="J67" i="3"/>
  <c r="E67" i="3"/>
  <c r="M24" i="3"/>
  <c r="N24" i="3" s="1"/>
  <c r="F62" i="3"/>
  <c r="E62" i="3"/>
  <c r="D62" i="3"/>
  <c r="C62" i="3"/>
  <c r="B62" i="3"/>
  <c r="N62" i="3"/>
  <c r="M62" i="3"/>
  <c r="L62" i="3"/>
  <c r="I62" i="3"/>
  <c r="K62" i="3"/>
  <c r="J62" i="3"/>
  <c r="H62" i="3"/>
  <c r="G62" i="3"/>
  <c r="D61" i="3"/>
  <c r="C61" i="3"/>
  <c r="B61" i="3"/>
  <c r="L61" i="3"/>
  <c r="K61" i="3"/>
  <c r="J61" i="3"/>
  <c r="G61" i="3"/>
  <c r="I61" i="3"/>
  <c r="N61" i="3"/>
  <c r="E61" i="3"/>
  <c r="M61" i="3"/>
  <c r="H61" i="3"/>
  <c r="F61" i="3"/>
  <c r="B68" i="3"/>
  <c r="N68" i="3"/>
  <c r="M68" i="3"/>
  <c r="J68" i="3"/>
  <c r="I68" i="3"/>
  <c r="H68" i="3"/>
  <c r="E68" i="3"/>
  <c r="L68" i="3"/>
  <c r="K68" i="3"/>
  <c r="G68" i="3"/>
  <c r="F68" i="3"/>
  <c r="D68" i="3"/>
  <c r="C68" i="3"/>
  <c r="B115" i="3"/>
  <c r="N115" i="3"/>
  <c r="M115" i="3"/>
  <c r="J115" i="3"/>
  <c r="I115" i="3"/>
  <c r="H115" i="3"/>
  <c r="E115" i="3"/>
  <c r="L115" i="3"/>
  <c r="K115" i="3"/>
  <c r="G115" i="3"/>
  <c r="F115" i="3"/>
  <c r="D115" i="3"/>
  <c r="C115" i="3"/>
  <c r="C116" i="3"/>
  <c r="E116" i="3"/>
  <c r="D116" i="3"/>
  <c r="B116" i="3"/>
  <c r="M116" i="3"/>
  <c r="L116" i="3"/>
  <c r="K116" i="3"/>
  <c r="H116" i="3"/>
  <c r="N116" i="3"/>
  <c r="J116" i="3"/>
  <c r="I116" i="3"/>
  <c r="G116" i="3"/>
  <c r="F116" i="3"/>
  <c r="M30" i="3"/>
  <c r="N30" i="3" s="1"/>
  <c r="J80" i="3"/>
  <c r="I80" i="3"/>
  <c r="H80" i="3"/>
  <c r="G80" i="3"/>
  <c r="F80" i="3"/>
  <c r="E80" i="3"/>
  <c r="B80" i="3"/>
  <c r="M80" i="3"/>
  <c r="N80" i="3"/>
  <c r="L80" i="3"/>
  <c r="K80" i="3"/>
  <c r="D80" i="3"/>
  <c r="C80" i="3"/>
  <c r="M9" i="3"/>
  <c r="N9" i="3" s="1"/>
  <c r="M153" i="3"/>
  <c r="L153" i="3"/>
  <c r="K153" i="3"/>
  <c r="J153" i="3"/>
  <c r="F153" i="3"/>
  <c r="E153" i="3"/>
  <c r="D153" i="3"/>
  <c r="C153" i="3"/>
  <c r="B153" i="3"/>
  <c r="I153" i="3"/>
  <c r="H153" i="3"/>
  <c r="N153" i="3"/>
  <c r="G153" i="3"/>
  <c r="I119" i="3"/>
  <c r="G119" i="3"/>
  <c r="N119" i="3"/>
  <c r="M119" i="3"/>
  <c r="L119" i="3"/>
  <c r="K119" i="3"/>
  <c r="F119" i="3"/>
  <c r="E119" i="3"/>
  <c r="D119" i="3"/>
  <c r="J119" i="3"/>
  <c r="H119" i="3"/>
  <c r="C119" i="3"/>
  <c r="B119" i="3"/>
  <c r="M137" i="3"/>
  <c r="L137" i="3"/>
  <c r="K137" i="3"/>
  <c r="J137" i="3"/>
  <c r="N137" i="3"/>
  <c r="I137" i="3"/>
  <c r="F137" i="3"/>
  <c r="E137" i="3"/>
  <c r="D137" i="3"/>
  <c r="C137" i="3"/>
  <c r="B137" i="3"/>
  <c r="G137" i="3"/>
  <c r="H137" i="3"/>
  <c r="M19" i="3"/>
  <c r="N19" i="3" s="1"/>
  <c r="B44" i="3"/>
  <c r="J44" i="3"/>
  <c r="I44" i="3"/>
  <c r="H44" i="3"/>
  <c r="N44" i="3"/>
  <c r="M44" i="3"/>
  <c r="L44" i="3"/>
  <c r="K44" i="3"/>
  <c r="G44" i="3"/>
  <c r="F44" i="3"/>
  <c r="E44" i="3"/>
  <c r="D44" i="3"/>
  <c r="C44" i="3"/>
  <c r="N154" i="3"/>
  <c r="M154" i="3"/>
  <c r="L154" i="3"/>
  <c r="K154" i="3"/>
  <c r="J154" i="3"/>
  <c r="I154" i="3"/>
  <c r="H154" i="3"/>
  <c r="G154" i="3"/>
  <c r="F154" i="3"/>
  <c r="D154" i="3"/>
  <c r="C154" i="3"/>
  <c r="B154" i="3"/>
  <c r="E154" i="3"/>
  <c r="M27" i="3"/>
  <c r="N27" i="3" s="1"/>
  <c r="M38" i="3"/>
  <c r="N38" i="3" s="1"/>
  <c r="L57" i="3"/>
  <c r="K57" i="3"/>
  <c r="J57" i="3"/>
  <c r="I57" i="3"/>
  <c r="H57" i="3"/>
  <c r="G57" i="3"/>
  <c r="D57" i="3"/>
  <c r="C57" i="3"/>
  <c r="B57" i="3"/>
  <c r="M57" i="3"/>
  <c r="F57" i="3"/>
  <c r="E57" i="3"/>
  <c r="N57" i="3"/>
  <c r="I32" i="3"/>
  <c r="B32" i="3"/>
  <c r="E32" i="3"/>
  <c r="D32" i="3"/>
  <c r="K32" i="3"/>
  <c r="M32" i="3"/>
  <c r="N32" i="3"/>
  <c r="J32" i="3" s="1"/>
  <c r="D69" i="3"/>
  <c r="C69" i="3"/>
  <c r="B69" i="3"/>
  <c r="L69" i="3"/>
  <c r="K69" i="3"/>
  <c r="J69" i="3"/>
  <c r="G69" i="3"/>
  <c r="M69" i="3"/>
  <c r="I69" i="3"/>
  <c r="H69" i="3"/>
  <c r="F69" i="3"/>
  <c r="E69" i="3"/>
  <c r="N69" i="3"/>
  <c r="B76" i="3"/>
  <c r="N76" i="3"/>
  <c r="M76" i="3"/>
  <c r="J76" i="3"/>
  <c r="I76" i="3"/>
  <c r="H76" i="3"/>
  <c r="E76" i="3"/>
  <c r="C76" i="3"/>
  <c r="K76" i="3"/>
  <c r="D76" i="3"/>
  <c r="L76" i="3"/>
  <c r="F76" i="3"/>
  <c r="G76" i="3"/>
  <c r="N123" i="3"/>
  <c r="B123" i="3"/>
  <c r="M123" i="3"/>
  <c r="J123" i="3"/>
  <c r="I123" i="3"/>
  <c r="H123" i="3"/>
  <c r="E123" i="3"/>
  <c r="L123" i="3"/>
  <c r="K123" i="3"/>
  <c r="G123" i="3"/>
  <c r="F123" i="3"/>
  <c r="D123" i="3"/>
  <c r="C123" i="3"/>
  <c r="C100" i="3"/>
  <c r="G100" i="3"/>
  <c r="F100" i="3"/>
  <c r="E100" i="3"/>
  <c r="D100" i="3"/>
  <c r="B100" i="3"/>
  <c r="N100" i="3"/>
  <c r="M100" i="3"/>
  <c r="J100" i="3"/>
  <c r="K100" i="3"/>
  <c r="I100" i="3"/>
  <c r="H100" i="3"/>
  <c r="L100" i="3"/>
  <c r="G142" i="3"/>
  <c r="F142" i="3"/>
  <c r="E142" i="3"/>
  <c r="D142" i="3"/>
  <c r="L142" i="3"/>
  <c r="K142" i="3"/>
  <c r="J142" i="3"/>
  <c r="I142" i="3"/>
  <c r="H142" i="3"/>
  <c r="C142" i="3"/>
  <c r="N142" i="3"/>
  <c r="B142" i="3"/>
  <c r="M142" i="3"/>
  <c r="I127" i="3"/>
  <c r="H127" i="3"/>
  <c r="G127" i="3"/>
  <c r="F127" i="3"/>
  <c r="J127" i="3"/>
  <c r="E127" i="3"/>
  <c r="D127" i="3"/>
  <c r="C127" i="3"/>
  <c r="B127" i="3"/>
  <c r="M127" i="3"/>
  <c r="N127" i="3"/>
  <c r="L127" i="3"/>
  <c r="K127" i="3"/>
  <c r="M26" i="3"/>
  <c r="N26" i="3" s="1"/>
  <c r="E109" i="3"/>
  <c r="N109" i="3"/>
  <c r="M109" i="3"/>
  <c r="L109" i="3"/>
  <c r="I109" i="3"/>
  <c r="H109" i="3"/>
  <c r="G109" i="3"/>
  <c r="C109" i="3"/>
  <c r="K109" i="3"/>
  <c r="J109" i="3"/>
  <c r="F109" i="3"/>
  <c r="D109" i="3"/>
  <c r="B109" i="3"/>
  <c r="N98" i="3"/>
  <c r="M98" i="3"/>
  <c r="L98" i="3"/>
  <c r="I98" i="3"/>
  <c r="H98" i="3"/>
  <c r="G98" i="3"/>
  <c r="D98" i="3"/>
  <c r="K98" i="3"/>
  <c r="J98" i="3"/>
  <c r="F98" i="3"/>
  <c r="E98" i="3"/>
  <c r="B98" i="3"/>
  <c r="C98" i="3"/>
  <c r="G126" i="3"/>
  <c r="F126" i="3"/>
  <c r="E126" i="3"/>
  <c r="D126" i="3"/>
  <c r="L126" i="3"/>
  <c r="K126" i="3"/>
  <c r="J126" i="3"/>
  <c r="C126" i="3"/>
  <c r="N126" i="3"/>
  <c r="M126" i="3"/>
  <c r="I126" i="3"/>
  <c r="H126" i="3"/>
  <c r="B126" i="3"/>
  <c r="I28" i="3"/>
  <c r="G28" i="3"/>
  <c r="F28" i="3"/>
  <c r="E28" i="3"/>
  <c r="M28" i="3"/>
  <c r="N28" i="3"/>
  <c r="B28" i="3" s="1"/>
  <c r="N91" i="3"/>
  <c r="M91" i="3"/>
  <c r="L91" i="3"/>
  <c r="K91" i="3"/>
  <c r="H91" i="3"/>
  <c r="G91" i="3"/>
  <c r="F91" i="3"/>
  <c r="C91" i="3"/>
  <c r="D91" i="3"/>
  <c r="B91" i="3"/>
  <c r="I91" i="3"/>
  <c r="E91" i="3"/>
  <c r="J91" i="3"/>
  <c r="E101" i="3"/>
  <c r="J101" i="3"/>
  <c r="I101" i="3"/>
  <c r="H101" i="3"/>
  <c r="G101" i="3"/>
  <c r="F101" i="3"/>
  <c r="D101" i="3"/>
  <c r="M101" i="3"/>
  <c r="K101" i="3"/>
  <c r="L101" i="3"/>
  <c r="N101" i="3"/>
  <c r="B101" i="3"/>
  <c r="C101" i="3"/>
  <c r="M25" i="3"/>
  <c r="N25" i="3" s="1"/>
  <c r="D53" i="3"/>
  <c r="C53" i="3"/>
  <c r="B53" i="3"/>
  <c r="L53" i="3"/>
  <c r="K53" i="3"/>
  <c r="J53" i="3"/>
  <c r="G53" i="3"/>
  <c r="N53" i="3"/>
  <c r="M53" i="3"/>
  <c r="I53" i="3"/>
  <c r="H53" i="3"/>
  <c r="F53" i="3"/>
  <c r="E53" i="3"/>
  <c r="M15" i="3"/>
  <c r="N15" i="3" s="1"/>
  <c r="M7" i="3"/>
  <c r="N7" i="3" s="1"/>
  <c r="K152" i="3"/>
  <c r="J152" i="3"/>
  <c r="I152" i="3"/>
  <c r="H152" i="3"/>
  <c r="N152" i="3"/>
  <c r="L152" i="3"/>
  <c r="G152" i="3"/>
  <c r="F152" i="3"/>
  <c r="E152" i="3"/>
  <c r="C152" i="3"/>
  <c r="B152" i="3"/>
  <c r="D152" i="3"/>
  <c r="M152" i="3"/>
  <c r="F78" i="3"/>
  <c r="E78" i="3"/>
  <c r="D78" i="3"/>
  <c r="C78" i="3"/>
  <c r="B78" i="3"/>
  <c r="N78" i="3"/>
  <c r="M78" i="3"/>
  <c r="L78" i="3"/>
  <c r="I78" i="3"/>
  <c r="K78" i="3"/>
  <c r="J78" i="3"/>
  <c r="H78" i="3"/>
  <c r="G78" i="3"/>
  <c r="D77" i="3"/>
  <c r="C77" i="3"/>
  <c r="B77" i="3"/>
  <c r="L77" i="3"/>
  <c r="K77" i="3"/>
  <c r="J77" i="3"/>
  <c r="G77" i="3"/>
  <c r="N77" i="3"/>
  <c r="M77" i="3"/>
  <c r="I77" i="3"/>
  <c r="H77" i="3"/>
  <c r="F77" i="3"/>
  <c r="E77" i="3"/>
  <c r="B84" i="3"/>
  <c r="N84" i="3"/>
  <c r="M84" i="3"/>
  <c r="J84" i="3"/>
  <c r="I84" i="3"/>
  <c r="H84" i="3"/>
  <c r="E84" i="3"/>
  <c r="L84" i="3"/>
  <c r="K84" i="3"/>
  <c r="G84" i="3"/>
  <c r="F84" i="3"/>
  <c r="D84" i="3"/>
  <c r="C84" i="3"/>
  <c r="N131" i="3"/>
  <c r="M131" i="3"/>
  <c r="L131" i="3"/>
  <c r="K131" i="3"/>
  <c r="J131" i="3"/>
  <c r="I131" i="3"/>
  <c r="F131" i="3"/>
  <c r="E131" i="3"/>
  <c r="D131" i="3"/>
  <c r="H131" i="3"/>
  <c r="G131" i="3"/>
  <c r="C131" i="3"/>
  <c r="B131" i="3"/>
  <c r="K120" i="3"/>
  <c r="J120" i="3"/>
  <c r="I120" i="3"/>
  <c r="B120" i="3"/>
  <c r="M120" i="3"/>
  <c r="L120" i="3"/>
  <c r="H120" i="3"/>
  <c r="E120" i="3"/>
  <c r="F120" i="3"/>
  <c r="D120" i="3"/>
  <c r="C120" i="3"/>
  <c r="G120" i="3"/>
  <c r="N120" i="3"/>
  <c r="I135" i="3"/>
  <c r="H135" i="3"/>
  <c r="G135" i="3"/>
  <c r="F135" i="3"/>
  <c r="B135" i="3"/>
  <c r="N135" i="3"/>
  <c r="M135" i="3"/>
  <c r="L135" i="3"/>
  <c r="K135" i="3"/>
  <c r="E135" i="3"/>
  <c r="J135" i="3"/>
  <c r="D135" i="3"/>
  <c r="C135" i="3"/>
  <c r="E125" i="3"/>
  <c r="D125" i="3"/>
  <c r="C125" i="3"/>
  <c r="B125" i="3"/>
  <c r="N125" i="3"/>
  <c r="M125" i="3"/>
  <c r="L125" i="3"/>
  <c r="K125" i="3"/>
  <c r="J125" i="3"/>
  <c r="I125" i="3"/>
  <c r="F125" i="3"/>
  <c r="H125" i="3"/>
  <c r="G125" i="3"/>
  <c r="M145" i="3"/>
  <c r="L145" i="3"/>
  <c r="K145" i="3"/>
  <c r="J145" i="3"/>
  <c r="N145" i="3"/>
  <c r="I145" i="3"/>
  <c r="H145" i="3"/>
  <c r="G145" i="3"/>
  <c r="F145" i="3"/>
  <c r="E145" i="3"/>
  <c r="B145" i="3"/>
  <c r="D145" i="3"/>
  <c r="C145" i="3"/>
  <c r="M36" i="3"/>
  <c r="N36" i="3" s="1"/>
  <c r="E149" i="3"/>
  <c r="D149" i="3"/>
  <c r="C149" i="3"/>
  <c r="B149" i="3"/>
  <c r="N149" i="3"/>
  <c r="M149" i="3"/>
  <c r="J149" i="3"/>
  <c r="I149" i="3"/>
  <c r="H149" i="3"/>
  <c r="G149" i="3"/>
  <c r="L149" i="3"/>
  <c r="K149" i="3"/>
  <c r="F149" i="3"/>
  <c r="N51" i="3"/>
  <c r="M51" i="3"/>
  <c r="H51" i="3"/>
  <c r="G51" i="3"/>
  <c r="F51" i="3"/>
  <c r="C51" i="3"/>
  <c r="K51" i="3"/>
  <c r="J51" i="3"/>
  <c r="I51" i="3"/>
  <c r="E51" i="3"/>
  <c r="D51" i="3"/>
  <c r="B51" i="3"/>
  <c r="L51" i="3"/>
  <c r="C108" i="3"/>
  <c r="N108" i="3"/>
  <c r="M108" i="3"/>
  <c r="L108" i="3"/>
  <c r="K108" i="3"/>
  <c r="J108" i="3"/>
  <c r="I108" i="3"/>
  <c r="F108" i="3"/>
  <c r="E108" i="3"/>
  <c r="D108" i="3"/>
  <c r="H108" i="3"/>
  <c r="G108" i="3"/>
  <c r="B108" i="3"/>
  <c r="K96" i="3"/>
  <c r="L96" i="3"/>
  <c r="J96" i="3"/>
  <c r="I96" i="3"/>
  <c r="H96" i="3"/>
  <c r="G96" i="3"/>
  <c r="F96" i="3"/>
  <c r="C96" i="3"/>
  <c r="B96" i="3"/>
  <c r="N96" i="3"/>
  <c r="M96" i="3"/>
  <c r="E96" i="3"/>
  <c r="D96" i="3"/>
  <c r="H106" i="3"/>
  <c r="G106" i="3"/>
  <c r="F106" i="3"/>
  <c r="E106" i="3"/>
  <c r="D106" i="3"/>
  <c r="C106" i="3"/>
  <c r="N106" i="3"/>
  <c r="K106" i="3"/>
  <c r="M106" i="3"/>
  <c r="L106" i="3"/>
  <c r="J106" i="3"/>
  <c r="I106" i="3"/>
  <c r="B106" i="3"/>
  <c r="H79" i="3"/>
  <c r="G79" i="3"/>
  <c r="F79" i="3"/>
  <c r="E79" i="3"/>
  <c r="D79" i="3"/>
  <c r="C79" i="3"/>
  <c r="N79" i="3"/>
  <c r="K79" i="3"/>
  <c r="I79" i="3"/>
  <c r="M79" i="3"/>
  <c r="L79" i="3"/>
  <c r="J79" i="3"/>
  <c r="B79" i="3"/>
  <c r="F70" i="3"/>
  <c r="E70" i="3"/>
  <c r="D70" i="3"/>
  <c r="C70" i="3"/>
  <c r="B70" i="3"/>
  <c r="N70" i="3"/>
  <c r="M70" i="3"/>
  <c r="L70" i="3"/>
  <c r="I70" i="3"/>
  <c r="K70" i="3"/>
  <c r="J70" i="3"/>
  <c r="G70" i="3"/>
  <c r="H70" i="3"/>
  <c r="L65" i="3"/>
  <c r="K65" i="3"/>
  <c r="J65" i="3"/>
  <c r="I65" i="3"/>
  <c r="H65" i="3"/>
  <c r="G65" i="3"/>
  <c r="D65" i="3"/>
  <c r="C65" i="3"/>
  <c r="B65" i="3"/>
  <c r="N65" i="3"/>
  <c r="M65" i="3"/>
  <c r="F65" i="3"/>
  <c r="E65" i="3"/>
  <c r="M10" i="3"/>
  <c r="N10" i="3" s="1"/>
  <c r="M113" i="3"/>
  <c r="L113" i="3"/>
  <c r="K113" i="3"/>
  <c r="J113" i="3"/>
  <c r="I113" i="3"/>
  <c r="H113" i="3"/>
  <c r="G113" i="3"/>
  <c r="D113" i="3"/>
  <c r="C113" i="3"/>
  <c r="B113" i="3"/>
  <c r="N113" i="3"/>
  <c r="F113" i="3"/>
  <c r="E113" i="3"/>
  <c r="M40" i="3"/>
  <c r="N40" i="3" s="1"/>
  <c r="M31" i="3"/>
  <c r="N31" i="3" s="1"/>
  <c r="G102" i="3"/>
  <c r="M102" i="3"/>
  <c r="L102" i="3"/>
  <c r="K102" i="3"/>
  <c r="J102" i="3"/>
  <c r="I102" i="3"/>
  <c r="H102" i="3"/>
  <c r="D102" i="3"/>
  <c r="C102" i="3"/>
  <c r="B102" i="3"/>
  <c r="N102" i="3"/>
  <c r="F102" i="3"/>
  <c r="E102" i="3"/>
  <c r="L81" i="3"/>
  <c r="K81" i="3"/>
  <c r="J81" i="3"/>
  <c r="I81" i="3"/>
  <c r="H81" i="3"/>
  <c r="G81" i="3"/>
  <c r="D81" i="3"/>
  <c r="C81" i="3"/>
  <c r="B81" i="3"/>
  <c r="N81" i="3"/>
  <c r="M81" i="3"/>
  <c r="F81" i="3"/>
  <c r="E81" i="3"/>
  <c r="K136" i="3"/>
  <c r="J136" i="3"/>
  <c r="I136" i="3"/>
  <c r="H136" i="3"/>
  <c r="L136" i="3"/>
  <c r="G136" i="3"/>
  <c r="F136" i="3"/>
  <c r="E136" i="3"/>
  <c r="D136" i="3"/>
  <c r="C136" i="3"/>
  <c r="N136" i="3"/>
  <c r="M136" i="3"/>
  <c r="B136" i="3"/>
  <c r="N50" i="3"/>
  <c r="M50" i="3"/>
  <c r="L50" i="3"/>
  <c r="K50" i="3"/>
  <c r="F50" i="3"/>
  <c r="E50" i="3"/>
  <c r="D50" i="3"/>
  <c r="J50" i="3"/>
  <c r="I50" i="3"/>
  <c r="H50" i="3"/>
  <c r="B50" i="3"/>
  <c r="G50" i="3"/>
  <c r="C50" i="3"/>
  <c r="J48" i="3"/>
  <c r="I48" i="3"/>
  <c r="H48" i="3"/>
  <c r="G48" i="3"/>
  <c r="B48" i="3"/>
  <c r="N48" i="3"/>
  <c r="M48" i="3"/>
  <c r="C48" i="3"/>
  <c r="L48" i="3"/>
  <c r="K48" i="3"/>
  <c r="F48" i="3"/>
  <c r="E48" i="3"/>
  <c r="D48" i="3"/>
  <c r="F86" i="3"/>
  <c r="E86" i="3"/>
  <c r="D86" i="3"/>
  <c r="C86" i="3"/>
  <c r="B86" i="3"/>
  <c r="N86" i="3"/>
  <c r="M86" i="3"/>
  <c r="L86" i="3"/>
  <c r="I86" i="3"/>
  <c r="K86" i="3"/>
  <c r="J86" i="3"/>
  <c r="H86" i="3"/>
  <c r="G86" i="3"/>
  <c r="D85" i="3"/>
  <c r="C85" i="3"/>
  <c r="B85" i="3"/>
  <c r="L85" i="3"/>
  <c r="K85" i="3"/>
  <c r="J85" i="3"/>
  <c r="G85" i="3"/>
  <c r="E85" i="3"/>
  <c r="H85" i="3"/>
  <c r="F85" i="3"/>
  <c r="N85" i="3"/>
  <c r="M85" i="3"/>
  <c r="I85" i="3"/>
  <c r="B92" i="3"/>
  <c r="N92" i="3"/>
  <c r="M92" i="3"/>
  <c r="J92" i="3"/>
  <c r="I92" i="3"/>
  <c r="H92" i="3"/>
  <c r="E92" i="3"/>
  <c r="C92" i="3"/>
  <c r="L92" i="3"/>
  <c r="K92" i="3"/>
  <c r="G92" i="3"/>
  <c r="F92" i="3"/>
  <c r="D92" i="3"/>
  <c r="N139" i="3"/>
  <c r="J139" i="3"/>
  <c r="I139" i="3"/>
  <c r="H139" i="3"/>
  <c r="G139" i="3"/>
  <c r="F139" i="3"/>
  <c r="E139" i="3"/>
  <c r="B139" i="3"/>
  <c r="M139" i="3"/>
  <c r="L139" i="3"/>
  <c r="K139" i="3"/>
  <c r="D139" i="3"/>
  <c r="C139" i="3"/>
  <c r="G134" i="3"/>
  <c r="F134" i="3"/>
  <c r="E134" i="3"/>
  <c r="D134" i="3"/>
  <c r="N134" i="3"/>
  <c r="M134" i="3"/>
  <c r="L134" i="3"/>
  <c r="K134" i="3"/>
  <c r="H134" i="3"/>
  <c r="C134" i="3"/>
  <c r="B134" i="3"/>
  <c r="J134" i="3"/>
  <c r="I134" i="3"/>
  <c r="H55" i="3"/>
  <c r="G55" i="3"/>
  <c r="F55" i="3"/>
  <c r="E55" i="3"/>
  <c r="D55" i="3"/>
  <c r="C55" i="3"/>
  <c r="N55" i="3"/>
  <c r="K55" i="3"/>
  <c r="J55" i="3"/>
  <c r="I55" i="3"/>
  <c r="M55" i="3"/>
  <c r="L55" i="3"/>
  <c r="B55" i="3"/>
  <c r="N83" i="3"/>
  <c r="M83" i="3"/>
  <c r="L83" i="3"/>
  <c r="K83" i="3"/>
  <c r="H83" i="3"/>
  <c r="G83" i="3"/>
  <c r="F83" i="3"/>
  <c r="C83" i="3"/>
  <c r="B83" i="3"/>
  <c r="J83" i="3"/>
  <c r="I83" i="3"/>
  <c r="E83" i="3"/>
  <c r="D83" i="3"/>
  <c r="E133" i="3"/>
  <c r="D133" i="3"/>
  <c r="C133" i="3"/>
  <c r="B133" i="3"/>
  <c r="J133" i="3"/>
  <c r="I133" i="3"/>
  <c r="H133" i="3"/>
  <c r="G133" i="3"/>
  <c r="F133" i="3"/>
  <c r="M133" i="3"/>
  <c r="K133" i="3"/>
  <c r="N133" i="3"/>
  <c r="L133" i="3"/>
  <c r="G110" i="3"/>
  <c r="C110" i="3"/>
  <c r="B110" i="3"/>
  <c r="L110" i="3"/>
  <c r="K110" i="3"/>
  <c r="J110" i="3"/>
  <c r="F110" i="3"/>
  <c r="H110" i="3"/>
  <c r="E110" i="3"/>
  <c r="D110" i="3"/>
  <c r="I110" i="3"/>
  <c r="M110" i="3"/>
  <c r="N110" i="3"/>
  <c r="H63" i="3"/>
  <c r="G63" i="3"/>
  <c r="F63" i="3"/>
  <c r="E63" i="3"/>
  <c r="D63" i="3"/>
  <c r="C63" i="3"/>
  <c r="N63" i="3"/>
  <c r="K63" i="3"/>
  <c r="L63" i="3"/>
  <c r="J63" i="3"/>
  <c r="I63" i="3"/>
  <c r="B63" i="3"/>
  <c r="M63" i="3"/>
  <c r="C132" i="3"/>
  <c r="B132" i="3"/>
  <c r="D132" i="3"/>
  <c r="L132" i="3"/>
  <c r="K132" i="3"/>
  <c r="J132" i="3"/>
  <c r="G132" i="3"/>
  <c r="H132" i="3"/>
  <c r="F132" i="3"/>
  <c r="E132" i="3"/>
  <c r="M132" i="3"/>
  <c r="I132" i="3"/>
  <c r="N132" i="3"/>
  <c r="M16" i="3"/>
  <c r="N16" i="3" s="1"/>
  <c r="L73" i="3"/>
  <c r="K73" i="3"/>
  <c r="J73" i="3"/>
  <c r="I73" i="3"/>
  <c r="H73" i="3"/>
  <c r="G73" i="3"/>
  <c r="D73" i="3"/>
  <c r="C73" i="3"/>
  <c r="B73" i="3"/>
  <c r="N73" i="3"/>
  <c r="M73" i="3"/>
  <c r="E73" i="3"/>
  <c r="F73" i="3"/>
  <c r="N114" i="3"/>
  <c r="M114" i="3"/>
  <c r="L114" i="3"/>
  <c r="K114" i="3"/>
  <c r="J114" i="3"/>
  <c r="G114" i="3"/>
  <c r="F114" i="3"/>
  <c r="E114" i="3"/>
  <c r="B114" i="3"/>
  <c r="H114" i="3"/>
  <c r="I114" i="3"/>
  <c r="C114" i="3"/>
  <c r="D114" i="3"/>
  <c r="E117" i="3"/>
  <c r="H117" i="3"/>
  <c r="G117" i="3"/>
  <c r="F117" i="3"/>
  <c r="D117" i="3"/>
  <c r="C117" i="3"/>
  <c r="B117" i="3"/>
  <c r="N117" i="3"/>
  <c r="K117" i="3"/>
  <c r="I117" i="3"/>
  <c r="L117" i="3"/>
  <c r="M117" i="3"/>
  <c r="J117" i="3"/>
  <c r="N75" i="3"/>
  <c r="M75" i="3"/>
  <c r="L75" i="3"/>
  <c r="K75" i="3"/>
  <c r="H75" i="3"/>
  <c r="G75" i="3"/>
  <c r="F75" i="3"/>
  <c r="C75" i="3"/>
  <c r="J75" i="3"/>
  <c r="I75" i="3"/>
  <c r="E75" i="3"/>
  <c r="D75" i="3"/>
  <c r="B75" i="3"/>
  <c r="F46" i="3"/>
  <c r="E46" i="3"/>
  <c r="D46" i="3"/>
  <c r="C46" i="3"/>
  <c r="N46" i="3"/>
  <c r="M46" i="3"/>
  <c r="L46" i="3"/>
  <c r="K46" i="3"/>
  <c r="J46" i="3"/>
  <c r="I46" i="3"/>
  <c r="H46" i="3"/>
  <c r="G46" i="3"/>
  <c r="B46" i="3"/>
  <c r="N122" i="3"/>
  <c r="M122" i="3"/>
  <c r="L122" i="3"/>
  <c r="K122" i="3"/>
  <c r="J122" i="3"/>
  <c r="I122" i="3"/>
  <c r="H122" i="3"/>
  <c r="G122" i="3"/>
  <c r="D122" i="3"/>
  <c r="C122" i="3"/>
  <c r="B122" i="3"/>
  <c r="F122" i="3"/>
  <c r="E122" i="3"/>
  <c r="I103" i="3"/>
  <c r="N103" i="3"/>
  <c r="M103" i="3"/>
  <c r="L103" i="3"/>
  <c r="K103" i="3"/>
  <c r="G103" i="3"/>
  <c r="F103" i="3"/>
  <c r="E103" i="3"/>
  <c r="B103" i="3"/>
  <c r="J103" i="3"/>
  <c r="H103" i="3"/>
  <c r="D103" i="3"/>
  <c r="C103" i="3"/>
  <c r="N146" i="3"/>
  <c r="M146" i="3"/>
  <c r="L146" i="3"/>
  <c r="K146" i="3"/>
  <c r="H146" i="3"/>
  <c r="G146" i="3"/>
  <c r="F146" i="3"/>
  <c r="E146" i="3"/>
  <c r="C146" i="3"/>
  <c r="I146" i="3"/>
  <c r="D146" i="3"/>
  <c r="B146" i="3"/>
  <c r="J146" i="3"/>
  <c r="N58" i="3"/>
  <c r="M58" i="3"/>
  <c r="L58" i="3"/>
  <c r="K58" i="3"/>
  <c r="J58" i="3"/>
  <c r="I58" i="3"/>
  <c r="F58" i="3"/>
  <c r="E58" i="3"/>
  <c r="D58" i="3"/>
  <c r="G58" i="3"/>
  <c r="B58" i="3"/>
  <c r="H58" i="3"/>
  <c r="C58" i="3"/>
  <c r="J56" i="3"/>
  <c r="I56" i="3"/>
  <c r="H56" i="3"/>
  <c r="G56" i="3"/>
  <c r="F56" i="3"/>
  <c r="E56" i="3"/>
  <c r="B56" i="3"/>
  <c r="M56" i="3"/>
  <c r="N56" i="3"/>
  <c r="L56" i="3"/>
  <c r="K56" i="3"/>
  <c r="D56" i="3"/>
  <c r="C56" i="3"/>
  <c r="F94" i="3"/>
  <c r="E94" i="3"/>
  <c r="D94" i="3"/>
  <c r="C94" i="3"/>
  <c r="B94" i="3"/>
  <c r="N94" i="3"/>
  <c r="M94" i="3"/>
  <c r="L94" i="3"/>
  <c r="I94" i="3"/>
  <c r="G94" i="3"/>
  <c r="J94" i="3"/>
  <c r="H94" i="3"/>
  <c r="K94" i="3"/>
  <c r="D93" i="3"/>
  <c r="C93" i="3"/>
  <c r="B93" i="3"/>
  <c r="L93" i="3"/>
  <c r="K93" i="3"/>
  <c r="J93" i="3"/>
  <c r="G93" i="3"/>
  <c r="N93" i="3"/>
  <c r="M93" i="3"/>
  <c r="I93" i="3"/>
  <c r="H93" i="3"/>
  <c r="F93" i="3"/>
  <c r="E93" i="3"/>
  <c r="K104" i="3"/>
  <c r="B104" i="3"/>
  <c r="N104" i="3"/>
  <c r="J104" i="3"/>
  <c r="I104" i="3"/>
  <c r="H104" i="3"/>
  <c r="E104" i="3"/>
  <c r="C104" i="3"/>
  <c r="F104" i="3"/>
  <c r="D104" i="3"/>
  <c r="M104" i="3"/>
  <c r="L104" i="3"/>
  <c r="G104" i="3"/>
  <c r="N147" i="3"/>
  <c r="F147" i="3"/>
  <c r="E147" i="3"/>
  <c r="D147" i="3"/>
  <c r="C147" i="3"/>
  <c r="B147" i="3"/>
  <c r="M147" i="3"/>
  <c r="L147" i="3"/>
  <c r="K147" i="3"/>
  <c r="I147" i="3"/>
  <c r="G147" i="3"/>
  <c r="J147" i="3"/>
  <c r="H147" i="3"/>
  <c r="E37" i="3" l="1"/>
  <c r="D37" i="3"/>
  <c r="K37" i="3"/>
  <c r="C37" i="3"/>
  <c r="B37" i="3"/>
  <c r="J37" i="3"/>
  <c r="I37" i="3"/>
  <c r="H37" i="3"/>
  <c r="G37" i="3"/>
  <c r="L37" i="3" s="1"/>
  <c r="F37" i="3"/>
  <c r="F16" i="3"/>
  <c r="E16" i="3"/>
  <c r="D16" i="3"/>
  <c r="J16" i="3"/>
  <c r="I16" i="3"/>
  <c r="H16" i="3"/>
  <c r="G16" i="3"/>
  <c r="C16" i="3"/>
  <c r="K16" i="3"/>
  <c r="B16" i="3"/>
  <c r="E31" i="3"/>
  <c r="B31" i="3"/>
  <c r="K31" i="3"/>
  <c r="J31" i="3"/>
  <c r="H31" i="3"/>
  <c r="F31" i="3"/>
  <c r="D31" i="3"/>
  <c r="G31" i="3"/>
  <c r="I31" i="3"/>
  <c r="C31" i="3"/>
  <c r="J40" i="3"/>
  <c r="I40" i="3"/>
  <c r="H40" i="3"/>
  <c r="G40" i="3"/>
  <c r="K40" i="3"/>
  <c r="B40" i="3"/>
  <c r="C40" i="3"/>
  <c r="D40" i="3"/>
  <c r="F40" i="3"/>
  <c r="E40" i="3"/>
  <c r="J10" i="3"/>
  <c r="H10" i="3"/>
  <c r="I10" i="3"/>
  <c r="C10" i="3"/>
  <c r="G10" i="3"/>
  <c r="B10" i="3"/>
  <c r="K10" i="3"/>
  <c r="E10" i="3"/>
  <c r="D10" i="3"/>
  <c r="F10" i="3"/>
  <c r="K19" i="3"/>
  <c r="G19" i="3"/>
  <c r="F19" i="3"/>
  <c r="H19" i="3"/>
  <c r="E19" i="3"/>
  <c r="D19" i="3"/>
  <c r="C19" i="3"/>
  <c r="B19" i="3"/>
  <c r="J19" i="3"/>
  <c r="I19" i="3"/>
  <c r="D6" i="3"/>
  <c r="K6" i="3"/>
  <c r="J6" i="3"/>
  <c r="H6" i="3"/>
  <c r="G6" i="3"/>
  <c r="E6" i="3"/>
  <c r="F6" i="3"/>
  <c r="I6" i="3"/>
  <c r="C6" i="3"/>
  <c r="B6" i="3"/>
  <c r="J34" i="3"/>
  <c r="D34" i="3"/>
  <c r="I34" i="3"/>
  <c r="H34" i="3"/>
  <c r="K34" i="3"/>
  <c r="F34" i="3"/>
  <c r="C34" i="3"/>
  <c r="E34" i="3"/>
  <c r="B34" i="3"/>
  <c r="G34" i="3"/>
  <c r="L34" i="3" s="1"/>
  <c r="C23" i="3"/>
  <c r="B23" i="3"/>
  <c r="I23" i="3"/>
  <c r="K23" i="3"/>
  <c r="D23" i="3"/>
  <c r="J23" i="3"/>
  <c r="G23" i="3"/>
  <c r="H23" i="3"/>
  <c r="F23" i="3"/>
  <c r="E23" i="3"/>
  <c r="I11" i="3"/>
  <c r="H11" i="3"/>
  <c r="G11" i="3"/>
  <c r="F11" i="3"/>
  <c r="K11" i="3"/>
  <c r="E11" i="3"/>
  <c r="D11" i="3"/>
  <c r="C11" i="3"/>
  <c r="B11" i="3"/>
  <c r="J11" i="3"/>
  <c r="H17" i="3"/>
  <c r="G17" i="3"/>
  <c r="F17" i="3"/>
  <c r="E17" i="3"/>
  <c r="B17" i="3"/>
  <c r="K17" i="3"/>
  <c r="J17" i="3"/>
  <c r="D17" i="3"/>
  <c r="I17" i="3"/>
  <c r="C17" i="3"/>
  <c r="K26" i="3"/>
  <c r="F26" i="3"/>
  <c r="E26" i="3"/>
  <c r="J26" i="3"/>
  <c r="D26" i="3"/>
  <c r="I26" i="3"/>
  <c r="G26" i="3"/>
  <c r="H26" i="3"/>
  <c r="C26" i="3"/>
  <c r="B26" i="3"/>
  <c r="K20" i="3"/>
  <c r="H20" i="3"/>
  <c r="G20" i="3"/>
  <c r="F20" i="3"/>
  <c r="E20" i="3"/>
  <c r="D20" i="3"/>
  <c r="B20" i="3"/>
  <c r="J20" i="3"/>
  <c r="I20" i="3"/>
  <c r="C20" i="3"/>
  <c r="E29" i="3"/>
  <c r="J29" i="3"/>
  <c r="I29" i="3"/>
  <c r="F29" i="3"/>
  <c r="H29" i="3"/>
  <c r="G29" i="3"/>
  <c r="D29" i="3"/>
  <c r="B29" i="3"/>
  <c r="C29" i="3"/>
  <c r="K29" i="3"/>
  <c r="J5" i="3"/>
  <c r="F5" i="3"/>
  <c r="E5" i="3"/>
  <c r="I5" i="3"/>
  <c r="D5" i="3"/>
  <c r="C5" i="3"/>
  <c r="K5" i="3"/>
  <c r="B5" i="3"/>
  <c r="H5" i="3"/>
  <c r="G5" i="3"/>
  <c r="B21" i="3"/>
  <c r="K21" i="3"/>
  <c r="G21" i="3"/>
  <c r="F21" i="3"/>
  <c r="E21" i="3"/>
  <c r="H21" i="3"/>
  <c r="I21" i="3"/>
  <c r="J21" i="3"/>
  <c r="D21" i="3"/>
  <c r="C21" i="3"/>
  <c r="F14" i="3"/>
  <c r="E14" i="3"/>
  <c r="D14" i="3"/>
  <c r="C14" i="3"/>
  <c r="G14" i="3"/>
  <c r="B14" i="3"/>
  <c r="I14" i="3"/>
  <c r="K14" i="3"/>
  <c r="J14" i="3"/>
  <c r="H14" i="3"/>
  <c r="G38" i="3"/>
  <c r="K38" i="3"/>
  <c r="J38" i="3"/>
  <c r="I38" i="3"/>
  <c r="B38" i="3"/>
  <c r="D38" i="3"/>
  <c r="C38" i="3"/>
  <c r="F38" i="3"/>
  <c r="E38" i="3"/>
  <c r="H38" i="3"/>
  <c r="H41" i="3"/>
  <c r="J41" i="3"/>
  <c r="K41" i="3"/>
  <c r="I41" i="3"/>
  <c r="D41" i="3"/>
  <c r="C41" i="3"/>
  <c r="G41" i="3"/>
  <c r="L41" i="3" s="1"/>
  <c r="F41" i="3"/>
  <c r="E41" i="3"/>
  <c r="B41" i="3"/>
  <c r="E25" i="3"/>
  <c r="B25" i="3"/>
  <c r="H25" i="3"/>
  <c r="F25" i="3"/>
  <c r="K25" i="3"/>
  <c r="J25" i="3"/>
  <c r="I25" i="3"/>
  <c r="C25" i="3"/>
  <c r="G25" i="3"/>
  <c r="L25" i="3" s="1"/>
  <c r="D25" i="3"/>
  <c r="C39" i="3"/>
  <c r="B39" i="3"/>
  <c r="H39" i="3"/>
  <c r="G39" i="3"/>
  <c r="F39" i="3"/>
  <c r="E39" i="3"/>
  <c r="K39" i="3"/>
  <c r="I39" i="3"/>
  <c r="J39" i="3"/>
  <c r="D39" i="3"/>
  <c r="G35" i="3"/>
  <c r="K35" i="3"/>
  <c r="J35" i="3"/>
  <c r="I35" i="3"/>
  <c r="F35" i="3"/>
  <c r="E35" i="3"/>
  <c r="D35" i="3"/>
  <c r="C35" i="3"/>
  <c r="B35" i="3"/>
  <c r="H35" i="3"/>
  <c r="B36" i="3"/>
  <c r="J36" i="3"/>
  <c r="I36" i="3"/>
  <c r="C36" i="3"/>
  <c r="E36" i="3"/>
  <c r="G36" i="3"/>
  <c r="D36" i="3"/>
  <c r="K36" i="3"/>
  <c r="F36" i="3"/>
  <c r="H36" i="3"/>
  <c r="K30" i="3"/>
  <c r="B30" i="3"/>
  <c r="J30" i="3"/>
  <c r="F30" i="3"/>
  <c r="I30" i="3"/>
  <c r="H30" i="3"/>
  <c r="D30" i="3"/>
  <c r="E30" i="3"/>
  <c r="G30" i="3"/>
  <c r="C30" i="3"/>
  <c r="I33" i="3"/>
  <c r="D33" i="3"/>
  <c r="C33" i="3"/>
  <c r="H33" i="3"/>
  <c r="G33" i="3"/>
  <c r="F33" i="3"/>
  <c r="E33" i="3"/>
  <c r="B33" i="3"/>
  <c r="K33" i="3"/>
  <c r="J33" i="3"/>
  <c r="F7" i="3"/>
  <c r="B7" i="3"/>
  <c r="K7" i="3"/>
  <c r="I7" i="3"/>
  <c r="J7" i="3"/>
  <c r="D7" i="3"/>
  <c r="C7" i="3"/>
  <c r="H7" i="3"/>
  <c r="G7" i="3"/>
  <c r="E7" i="3"/>
  <c r="H15" i="3"/>
  <c r="G15" i="3"/>
  <c r="K15" i="3"/>
  <c r="F15" i="3"/>
  <c r="E15" i="3"/>
  <c r="J15" i="3"/>
  <c r="I15" i="3"/>
  <c r="B15" i="3"/>
  <c r="D15" i="3"/>
  <c r="C15" i="3"/>
  <c r="B13" i="3"/>
  <c r="F13" i="3"/>
  <c r="H13" i="3"/>
  <c r="K13" i="3"/>
  <c r="J13" i="3"/>
  <c r="I13" i="3"/>
  <c r="E13" i="3"/>
  <c r="G13" i="3"/>
  <c r="L13" i="3" s="1"/>
  <c r="D13" i="3"/>
  <c r="C13" i="3"/>
  <c r="F27" i="3"/>
  <c r="C27" i="3"/>
  <c r="K27" i="3"/>
  <c r="J27" i="3"/>
  <c r="B27" i="3"/>
  <c r="I27" i="3"/>
  <c r="E27" i="3"/>
  <c r="D27" i="3"/>
  <c r="H27" i="3"/>
  <c r="G27" i="3"/>
  <c r="H8" i="3"/>
  <c r="E8" i="3"/>
  <c r="D8" i="3"/>
  <c r="K8" i="3"/>
  <c r="J8" i="3"/>
  <c r="G8" i="3"/>
  <c r="I8" i="3"/>
  <c r="F8" i="3"/>
  <c r="B8" i="3"/>
  <c r="C8" i="3"/>
  <c r="J9" i="3"/>
  <c r="C9" i="3"/>
  <c r="B9" i="3"/>
  <c r="G9" i="3"/>
  <c r="E9" i="3"/>
  <c r="I9" i="3"/>
  <c r="H9" i="3"/>
  <c r="F9" i="3"/>
  <c r="D9" i="3"/>
  <c r="K9" i="3"/>
  <c r="K24" i="3"/>
  <c r="F24" i="3"/>
  <c r="E24" i="3"/>
  <c r="D24" i="3"/>
  <c r="C24" i="3"/>
  <c r="I24" i="3"/>
  <c r="H24" i="3"/>
  <c r="B24" i="3"/>
  <c r="G24" i="3"/>
  <c r="J24" i="3"/>
  <c r="C22" i="3"/>
  <c r="H22" i="3"/>
  <c r="C18" i="3"/>
  <c r="I22" i="3"/>
  <c r="L22" i="3" s="1"/>
  <c r="E18" i="3"/>
  <c r="K22" i="3"/>
  <c r="C12" i="3"/>
  <c r="K18" i="3"/>
  <c r="J22" i="3"/>
  <c r="B12" i="3"/>
  <c r="F18" i="3"/>
  <c r="C28" i="3"/>
  <c r="F32" i="3"/>
  <c r="D28" i="3"/>
  <c r="C32" i="3"/>
  <c r="D12" i="3"/>
  <c r="G32" i="3"/>
  <c r="D22" i="3"/>
  <c r="H28" i="3"/>
  <c r="E22" i="3"/>
  <c r="K28" i="3"/>
  <c r="H32" i="3"/>
  <c r="F22" i="3"/>
  <c r="I12" i="3"/>
  <c r="B18" i="3"/>
  <c r="G18" i="3"/>
  <c r="J12" i="3"/>
  <c r="L12" i="3" s="1"/>
  <c r="H18" i="3"/>
  <c r="J28" i="3"/>
  <c r="D18" i="3"/>
  <c r="B22" i="3"/>
  <c r="I18" i="3"/>
  <c r="L11" i="3" l="1"/>
  <c r="L39" i="3"/>
  <c r="L38" i="3"/>
  <c r="L33" i="3"/>
  <c r="L23" i="3"/>
  <c r="L17" i="3"/>
  <c r="L31" i="3"/>
  <c r="L8" i="3"/>
  <c r="L21" i="3"/>
  <c r="L14" i="3"/>
  <c r="L26" i="3"/>
  <c r="L10" i="3"/>
  <c r="L29" i="3"/>
  <c r="L5" i="3"/>
  <c r="L19" i="3"/>
  <c r="L20" i="3"/>
  <c r="L15" i="3"/>
  <c r="L28" i="3"/>
  <c r="L32" i="3"/>
  <c r="L7" i="3"/>
  <c r="L27" i="3"/>
  <c r="L36" i="3"/>
  <c r="L9" i="3"/>
  <c r="L40" i="3"/>
  <c r="L18" i="3"/>
  <c r="L35" i="3"/>
  <c r="L24" i="3"/>
  <c r="L30" i="3"/>
  <c r="L6" i="3"/>
  <c r="L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B00-000001000000}">
      <text>
        <r>
          <rPr>
            <sz val="10"/>
            <rFont val="Arial"/>
            <family val="2"/>
          </rPr>
          <t>Paste the KoboToolbox export here, headers in row 1 (XLS, "XML values and headers", groups not included in headers). Columns can be in any order: Field_Map finds each field by its header.</t>
        </r>
      </text>
    </comment>
  </commentList>
</comments>
</file>

<file path=xl/sharedStrings.xml><?xml version="1.0" encoding="utf-8"?>
<sst xmlns="http://schemas.openxmlformats.org/spreadsheetml/2006/main" count="5462" uniqueCount="1701">
  <si>
    <t>IDP Site Needs and Gap Tracker</t>
  </si>
  <si>
    <t>Self-directed practice project on SYNTHETIC data — not an operational deployment and not real household data</t>
  </si>
  <si>
    <t>What it does</t>
  </si>
  <si>
    <t>Takes household assessments collected with a KoboToolbox form and turns them into a site-management picture: one current record per household, what each household still needs, which sites fall below service reference values, which households need a visit this week, and draft quantities for technical review.</t>
  </si>
  <si>
    <t>Why it was built</t>
  </si>
  <si>
    <t>Shaped by supporting displaced families in school shelters in Rafah, where households were asked for the same information repeatedly without seeing what happened next. The design keeps one current record per household, shows what is still missing, and turns open issues into a visit list.</t>
  </si>
  <si>
    <t>Data flow</t>
  </si>
  <si>
    <t>1) Assessment form (IDP_Household_Needs_Assessment_XLSForm.xlsx, English and Arabic) → 2) Kobo_Import: paste the Kobo export here → 3) Import_Index: finds the latest consented assessment of each household → 4) Households: the current register → 5) Needs_Gaps: need, assistance received since that assessment, unmet need → 6) Follow_Up_List and Dashboard.</t>
  </si>
  <si>
    <t>Errors are prevented at collection</t>
  </si>
  <si>
    <t>The form enforces the rules before a submission is accepted: the four age groups must add up to the household size; pregnant or breastfeeding women cannot exceed women aged 12–49; winter-clothing gaps cannot exceed the number of children or adults; household codes must follow HH-000; shelter types are filtered by site. The tracker therefore does not clean data after the fact.</t>
  </si>
  <si>
    <t>History is kept</t>
  </si>
  <si>
    <t>A re-verification visit is a new submission, not an overwrite. Import_Index keeps every submission and marks the latest consented one per household (latest assessment date; if two fall on the same day, the one lower in the export). Assistance counts toward the current gap only if dated on or after that latest assessment, so items already counted as owned at re-verification are not subtracted twice.</t>
  </si>
  <si>
    <t>Data protection by design</t>
  </si>
  <si>
    <t>No names, ID numbers or phone numbers are collected. Households are identified by the code on their household card. Consent is asked first; if declined, the form ends and nothing is registered. Protection referrals carry no narrative detail.</t>
  </si>
  <si>
    <t>Priority flags</t>
  </si>
  <si>
    <t>The priority score only orders households for follow-up review by the responsible officer. It is not an eligibility or selection decision.</t>
  </si>
  <si>
    <t>Infant feeding</t>
  </si>
  <si>
    <t>Infant formula is never calculated as a distribution item. A reported infant-feeding difficulty triggers a referral to a nutrition / IYCF partner; the Referrals sheet records the partner’s outcome after assessment.</t>
  </si>
  <si>
    <t>Reference values</t>
  </si>
  <si>
    <t>People per tap, people per latrine and litres per person per day are indicative values from Sphere WASH indicators, used for practice; verify against the current Sphere Handbook and cluster guidance before any real use.</t>
  </si>
  <si>
    <t>Test it with your own Kobo account</t>
  </si>
  <si>
    <t>Upload the XLSForm to KoboToolbox, deploy it and submit a few test assessments. In Data → Downloads choose XLS, "XML values and headers", and untick "Include groups in headers". In a COPY of this workbook, paste the whole export (headers included) at cell A1 of Kobo_Import. Field_Map shows whether every field was found; the register rebuilds from your submissions in any column order. Logs that refer to synthetic codes will no longer match, which is expected in a test copy.</t>
  </si>
  <si>
    <t>Capacity</t>
  </si>
  <si>
    <t>Kobo_Import: 300 submissions and 104 columns. Register: 150 households.</t>
  </si>
  <si>
    <t>Colour legend</t>
  </si>
  <si>
    <t>Blue text = entered or imported data and assumptions. Black text on grey = formulas (do not overwrite). Grey headers = calculation columns. Status cells use colour and a text label, never colour alone.</t>
  </si>
  <si>
    <t>Scenario date</t>
  </si>
  <si>
    <t>Days-open and days-since-assessment calculations use the scenario date in Settings (synthetic winter scenario).</t>
  </si>
  <si>
    <t>IDP Site Needs and Gap Dashboard</t>
  </si>
  <si>
    <t>Synthetic practice data — scenario date:</t>
  </si>
  <si>
    <t>Key figures</t>
  </si>
  <si>
    <t>Households registered (consented)</t>
  </si>
  <si>
    <t>Individuals</t>
  </si>
  <si>
    <t>Assessments submitted (incl. re-verification)</t>
  </si>
  <si>
    <t>Re-verification visits</t>
  </si>
  <si>
    <t>Consent declined (nothing registered)</t>
  </si>
  <si>
    <t>Households with an unmet need</t>
  </si>
  <si>
    <t>Share of households with an unmet need</t>
  </si>
  <si>
    <t>High-priority households (for review)</t>
  </si>
  <si>
    <t>Households on this week’s follow-up list</t>
  </si>
  <si>
    <t>Households due for re-verification</t>
  </si>
  <si>
    <t>IYCF referrals still to be made</t>
  </si>
  <si>
    <t>Open referrals</t>
  </si>
  <si>
    <t>Overdue referrals</t>
  </si>
  <si>
    <t>Open maintenance issues</t>
  </si>
  <si>
    <t>Open safety-related issues</t>
  </si>
  <si>
    <t>Draft quantities, estimated cost (USD, illustrative)</t>
  </si>
  <si>
    <t>Assessed need and coverage by item (assistance since latest assessment)</t>
  </si>
  <si>
    <t>Item</t>
  </si>
  <si>
    <t>Unit</t>
  </si>
  <si>
    <t>Total need</t>
  </si>
  <si>
    <t>Unmet</t>
  </si>
  <si>
    <t>Covered</t>
  </si>
  <si>
    <t>Share of need met</t>
  </si>
  <si>
    <t>Blankets</t>
  </si>
  <si>
    <t>pcs</t>
  </si>
  <si>
    <t>Mattresses</t>
  </si>
  <si>
    <t>Tarpaulins</t>
  </si>
  <si>
    <t>sheets</t>
  </si>
  <si>
    <t>Tent replacement</t>
  </si>
  <si>
    <t>tents</t>
  </si>
  <si>
    <t>Shelter repair kits</t>
  </si>
  <si>
    <t>kits</t>
  </si>
  <si>
    <t>Winter clothing – children</t>
  </si>
  <si>
    <t>sets</t>
  </si>
  <si>
    <t>Winter clothing – adults</t>
  </si>
  <si>
    <t>Diapers</t>
  </si>
  <si>
    <t>packs/month</t>
  </si>
  <si>
    <t>Family hygiene kits</t>
  </si>
  <si>
    <t>kits/month</t>
  </si>
  <si>
    <t>Menstrual hygiene kits</t>
  </si>
  <si>
    <t>Households by site</t>
  </si>
  <si>
    <t>Site</t>
  </si>
  <si>
    <t>Households</t>
  </si>
  <si>
    <t>With multiple gaps</t>
  </si>
  <si>
    <t>Share with multiple gaps</t>
  </si>
  <si>
    <t>High priority</t>
  </si>
  <si>
    <t>Site A – School Shelter</t>
  </si>
  <si>
    <t>Site B – School Shelter</t>
  </si>
  <si>
    <t>Site C – Informal Tent Area</t>
  </si>
  <si>
    <t>Site D – Collective Centre</t>
  </si>
  <si>
    <t>Follow-up reasons this week (households; one household can have several)</t>
  </si>
  <si>
    <t>Reason</t>
  </si>
  <si>
    <t>Overdue referral</t>
  </si>
  <si>
    <t>IYCF referral still to be made</t>
  </si>
  <si>
    <t>Tent replacement pending</t>
  </si>
  <si>
    <t>Household shelter repair open</t>
  </si>
  <si>
    <t>Re-verification due</t>
  </si>
  <si>
    <t>Referrals by service</t>
  </si>
  <si>
    <t>Service</t>
  </si>
  <si>
    <t>Total</t>
  </si>
  <si>
    <t>Open</t>
  </si>
  <si>
    <t>Overdue</t>
  </si>
  <si>
    <t>Nutrition / IYCF</t>
  </si>
  <si>
    <t>Health</t>
  </si>
  <si>
    <t>Disability services</t>
  </si>
  <si>
    <t>Protection</t>
  </si>
  <si>
    <t>Shelter / NFI</t>
  </si>
  <si>
    <t>Nutrition / IYCF referrals: partner outcome (no formula is distributed by the site team)</t>
  </si>
  <si>
    <t>Outcome</t>
  </si>
  <si>
    <t>Referrals</t>
  </si>
  <si>
    <t>Assessment pending</t>
  </si>
  <si>
    <t>Breastfeeding support provided</t>
  </si>
  <si>
    <t>Infant formula provided by nutrition partner after assessment</t>
  </si>
  <si>
    <t>Referred to health facility</t>
  </si>
  <si>
    <t>Site services against indicative Sphere reference values</t>
  </si>
  <si>
    <t>People per tap</t>
  </si>
  <si>
    <t>Tap status</t>
  </si>
  <si>
    <t>People per latrine</t>
  </si>
  <si>
    <t>Latrine status</t>
  </si>
  <si>
    <t>Litres per person per day</t>
  </si>
  <si>
    <t>Water status</t>
  </si>
  <si>
    <t>Households by priority band (order for follow-up review, not eligibility)</t>
  </si>
  <si>
    <t>Band</t>
  </si>
  <si>
    <t>High</t>
  </si>
  <si>
    <t>Medium</t>
  </si>
  <si>
    <t>Low</t>
  </si>
  <si>
    <t>Weekly follow-up visit list</t>
  </si>
  <si>
    <t>Households to visit:</t>
  </si>
  <si>
    <t>Week of:</t>
  </si>
  <si>
    <t>Households with at least one open issue, ordered by number of reasons, then priority score, then code. A visit that updates the household is recorded as a re-verification submission in Kobo.</t>
  </si>
  <si>
    <t>#</t>
  </si>
  <si>
    <t>HH code</t>
  </si>
  <si>
    <t>Shelter</t>
  </si>
  <si>
    <t>Priority band</t>
  </si>
  <si>
    <t>Reasons</t>
  </si>
  <si>
    <t>IYCF referral</t>
  </si>
  <si>
    <t>Shelter repair open</t>
  </si>
  <si>
    <t>Suggested actions for the visit</t>
  </si>
  <si>
    <t>Sort key</t>
  </si>
  <si>
    <t>Register row</t>
  </si>
  <si>
    <t>Household register — latest consented assessment per household</t>
  </si>
  <si>
    <t>Every cell is a formula reading Kobo_Import through Import_Index. Do not type here: a correction is a new submission (re-verification) in Kobo.</t>
  </si>
  <si>
    <t>Shelter type</t>
  </si>
  <si>
    <t>Shelter condition</t>
  </si>
  <si>
    <t>Registration date</t>
  </si>
  <si>
    <t>Latest assessment</t>
  </si>
  <si>
    <t>Assessments</t>
  </si>
  <si>
    <t>Household size</t>
  </si>
  <si>
    <t>Female-headed</t>
  </si>
  <si>
    <t>Children under 2</t>
  </si>
  <si>
    <t>Children 2–17</t>
  </si>
  <si>
    <t>Adults 18–59</t>
  </si>
  <si>
    <t>Older persons 60+</t>
  </si>
  <si>
    <t>Women &amp; girls 12–49</t>
  </si>
  <si>
    <t>Pregnant / breast-feeding</t>
  </si>
  <si>
    <t>Persons with difficulties (WG domains)</t>
  </si>
  <si>
    <t>Blankets owned</t>
  </si>
  <si>
    <t>Mattresses owned</t>
  </si>
  <si>
    <t>Children without winter clothes</t>
  </si>
  <si>
    <t>Adults without winter clothes</t>
  </si>
  <si>
    <t>Infant feeding difficulty</t>
  </si>
  <si>
    <t>Days since latest assessment</t>
  </si>
  <si>
    <t>Priority score</t>
  </si>
  <si>
    <t>Priority band (review)</t>
  </si>
  <si>
    <t>Follow-up reasons</t>
  </si>
  <si>
    <t>Follow-up sort key</t>
  </si>
  <si>
    <t>Source row in Kobo_Import</t>
  </si>
  <si>
    <t>Needs, assistance received since the latest assessment, and unmet need</t>
  </si>
  <si>
    <t>Need = from the latest assessment and the Settings ratios. Received = Assistance_Log on or after that assessment. Unmet = need not yet covered.</t>
  </si>
  <si>
    <t>Need (pcs)</t>
  </si>
  <si>
    <t>Received</t>
  </si>
  <si>
    <t>Need (sheets)</t>
  </si>
  <si>
    <t>Need (tents)</t>
  </si>
  <si>
    <t>Need (kits)</t>
  </si>
  <si>
    <t>Need (sets)</t>
  </si>
  <si>
    <t>Need (packs/month)</t>
  </si>
  <si>
    <t>Need (kits/month)</t>
  </si>
  <si>
    <t>Any unmet need</t>
  </si>
  <si>
    <t>Item types with a gap</t>
  </si>
  <si>
    <t>Assistance received (synthetic distribution records)</t>
  </si>
  <si>
    <t>One row per delivery. Only deliveries on or after the household’s latest assessment count toward its current gap; earlier ones are already reflected in what the household reported owning.</t>
  </si>
  <si>
    <t>Record ID</t>
  </si>
  <si>
    <t>Date</t>
  </si>
  <si>
    <t>Site (from register)</t>
  </si>
  <si>
    <t>Quantity</t>
  </si>
  <si>
    <t>Provider</t>
  </si>
  <si>
    <t>Signed receipt</t>
  </si>
  <si>
    <t>Counts toward current gap</t>
  </si>
  <si>
    <t>AR-0001</t>
  </si>
  <si>
    <t>HH-008</t>
  </si>
  <si>
    <t>Agency D (Child support) – synthetic</t>
  </si>
  <si>
    <t>Yes</t>
  </si>
  <si>
    <t>AR-0002</t>
  </si>
  <si>
    <t>HH-029</t>
  </si>
  <si>
    <t>Agency A (NFI) – synthetic</t>
  </si>
  <si>
    <t>AR-0003</t>
  </si>
  <si>
    <t>HH-011</t>
  </si>
  <si>
    <t>AR-0004</t>
  </si>
  <si>
    <t>Community donation – synthetic</t>
  </si>
  <si>
    <t>AR-0005</t>
  </si>
  <si>
    <t>Agency C (WASH) – synthetic</t>
  </si>
  <si>
    <t>AR-0006</t>
  </si>
  <si>
    <t>HH-038</t>
  </si>
  <si>
    <t>AR-0007</t>
  </si>
  <si>
    <t>HH-049</t>
  </si>
  <si>
    <t>AR-0008</t>
  </si>
  <si>
    <t>HH-037</t>
  </si>
  <si>
    <t>AR-0009</t>
  </si>
  <si>
    <t>HH-063</t>
  </si>
  <si>
    <t>AR-0010</t>
  </si>
  <si>
    <t>HH-070</t>
  </si>
  <si>
    <t>AR-0011</t>
  </si>
  <si>
    <t>AR-0012</t>
  </si>
  <si>
    <t>HH-074</t>
  </si>
  <si>
    <t>AR-0013</t>
  </si>
  <si>
    <t>HH-081</t>
  </si>
  <si>
    <t>AR-0014</t>
  </si>
  <si>
    <t>HH-065</t>
  </si>
  <si>
    <t>AR-0015</t>
  </si>
  <si>
    <t>AR-0016</t>
  </si>
  <si>
    <t>HH-012</t>
  </si>
  <si>
    <t>AR-0017</t>
  </si>
  <si>
    <t>HH-032</t>
  </si>
  <si>
    <t>AR-0018</t>
  </si>
  <si>
    <t>AR-0019</t>
  </si>
  <si>
    <t>AR-0020</t>
  </si>
  <si>
    <t>AR-0021</t>
  </si>
  <si>
    <t>AR-0022</t>
  </si>
  <si>
    <t>AR-0023</t>
  </si>
  <si>
    <t>HH-120</t>
  </si>
  <si>
    <t>AR-0024</t>
  </si>
  <si>
    <t>AR-0025</t>
  </si>
  <si>
    <t>AR-0026</t>
  </si>
  <si>
    <t>AR-0027</t>
  </si>
  <si>
    <t>HH-075</t>
  </si>
  <si>
    <t>AR-0028</t>
  </si>
  <si>
    <t>AR-0029</t>
  </si>
  <si>
    <t>HH-046</t>
  </si>
  <si>
    <t>AR-0030</t>
  </si>
  <si>
    <t>HH-025</t>
  </si>
  <si>
    <t>AR-0031</t>
  </si>
  <si>
    <t>HH-031</t>
  </si>
  <si>
    <t>AR-0032</t>
  </si>
  <si>
    <t>HH-035</t>
  </si>
  <si>
    <t>AR-0033</t>
  </si>
  <si>
    <t>HH-048</t>
  </si>
  <si>
    <t>AR-0034</t>
  </si>
  <si>
    <t>HH-098</t>
  </si>
  <si>
    <t>AR-0035</t>
  </si>
  <si>
    <t>HH-044</t>
  </si>
  <si>
    <t>AR-0036</t>
  </si>
  <si>
    <t>AR-0037</t>
  </si>
  <si>
    <t>HH-059</t>
  </si>
  <si>
    <t>AR-0038</t>
  </si>
  <si>
    <t>HH-061</t>
  </si>
  <si>
    <t>AR-0039</t>
  </si>
  <si>
    <t>AR-0040</t>
  </si>
  <si>
    <t>AR-0041</t>
  </si>
  <si>
    <t>HH-111</t>
  </si>
  <si>
    <t>AR-0042</t>
  </si>
  <si>
    <t>AR-0043</t>
  </si>
  <si>
    <t>HH-005</t>
  </si>
  <si>
    <t>AR-0044</t>
  </si>
  <si>
    <t>HH-033</t>
  </si>
  <si>
    <t>AR-0045</t>
  </si>
  <si>
    <t>AR-0046</t>
  </si>
  <si>
    <t>HH-001</t>
  </si>
  <si>
    <t>AR-0047</t>
  </si>
  <si>
    <t>HH-020</t>
  </si>
  <si>
    <t>AR-0048</t>
  </si>
  <si>
    <t>AR-0049</t>
  </si>
  <si>
    <t>AR-0050</t>
  </si>
  <si>
    <t>AR-0051</t>
  </si>
  <si>
    <t>AR-0052</t>
  </si>
  <si>
    <t>HH-100</t>
  </si>
  <si>
    <t>AR-0053</t>
  </si>
  <si>
    <t>AR-0054</t>
  </si>
  <si>
    <t>AR-0055</t>
  </si>
  <si>
    <t>HH-016</t>
  </si>
  <si>
    <t>AR-0056</t>
  </si>
  <si>
    <t>AR-0057</t>
  </si>
  <si>
    <t>HH-069</t>
  </si>
  <si>
    <t>AR-0058</t>
  </si>
  <si>
    <t>HH-101</t>
  </si>
  <si>
    <t>AR-0059</t>
  </si>
  <si>
    <t>HH-116</t>
  </si>
  <si>
    <t>AR-0060</t>
  </si>
  <si>
    <t>AR-0061</t>
  </si>
  <si>
    <t>HH-009</t>
  </si>
  <si>
    <t>AR-0062</t>
  </si>
  <si>
    <t>AR-0063</t>
  </si>
  <si>
    <t>HH-018</t>
  </si>
  <si>
    <t>AR-0064</t>
  </si>
  <si>
    <t>AR-0065</t>
  </si>
  <si>
    <t>HH-045</t>
  </si>
  <si>
    <t>AR-0066</t>
  </si>
  <si>
    <t>AR-0067</t>
  </si>
  <si>
    <t>AR-0068</t>
  </si>
  <si>
    <t>HH-076</t>
  </si>
  <si>
    <t>AR-0069</t>
  </si>
  <si>
    <t>AR-0070</t>
  </si>
  <si>
    <t>AR-0071</t>
  </si>
  <si>
    <t>HH-003</t>
  </si>
  <si>
    <t>AR-0072</t>
  </si>
  <si>
    <t>HH-004</t>
  </si>
  <si>
    <t>AR-0073</t>
  </si>
  <si>
    <t>HH-054</t>
  </si>
  <si>
    <t>AR-0074</t>
  </si>
  <si>
    <t>HH-078</t>
  </si>
  <si>
    <t>AR-0075</t>
  </si>
  <si>
    <t>HH-080</t>
  </si>
  <si>
    <t>AR-0076</t>
  </si>
  <si>
    <t>HH-085</t>
  </si>
  <si>
    <t>AR-0077</t>
  </si>
  <si>
    <t>AR-0078</t>
  </si>
  <si>
    <t>AR-0079</t>
  </si>
  <si>
    <t>AR-0080</t>
  </si>
  <si>
    <t>AR-0081</t>
  </si>
  <si>
    <t>AR-0082</t>
  </si>
  <si>
    <t>AR-0083</t>
  </si>
  <si>
    <t>AR-0084</t>
  </si>
  <si>
    <t>HH-014</t>
  </si>
  <si>
    <t>AR-0085</t>
  </si>
  <si>
    <t>HH-042</t>
  </si>
  <si>
    <t>AR-0086</t>
  </si>
  <si>
    <t>AR-0087</t>
  </si>
  <si>
    <t>HH-058</t>
  </si>
  <si>
    <t>AR-0088</t>
  </si>
  <si>
    <t>HH-086</t>
  </si>
  <si>
    <t>AR-0089</t>
  </si>
  <si>
    <t>AR-0090</t>
  </si>
  <si>
    <t>HH-110</t>
  </si>
  <si>
    <t>AR-0091</t>
  </si>
  <si>
    <t>AR-0092</t>
  </si>
  <si>
    <t>AR-0093</t>
  </si>
  <si>
    <t>HH-039</t>
  </si>
  <si>
    <t>No</t>
  </si>
  <si>
    <t>AR-0094</t>
  </si>
  <si>
    <t>AR-0095</t>
  </si>
  <si>
    <t>HH-079</t>
  </si>
  <si>
    <t>AR-0096</t>
  </si>
  <si>
    <t>AR-0097</t>
  </si>
  <si>
    <t>HH-021</t>
  </si>
  <si>
    <t>AR-0098</t>
  </si>
  <si>
    <t>HH-027</t>
  </si>
  <si>
    <t>AR-0099</t>
  </si>
  <si>
    <t>AR-0100</t>
  </si>
  <si>
    <t>AR-0101</t>
  </si>
  <si>
    <t>AR-0102</t>
  </si>
  <si>
    <t>HH-088</t>
  </si>
  <si>
    <t>AR-0103</t>
  </si>
  <si>
    <t>HH-117</t>
  </si>
  <si>
    <t>AR-0104</t>
  </si>
  <si>
    <t>AR-0105</t>
  </si>
  <si>
    <t>AR-0106</t>
  </si>
  <si>
    <t>AR-0107</t>
  </si>
  <si>
    <t>AR-0108</t>
  </si>
  <si>
    <t>HH-055</t>
  </si>
  <si>
    <t>AR-0109</t>
  </si>
  <si>
    <t>AR-0110</t>
  </si>
  <si>
    <t>Agency B (Shelter) – synthetic</t>
  </si>
  <si>
    <t>AR-0111</t>
  </si>
  <si>
    <t>AR-0112</t>
  </si>
  <si>
    <t>HH-105</t>
  </si>
  <si>
    <t>AR-0113</t>
  </si>
  <si>
    <t>AR-0114</t>
  </si>
  <si>
    <t>AR-0115</t>
  </si>
  <si>
    <t>AR-0116</t>
  </si>
  <si>
    <t>HH-034</t>
  </si>
  <si>
    <t>AR-0117</t>
  </si>
  <si>
    <t>AR-0118</t>
  </si>
  <si>
    <t>AR-0119</t>
  </si>
  <si>
    <t>HH-056</t>
  </si>
  <si>
    <t>AR-0120</t>
  </si>
  <si>
    <t>AR-0121</t>
  </si>
  <si>
    <t>AR-0122</t>
  </si>
  <si>
    <t>HH-090</t>
  </si>
  <si>
    <t>AR-0123</t>
  </si>
  <si>
    <t>HH-092</t>
  </si>
  <si>
    <t>AR-0124</t>
  </si>
  <si>
    <t>AR-0125</t>
  </si>
  <si>
    <t>AR-0126</t>
  </si>
  <si>
    <t>HH-047</t>
  </si>
  <si>
    <t>AR-0127</t>
  </si>
  <si>
    <t>AR-0128</t>
  </si>
  <si>
    <t>HH-077</t>
  </si>
  <si>
    <t>AR-0129</t>
  </si>
  <si>
    <t>HH-084</t>
  </si>
  <si>
    <t>AR-0130</t>
  </si>
  <si>
    <t>AR-0131</t>
  </si>
  <si>
    <t>AR-0132</t>
  </si>
  <si>
    <t>AR-0133</t>
  </si>
  <si>
    <t>AR-0134</t>
  </si>
  <si>
    <t>AR-0135</t>
  </si>
  <si>
    <t>HH-019</t>
  </si>
  <si>
    <t>AR-0136</t>
  </si>
  <si>
    <t>HH-030</t>
  </si>
  <si>
    <t>AR-0137</t>
  </si>
  <si>
    <t>HH-040</t>
  </si>
  <si>
    <t>AR-0138</t>
  </si>
  <si>
    <t>AR-0139</t>
  </si>
  <si>
    <t>AR-0140</t>
  </si>
  <si>
    <t>AR-0141</t>
  </si>
  <si>
    <t>AR-0142</t>
  </si>
  <si>
    <t>AR-0143</t>
  </si>
  <si>
    <t>HH-023</t>
  </si>
  <si>
    <t>AR-0144</t>
  </si>
  <si>
    <t>AR-0145</t>
  </si>
  <si>
    <t>HH-036</t>
  </si>
  <si>
    <t>AR-0146</t>
  </si>
  <si>
    <t>AR-0147</t>
  </si>
  <si>
    <t>AR-0148</t>
  </si>
  <si>
    <t>AR-0149</t>
  </si>
  <si>
    <t>AR-0150</t>
  </si>
  <si>
    <t>HH-067</t>
  </si>
  <si>
    <t>AR-0151</t>
  </si>
  <si>
    <t>HH-073</t>
  </si>
  <si>
    <t>AR-0152</t>
  </si>
  <si>
    <t>AR-0153</t>
  </si>
  <si>
    <t>AR-0154</t>
  </si>
  <si>
    <t>AR-0155</t>
  </si>
  <si>
    <t>HH-096</t>
  </si>
  <si>
    <t>AR-0156</t>
  </si>
  <si>
    <t>AR-0157</t>
  </si>
  <si>
    <t>AR-0158</t>
  </si>
  <si>
    <t>AR-0159</t>
  </si>
  <si>
    <t>AR-0160</t>
  </si>
  <si>
    <t>AR-0161</t>
  </si>
  <si>
    <t>AR-0162</t>
  </si>
  <si>
    <t>AR-0163</t>
  </si>
  <si>
    <t>HH-062</t>
  </si>
  <si>
    <t>AR-0164</t>
  </si>
  <si>
    <t>AR-0165</t>
  </si>
  <si>
    <t>HH-066</t>
  </si>
  <si>
    <t>AR-0166</t>
  </si>
  <si>
    <t>HH-071</t>
  </si>
  <si>
    <t>AR-0167</t>
  </si>
  <si>
    <t>AR-0168</t>
  </si>
  <si>
    <t>HH-094</t>
  </si>
  <si>
    <t>AR-0169</t>
  </si>
  <si>
    <t>HH-108</t>
  </si>
  <si>
    <t>AR-0170</t>
  </si>
  <si>
    <t>AR-0171</t>
  </si>
  <si>
    <t>HH-010</t>
  </si>
  <si>
    <t>AR-0172</t>
  </si>
  <si>
    <t>AR-0173</t>
  </si>
  <si>
    <t>AR-0174</t>
  </si>
  <si>
    <t>AR-0175</t>
  </si>
  <si>
    <t>AR-0176</t>
  </si>
  <si>
    <t>AR-0177</t>
  </si>
  <si>
    <t>AR-0178</t>
  </si>
  <si>
    <t>HH-102</t>
  </si>
  <si>
    <t>AR-0179</t>
  </si>
  <si>
    <t>HH-013</t>
  </si>
  <si>
    <t>AR-0180</t>
  </si>
  <si>
    <t>AR-0181</t>
  </si>
  <si>
    <t>AR-0182</t>
  </si>
  <si>
    <t>HH-024</t>
  </si>
  <si>
    <t>AR-0183</t>
  </si>
  <si>
    <t>AR-0184</t>
  </si>
  <si>
    <t>AR-0185</t>
  </si>
  <si>
    <t>HH-053</t>
  </si>
  <si>
    <t>AR-0186</t>
  </si>
  <si>
    <t>HH-057</t>
  </si>
  <si>
    <t>AR-0187</t>
  </si>
  <si>
    <t>HH-060</t>
  </si>
  <si>
    <t>AR-0188</t>
  </si>
  <si>
    <t>AR-0189</t>
  </si>
  <si>
    <t>AR-0190</t>
  </si>
  <si>
    <t>HH-109</t>
  </si>
  <si>
    <t>AR-0191</t>
  </si>
  <si>
    <t>AR-0192</t>
  </si>
  <si>
    <t>AR-0193</t>
  </si>
  <si>
    <t>AR-0194</t>
  </si>
  <si>
    <t>AR-0195</t>
  </si>
  <si>
    <t>HH-022</t>
  </si>
  <si>
    <t>AR-0196</t>
  </si>
  <si>
    <t>AR-0197</t>
  </si>
  <si>
    <t>HH-064</t>
  </si>
  <si>
    <t>AR-0198</t>
  </si>
  <si>
    <t>AR-0199</t>
  </si>
  <si>
    <t>AR-0200</t>
  </si>
  <si>
    <t>HH-087</t>
  </si>
  <si>
    <t>AR-0201</t>
  </si>
  <si>
    <t>AR-0202</t>
  </si>
  <si>
    <t>AR-0203</t>
  </si>
  <si>
    <t>AR-0204</t>
  </si>
  <si>
    <t>AR-0205</t>
  </si>
  <si>
    <t>AR-0206</t>
  </si>
  <si>
    <t>AR-0207</t>
  </si>
  <si>
    <t>AR-0208</t>
  </si>
  <si>
    <t>AR-0209</t>
  </si>
  <si>
    <t>AR-0210</t>
  </si>
  <si>
    <t>AR-0211</t>
  </si>
  <si>
    <t>AR-0212</t>
  </si>
  <si>
    <t>AR-0213</t>
  </si>
  <si>
    <t>AR-0214</t>
  </si>
  <si>
    <t>HH-041</t>
  </si>
  <si>
    <t>AR-0215</t>
  </si>
  <si>
    <t>AR-0216</t>
  </si>
  <si>
    <t>AR-0217</t>
  </si>
  <si>
    <t>HH-043</t>
  </si>
  <si>
    <t>AR-0218</t>
  </si>
  <si>
    <t>AR-0219</t>
  </si>
  <si>
    <t>AR-0220</t>
  </si>
  <si>
    <t>AR-0221</t>
  </si>
  <si>
    <t>AR-0222</t>
  </si>
  <si>
    <t>AR-0223</t>
  </si>
  <si>
    <t>AR-0224</t>
  </si>
  <si>
    <t>AR-0225</t>
  </si>
  <si>
    <t>AR-0226</t>
  </si>
  <si>
    <t>AR-0227</t>
  </si>
  <si>
    <t>HH-089</t>
  </si>
  <si>
    <t>AR-0228</t>
  </si>
  <si>
    <t>AR-0229</t>
  </si>
  <si>
    <t>AR-0230</t>
  </si>
  <si>
    <t>HH-103</t>
  </si>
  <si>
    <t>AR-0231</t>
  </si>
  <si>
    <t>HH-112</t>
  </si>
  <si>
    <t>AR-0232</t>
  </si>
  <si>
    <t>HH-006</t>
  </si>
  <si>
    <t>AR-0233</t>
  </si>
  <si>
    <t>AR-0234</t>
  </si>
  <si>
    <t>AR-0235</t>
  </si>
  <si>
    <t>AR-0236</t>
  </si>
  <si>
    <t>AR-0237</t>
  </si>
  <si>
    <t>AR-0238</t>
  </si>
  <si>
    <t>AR-0239</t>
  </si>
  <si>
    <t>AR-0240</t>
  </si>
  <si>
    <t>AR-0241</t>
  </si>
  <si>
    <t>AR-0242</t>
  </si>
  <si>
    <t>AR-0243</t>
  </si>
  <si>
    <t>HH-095</t>
  </si>
  <si>
    <t>AR-0244</t>
  </si>
  <si>
    <t>HH-107</t>
  </si>
  <si>
    <t>AR-0245</t>
  </si>
  <si>
    <t>AR-0246</t>
  </si>
  <si>
    <t>AR-0247</t>
  </si>
  <si>
    <t>AR-0248</t>
  </si>
  <si>
    <t>AR-0249</t>
  </si>
  <si>
    <t>AR-0250</t>
  </si>
  <si>
    <t>HH-072</t>
  </si>
  <si>
    <t>AR-0251</t>
  </si>
  <si>
    <t>AR-0252</t>
  </si>
  <si>
    <t>AR-0253</t>
  </si>
  <si>
    <t>AR-0254</t>
  </si>
  <si>
    <t>AR-0255</t>
  </si>
  <si>
    <t>AR-0256</t>
  </si>
  <si>
    <t>AR-0257</t>
  </si>
  <si>
    <t>AR-0258</t>
  </si>
  <si>
    <t>AR-0259</t>
  </si>
  <si>
    <t>AR-0260</t>
  </si>
  <si>
    <t>AR-0261</t>
  </si>
  <si>
    <t>AR-0262</t>
  </si>
  <si>
    <t>AR-0263</t>
  </si>
  <si>
    <t>AR-0264</t>
  </si>
  <si>
    <t>HH-052</t>
  </si>
  <si>
    <t>AR-0265</t>
  </si>
  <si>
    <t>AR-0266</t>
  </si>
  <si>
    <t>AR-0267</t>
  </si>
  <si>
    <t>AR-0268</t>
  </si>
  <si>
    <t>AR-0269</t>
  </si>
  <si>
    <t>AR-0270</t>
  </si>
  <si>
    <t>AR-0271</t>
  </si>
  <si>
    <t>HH-097</t>
  </si>
  <si>
    <t>AR-0272</t>
  </si>
  <si>
    <t>HH-106</t>
  </si>
  <si>
    <t>AR-0273</t>
  </si>
  <si>
    <t>AR-0274</t>
  </si>
  <si>
    <t>AR-0275</t>
  </si>
  <si>
    <t>AR-0276</t>
  </si>
  <si>
    <t>AR-0277</t>
  </si>
  <si>
    <t>AR-0278</t>
  </si>
  <si>
    <t>HH-015</t>
  </si>
  <si>
    <t>AR-0279</t>
  </si>
  <si>
    <t>AR-0280</t>
  </si>
  <si>
    <t>AR-0281</t>
  </si>
  <si>
    <t>AR-0282</t>
  </si>
  <si>
    <t>AR-0283</t>
  </si>
  <si>
    <t>AR-0284</t>
  </si>
  <si>
    <t>AR-0285</t>
  </si>
  <si>
    <t>AR-0286</t>
  </si>
  <si>
    <t>AR-0287</t>
  </si>
  <si>
    <t>AR-0288</t>
  </si>
  <si>
    <t>AR-0289</t>
  </si>
  <si>
    <t>AR-0290</t>
  </si>
  <si>
    <t>AR-0291</t>
  </si>
  <si>
    <t>AR-0292</t>
  </si>
  <si>
    <t>AR-0293</t>
  </si>
  <si>
    <t>HH-119</t>
  </si>
  <si>
    <t>AR-0294</t>
  </si>
  <si>
    <t>AR-0295</t>
  </si>
  <si>
    <t>AR-0296</t>
  </si>
  <si>
    <t>HH-026</t>
  </si>
  <si>
    <t>AR-0297</t>
  </si>
  <si>
    <t>AR-0298</t>
  </si>
  <si>
    <t>HH-028</t>
  </si>
  <si>
    <t>AR-0299</t>
  </si>
  <si>
    <t>AR-0300</t>
  </si>
  <si>
    <t>AR-0301</t>
  </si>
  <si>
    <t>AR-0302</t>
  </si>
  <si>
    <t>HH-051</t>
  </si>
  <si>
    <t>AR-0303</t>
  </si>
  <si>
    <t>AR-0304</t>
  </si>
  <si>
    <t>AR-0305</t>
  </si>
  <si>
    <t>AR-0306</t>
  </si>
  <si>
    <t>AR-0307</t>
  </si>
  <si>
    <t>AR-0308</t>
  </si>
  <si>
    <t>AR-0309</t>
  </si>
  <si>
    <t>HH-083</t>
  </si>
  <si>
    <t>AR-0310</t>
  </si>
  <si>
    <t>AR-0311</t>
  </si>
  <si>
    <t>AR-0312</t>
  </si>
  <si>
    <t>AR-0313</t>
  </si>
  <si>
    <t>AR-0314</t>
  </si>
  <si>
    <t>HH-093</t>
  </si>
  <si>
    <t>AR-0315</t>
  </si>
  <si>
    <t>AR-0316</t>
  </si>
  <si>
    <t>AR-0317</t>
  </si>
  <si>
    <t>HH-104</t>
  </si>
  <si>
    <t>AR-0318</t>
  </si>
  <si>
    <t>HH-115</t>
  </si>
  <si>
    <t>AR-0319</t>
  </si>
  <si>
    <t>AR-0320</t>
  </si>
  <si>
    <t>HH-002</t>
  </si>
  <si>
    <t>AR-0321</t>
  </si>
  <si>
    <t>AR-0322</t>
  </si>
  <si>
    <t>AR-0323</t>
  </si>
  <si>
    <t>HH-007</t>
  </si>
  <si>
    <t>AR-0324</t>
  </si>
  <si>
    <t>AR-0325</t>
  </si>
  <si>
    <t>AR-0326</t>
  </si>
  <si>
    <t>AR-0327</t>
  </si>
  <si>
    <t>AR-0328</t>
  </si>
  <si>
    <t>AR-0329</t>
  </si>
  <si>
    <t>AR-0330</t>
  </si>
  <si>
    <t>AR-0331</t>
  </si>
  <si>
    <t>AR-0332</t>
  </si>
  <si>
    <t>AR-0333</t>
  </si>
  <si>
    <t>AR-0334</t>
  </si>
  <si>
    <t>AR-0335</t>
  </si>
  <si>
    <t>AR-0336</t>
  </si>
  <si>
    <t>AR-0337</t>
  </si>
  <si>
    <t>AR-0338</t>
  </si>
  <si>
    <t>HH-113</t>
  </si>
  <si>
    <t>AR-0339</t>
  </si>
  <si>
    <t>AR-0340</t>
  </si>
  <si>
    <t>AR-0341</t>
  </si>
  <si>
    <t>AR-0342</t>
  </si>
  <si>
    <t>AR-0343</t>
  </si>
  <si>
    <t>AR-0344</t>
  </si>
  <si>
    <t>AR-0345</t>
  </si>
  <si>
    <t>AR-0346</t>
  </si>
  <si>
    <t>AR-0347</t>
  </si>
  <si>
    <t>AR-0348</t>
  </si>
  <si>
    <t>AR-0349</t>
  </si>
  <si>
    <t>AR-0350</t>
  </si>
  <si>
    <t>AR-0351</t>
  </si>
  <si>
    <t>HH-050</t>
  </si>
  <si>
    <t>AR-0352</t>
  </si>
  <si>
    <t>AR-0353</t>
  </si>
  <si>
    <t>AR-0354</t>
  </si>
  <si>
    <t>AR-0355</t>
  </si>
  <si>
    <t>AR-0356</t>
  </si>
  <si>
    <t>AR-0357</t>
  </si>
  <si>
    <t>AR-0358</t>
  </si>
  <si>
    <t>AR-0359</t>
  </si>
  <si>
    <t>AR-0360</t>
  </si>
  <si>
    <t>AR-0361</t>
  </si>
  <si>
    <t>AR-0362</t>
  </si>
  <si>
    <t>AR-0363</t>
  </si>
  <si>
    <t>Referrals and follow-up (synthetic)</t>
  </si>
  <si>
    <t>Open referrals older than the Settings threshold are flagged. Protection referrals hold no detail here. For nutrition / IYCF referrals, the partner’s outcome after assessment is recorded.</t>
  </si>
  <si>
    <t>Referral ID</t>
  </si>
  <si>
    <t>Service type</t>
  </si>
  <si>
    <t>Reason (no sensitive detail)</t>
  </si>
  <si>
    <t>Referral date</t>
  </si>
  <si>
    <t>Status</t>
  </si>
  <si>
    <t>Response date</t>
  </si>
  <si>
    <t>Nutrition partner outcome (IYCF only)</t>
  </si>
  <si>
    <t>Days open</t>
  </si>
  <si>
    <t>Follow-up flag</t>
  </si>
  <si>
    <t>RF-001</t>
  </si>
  <si>
    <t>Infant feeding difficulty reported – assessment requested</t>
  </si>
  <si>
    <t>Closed</t>
  </si>
  <si>
    <t>RF-002</t>
  </si>
  <si>
    <t>Assistive device / rehabilitation assessment</t>
  </si>
  <si>
    <t>RF-003</t>
  </si>
  <si>
    <t>Referred</t>
  </si>
  <si>
    <t>RF-004</t>
  </si>
  <si>
    <t>Assistance received</t>
  </si>
  <si>
    <t>RF-005</t>
  </si>
  <si>
    <t>RF-006</t>
  </si>
  <si>
    <t>RF-007</t>
  </si>
  <si>
    <t>RF-008</t>
  </si>
  <si>
    <t>Chronic medication follow-up</t>
  </si>
  <si>
    <t>RF-009</t>
  </si>
  <si>
    <t>RF-010</t>
  </si>
  <si>
    <t>RF-011</t>
  </si>
  <si>
    <t>RF-012</t>
  </si>
  <si>
    <t>Shelter unusable – tent replacement requested</t>
  </si>
  <si>
    <t>RF-013</t>
  </si>
  <si>
    <t>RF-014</t>
  </si>
  <si>
    <t>RF-015</t>
  </si>
  <si>
    <t>RF-016</t>
  </si>
  <si>
    <t>Referred through the established pathway – details held separately</t>
  </si>
  <si>
    <t>RF-017</t>
  </si>
  <si>
    <t>RF-018</t>
  </si>
  <si>
    <t>RF-019</t>
  </si>
  <si>
    <t>HH-099</t>
  </si>
  <si>
    <t>Acknowledged</t>
  </si>
  <si>
    <t>RF-020</t>
  </si>
  <si>
    <t>RF-021</t>
  </si>
  <si>
    <t>RF-022</t>
  </si>
  <si>
    <t>RF-023</t>
  </si>
  <si>
    <t>RF-024</t>
  </si>
  <si>
    <t>RF-025</t>
  </si>
  <si>
    <t>RF-026</t>
  </si>
  <si>
    <t>RF-027</t>
  </si>
  <si>
    <t>RF-028</t>
  </si>
  <si>
    <t>RF-029</t>
  </si>
  <si>
    <t>RF-030</t>
  </si>
  <si>
    <t>RF-031</t>
  </si>
  <si>
    <t>RF-032</t>
  </si>
  <si>
    <t>RF-033</t>
  </si>
  <si>
    <t>RF-034</t>
  </si>
  <si>
    <t>RF-035</t>
  </si>
  <si>
    <t>RF-036</t>
  </si>
  <si>
    <t>HH-082</t>
  </si>
  <si>
    <t>RF-037</t>
  </si>
  <si>
    <t>RF-038</t>
  </si>
  <si>
    <t>RF-039</t>
  </si>
  <si>
    <t>RF-040</t>
  </si>
  <si>
    <t>RF-041</t>
  </si>
  <si>
    <t>RF-042</t>
  </si>
  <si>
    <t>RF-043</t>
  </si>
  <si>
    <t>RF-044</t>
  </si>
  <si>
    <t>RF-045</t>
  </si>
  <si>
    <t>RF-046</t>
  </si>
  <si>
    <t>RF-047</t>
  </si>
  <si>
    <t>RF-048</t>
  </si>
  <si>
    <t>Site maintenance and household shelter issues (synthetic)</t>
  </si>
  <si>
    <t>Facility issues are logged by site; shelter issues of a specific household also carry its code so they appear on the follow-up list. Safety issues have a shorter target.</t>
  </si>
  <si>
    <t>Issue ID</t>
  </si>
  <si>
    <t>HH code (household shelter issues)</t>
  </si>
  <si>
    <t>Category</t>
  </si>
  <si>
    <t>Description</t>
  </si>
  <si>
    <t>Safety concern</t>
  </si>
  <si>
    <t>Reported date</t>
  </si>
  <si>
    <t>Resolved date</t>
  </si>
  <si>
    <t>Target days</t>
  </si>
  <si>
    <t>Flag</t>
  </si>
  <si>
    <t>MI-001</t>
  </si>
  <si>
    <t>Drainage</t>
  </si>
  <si>
    <t>Blocked drainage channel</t>
  </si>
  <si>
    <t>Resolved</t>
  </si>
  <si>
    <t>MI-002</t>
  </si>
  <si>
    <t>Waste</t>
  </si>
  <si>
    <t>Overflowing waste point</t>
  </si>
  <si>
    <t>MI-003</t>
  </si>
  <si>
    <t>Water point</t>
  </si>
  <si>
    <t>Leaking tap</t>
  </si>
  <si>
    <t>MI-004</t>
  </si>
  <si>
    <t>Roof sheeting blown off</t>
  </si>
  <si>
    <t>MI-005</t>
  </si>
  <si>
    <t>MI-006</t>
  </si>
  <si>
    <t>Broken classroom window</t>
  </si>
  <si>
    <t>MI-007</t>
  </si>
  <si>
    <t>In progress</t>
  </si>
  <si>
    <t>MI-008</t>
  </si>
  <si>
    <t>Latrine</t>
  </si>
  <si>
    <t>Latrine door missing</t>
  </si>
  <si>
    <t>MI-009</t>
  </si>
  <si>
    <t>Standing water between shelters after rain</t>
  </si>
  <si>
    <t>MI-010</t>
  </si>
  <si>
    <t>Classroom door does not close</t>
  </si>
  <si>
    <t>MI-011</t>
  </si>
  <si>
    <t>Lighting</t>
  </si>
  <si>
    <t>No lighting on path to latrines</t>
  </si>
  <si>
    <t>MI-012</t>
  </si>
  <si>
    <t>Blocked latrine</t>
  </si>
  <si>
    <t>MI-013</t>
  </si>
  <si>
    <t>MI-014</t>
  </si>
  <si>
    <t>MI-015</t>
  </si>
  <si>
    <t>Water tank outlet damaged</t>
  </si>
  <si>
    <t>MI-016</t>
  </si>
  <si>
    <t>MI-017</t>
  </si>
  <si>
    <t>Torn tarpaulin roof</t>
  </si>
  <si>
    <t>MI-018</t>
  </si>
  <si>
    <t>MI-019</t>
  </si>
  <si>
    <t>Electrical</t>
  </si>
  <si>
    <t>Exposed wiring near shelter</t>
  </si>
  <si>
    <t>MI-020</t>
  </si>
  <si>
    <t>MI-021</t>
  </si>
  <si>
    <t>MI-022</t>
  </si>
  <si>
    <t>MI-023</t>
  </si>
  <si>
    <t>Broken lock on women’s latrine door</t>
  </si>
  <si>
    <t>MI-024</t>
  </si>
  <si>
    <t>MI-025</t>
  </si>
  <si>
    <t>MI-026</t>
  </si>
  <si>
    <t>MI-027</t>
  </si>
  <si>
    <t>MI-028</t>
  </si>
  <si>
    <t>MI-029</t>
  </si>
  <si>
    <t>Broken light in corridor</t>
  </si>
  <si>
    <t>MI-030</t>
  </si>
  <si>
    <t>Leaking roof in collective room</t>
  </si>
  <si>
    <t>MI-031</t>
  </si>
  <si>
    <t>MI-032</t>
  </si>
  <si>
    <t>MI-033</t>
  </si>
  <si>
    <t>MI-034</t>
  </si>
  <si>
    <t>MI-035</t>
  </si>
  <si>
    <t>MI-036</t>
  </si>
  <si>
    <t>Site profile and service mapping (synthetic)</t>
  </si>
  <si>
    <t>Site services compared with indicative Sphere reference values in Settings. Status cells carry a text label.</t>
  </si>
  <si>
    <t>Site type</t>
  </si>
  <si>
    <t>Functional taps</t>
  </si>
  <si>
    <t>Functional latrines</t>
  </si>
  <si>
    <t>Showers</t>
  </si>
  <si>
    <t>Lighting points</t>
  </si>
  <si>
    <t>Water supplied (L/day)</t>
  </si>
  <si>
    <t>Waste collection</t>
  </si>
  <si>
    <t>Committee members</t>
  </si>
  <si>
    <t>Women on committee</t>
  </si>
  <si>
    <t>Additional latrines needed</t>
  </si>
  <si>
    <t>Additional taps needed</t>
  </si>
  <si>
    <t>Women share of committee</t>
  </si>
  <si>
    <t>Open safety issues</t>
  </si>
  <si>
    <t>Committee note</t>
  </si>
  <si>
    <t>School shelter</t>
  </si>
  <si>
    <t>Informal tent area</t>
  </si>
  <si>
    <t>Collective centre</t>
  </si>
  <si>
    <t>Community-led initiatives tracker (illustrative)</t>
  </si>
  <si>
    <t>Tracks group proposals, participation, simple budgets, documentation and progress. Selection and approval sit with the responsible officer, not with this tool.</t>
  </si>
  <si>
    <t>Initiative ID</t>
  </si>
  <si>
    <t>Community group</t>
  </si>
  <si>
    <t>Initiative</t>
  </si>
  <si>
    <t>Members</t>
  </si>
  <si>
    <t>Women</t>
  </si>
  <si>
    <t>Youth 18–29</t>
  </si>
  <si>
    <t>Persons with disabilities</t>
  </si>
  <si>
    <t>Women share</t>
  </si>
  <si>
    <t>Budget (USD, illustrative)</t>
  </si>
  <si>
    <t>Draft BoQ prepared</t>
  </si>
  <si>
    <t>Documentation complete</t>
  </si>
  <si>
    <t>Progress</t>
  </si>
  <si>
    <t>Next follow-up</t>
  </si>
  <si>
    <t>Follow-up note</t>
  </si>
  <si>
    <t>CI-01</t>
  </si>
  <si>
    <t>Site A committee</t>
  </si>
  <si>
    <t>Clearing drainage around classrooms</t>
  </si>
  <si>
    <t>CI-02</t>
  </si>
  <si>
    <t>Women’s group – Site C</t>
  </si>
  <si>
    <t>Privacy screens for latrines and bathing area</t>
  </si>
  <si>
    <t>CI-03</t>
  </si>
  <si>
    <t>Youth group – Site C</t>
  </si>
  <si>
    <t>Solar lights on the path to latrines</t>
  </si>
  <si>
    <t>Under review</t>
  </si>
  <si>
    <t>CI-04</t>
  </si>
  <si>
    <t>Site B committee</t>
  </si>
  <si>
    <t>Covered waste collection points</t>
  </si>
  <si>
    <t>Completed</t>
  </si>
  <si>
    <t>CI-05</t>
  </si>
  <si>
    <t>Older persons’ group – Site D</t>
  </si>
  <si>
    <t>Shaded seating area</t>
  </si>
  <si>
    <t>Proposal drafted</t>
  </si>
  <si>
    <t>CI-06</t>
  </si>
  <si>
    <t>Parents’ group – Site A</t>
  </si>
  <si>
    <t>Child-friendly learning corner</t>
  </si>
  <si>
    <t>Draft quantities for technical review (illustrative)</t>
  </si>
  <si>
    <t>Quantities come from unmet needs and site service gaps. Unit costs are placeholders. For review by the responsible officer and the technical team only.</t>
  </si>
  <si>
    <t>Gap quantity</t>
  </si>
  <si>
    <t>Contingency</t>
  </si>
  <si>
    <t>Quantity for review</t>
  </si>
  <si>
    <t>Unit cost (USD, illustrative)</t>
  </si>
  <si>
    <t>Estimated cost (USD)</t>
  </si>
  <si>
    <t>Basis</t>
  </si>
  <si>
    <t>Sum of unmet need across all households (Needs_Gaps).</t>
  </si>
  <si>
    <t>Additional latrine</t>
  </si>
  <si>
    <t>units</t>
  </si>
  <si>
    <t>Sites below the people-per-latrine reference (Site_Profile).</t>
  </si>
  <si>
    <t>Additional tap stand</t>
  </si>
  <si>
    <t>Sites below the people-per-tap reference (Site_Profile).</t>
  </si>
  <si>
    <t>Total (illustrative)</t>
  </si>
  <si>
    <t>Infant formula is not included: infant-feeding difficulties are referred to a nutrition / IYCF partner, who decides after assessment (see Referrals).</t>
  </si>
  <si>
    <t>start</t>
  </si>
  <si>
    <t>end</t>
  </si>
  <si>
    <t>today</t>
  </si>
  <si>
    <t>enumerator_code</t>
  </si>
  <si>
    <t>site</t>
  </si>
  <si>
    <t>site_group</t>
  </si>
  <si>
    <t>visit_type</t>
  </si>
  <si>
    <t>consent</t>
  </si>
  <si>
    <t>hh_code</t>
  </si>
  <si>
    <t>shelter_type</t>
  </si>
  <si>
    <t>shelter_condition</t>
  </si>
  <si>
    <t>hh_size</t>
  </si>
  <si>
    <t>female_headed</t>
  </si>
  <si>
    <t>children_u2</t>
  </si>
  <si>
    <t>children_2_17</t>
  </si>
  <si>
    <t>adults_18_59</t>
  </si>
  <si>
    <t>older_60plus</t>
  </si>
  <si>
    <t>women_12_49</t>
  </si>
  <si>
    <t>pregnant_lactating</t>
  </si>
  <si>
    <t>pwd_count</t>
  </si>
  <si>
    <t>blankets_owned</t>
  </si>
  <si>
    <t>mattresses_owned</t>
  </si>
  <si>
    <t>children_no_winter_clothes</t>
  </si>
  <si>
    <t>adults_no_winter_clothes</t>
  </si>
  <si>
    <t>infant_feeding_concern</t>
  </si>
  <si>
    <t>_id</t>
  </si>
  <si>
    <t>_uuid</t>
  </si>
  <si>
    <t>_submission_time</t>
  </si>
  <si>
    <t>_validation_status</t>
  </si>
  <si>
    <t>_notes</t>
  </si>
  <si>
    <t>_status</t>
  </si>
  <si>
    <t>_submitted_by</t>
  </si>
  <si>
    <t>__version__</t>
  </si>
  <si>
    <t>_tags</t>
  </si>
  <si>
    <t>_index</t>
  </si>
  <si>
    <t>2025-12-15T08:23:22.000+02:00</t>
  </si>
  <si>
    <t>2025-12-15T08:42:08.000+02:00</t>
  </si>
  <si>
    <t>2025-12-15</t>
  </si>
  <si>
    <t>EN-03</t>
  </si>
  <si>
    <t>site_b</t>
  </si>
  <si>
    <t>school</t>
  </si>
  <si>
    <t>registration</t>
  </si>
  <si>
    <t>yes</t>
  </si>
  <si>
    <t>classroom</t>
  </si>
  <si>
    <t>adequate</t>
  </si>
  <si>
    <t>no</t>
  </si>
  <si>
    <t>69d2c68e-d6db-4808-bc75-b88b26a0849b</t>
  </si>
  <si>
    <t>2025-12-15T08:54:08</t>
  </si>
  <si>
    <t>submitted_via_web</t>
  </si>
  <si>
    <t>vRk8pQ2xLmT9wYc4Hs6Nb3</t>
  </si>
  <si>
    <t>2025-12-15T11:55:41.000+02:00</t>
  </si>
  <si>
    <t>2025-12-15T12:19:49.000+02:00</t>
  </si>
  <si>
    <t>EN-01</t>
  </si>
  <si>
    <t>site_a</t>
  </si>
  <si>
    <t>bea54454-128c-4700-a7ee-dd66a23b4b32</t>
  </si>
  <si>
    <t>2025-12-15T12:25:49</t>
  </si>
  <si>
    <t>2025-12-15T11:44:46.000+02:00</t>
  </si>
  <si>
    <t>2025-12-15T11:59:46.000+02:00</t>
  </si>
  <si>
    <t>b447bdcf-6942-4720-912d-a9b643bbb5bd</t>
  </si>
  <si>
    <t>2025-12-15T14:59:46</t>
  </si>
  <si>
    <t>2025-12-16T14:20:37.000+02:00</t>
  </si>
  <si>
    <t>2025-12-16T14:36:46.000+02:00</t>
  </si>
  <si>
    <t>2025-12-16</t>
  </si>
  <si>
    <t>EN-02</t>
  </si>
  <si>
    <t>2c76e925-3eae-4972-8360-c62e38bd8a5d</t>
  </si>
  <si>
    <t>2025-12-16T14:45:46</t>
  </si>
  <si>
    <t>2025-12-16T14:43:22.000+02:00</t>
  </si>
  <si>
    <t>2025-12-16T14:52:36.000+02:00</t>
  </si>
  <si>
    <t>damaged</t>
  </si>
  <si>
    <t>76ecf1db-17b0-4690-ae78-fda043178a05</t>
  </si>
  <si>
    <t>2025-12-16T15:04:36</t>
  </si>
  <si>
    <t>2025-12-17T14:36:21.000+02:00</t>
  </si>
  <si>
    <t>2025-12-17T14:47:52.000+02:00</t>
  </si>
  <si>
    <t>2025-12-17</t>
  </si>
  <si>
    <t>EN-04</t>
  </si>
  <si>
    <t>site_c</t>
  </si>
  <si>
    <t>tent</t>
  </si>
  <si>
    <t>unusable</t>
  </si>
  <si>
    <t>55337527-cdba-48da-ab79-0978d6aed343</t>
  </si>
  <si>
    <t>2025-12-17T15:02:52</t>
  </si>
  <si>
    <t>2025-12-18T09:32:39.000+02:00</t>
  </si>
  <si>
    <t>2025-12-18T09:54:39.000+02:00</t>
  </si>
  <si>
    <t>2025-12-18</t>
  </si>
  <si>
    <t>4208dabe-9a79-4d3c-b5d4-8140788727c3</t>
  </si>
  <si>
    <t>2025-12-18T09:57:39</t>
  </si>
  <si>
    <t>2025-12-18T09:44:47.000+02:00</t>
  </si>
  <si>
    <t>2025-12-18T09:59:28.000+02:00</t>
  </si>
  <si>
    <t>ac186c21-5e8b-41d9-9b97-d2eba3c0702b</t>
  </si>
  <si>
    <t>2025-12-18T10:16:28</t>
  </si>
  <si>
    <t>2025-12-18T11:30:06.000+02:00</t>
  </si>
  <si>
    <t>2025-12-18T11:39:59.000+02:00</t>
  </si>
  <si>
    <t>40cd9942-a66f-48ef-9f8b-6fe05cbf754c</t>
  </si>
  <si>
    <t>2025-12-18T12:03:59</t>
  </si>
  <si>
    <t>2025-12-19T09:24:15.000+02:00</t>
  </si>
  <si>
    <t>2025-12-19T09:40:57.000+02:00</t>
  </si>
  <si>
    <t>2025-12-19</t>
  </si>
  <si>
    <t>04ee8be3-2ded-41d9-975c-817a96b71cd4</t>
  </si>
  <si>
    <t>2025-12-19T10:04:57</t>
  </si>
  <si>
    <t>2025-12-19T10:52:44.000+02:00</t>
  </si>
  <si>
    <t>2025-12-19T11:08:15.000+02:00</t>
  </si>
  <si>
    <t>EN-05</t>
  </si>
  <si>
    <t>makeshift</t>
  </si>
  <si>
    <t>2f64f04f-f177-475e-a63d-1ca43623d873</t>
  </si>
  <si>
    <t>2025-12-19T14:08:15</t>
  </si>
  <si>
    <t>2025-12-20T08:25:31.000+02:00</t>
  </si>
  <si>
    <t>2025-12-20T08:42:40.000+02:00</t>
  </si>
  <si>
    <t>2025-12-20</t>
  </si>
  <si>
    <t>78557622-dac8-4f03-9666-99861d9e7060</t>
  </si>
  <si>
    <t>2025-12-20T09:08:40</t>
  </si>
  <si>
    <t>2025-12-20T10:54:24.000+02:00</t>
  </si>
  <si>
    <t>2025-12-20T11:16:34.000+02:00</t>
  </si>
  <si>
    <t>ff4c1602-48f9-42d2-ada5-5ee2f7a004d0</t>
  </si>
  <si>
    <t>2025-12-20T11:31:34</t>
  </si>
  <si>
    <t>2025-12-20T12:32:13.000+02:00</t>
  </si>
  <si>
    <t>2025-12-20T12:54:13.000+02:00</t>
  </si>
  <si>
    <t>6f3d646c-c218-46a0-bf4d-4b8d4bb33531</t>
  </si>
  <si>
    <t>2025-12-20T13:14:13</t>
  </si>
  <si>
    <t>2025-12-20T14:24:14.000+02:00</t>
  </si>
  <si>
    <t>2025-12-20T14:41:58.000+02:00</t>
  </si>
  <si>
    <t>EN-06</t>
  </si>
  <si>
    <t>site_d</t>
  </si>
  <si>
    <t>collective</t>
  </si>
  <si>
    <t>collective_room</t>
  </si>
  <si>
    <t>8bcffc88-dfc3-48e5-bf54-df711b2ea76b</t>
  </si>
  <si>
    <t>2025-12-20T14:51:58</t>
  </si>
  <si>
    <t>2025-12-21T11:55:20.000+02:00</t>
  </si>
  <si>
    <t>2025-12-21T12:16:14.000+02:00</t>
  </si>
  <si>
    <t>2025-12-21</t>
  </si>
  <si>
    <t>901d3c50-12e2-4c0f-a383-a7969b31e69f</t>
  </si>
  <si>
    <t>2025-12-21T12:17:14</t>
  </si>
  <si>
    <t>2025-12-21T10:27:10.000+02:00</t>
  </si>
  <si>
    <t>2025-12-21T10:44:10.000+02:00</t>
  </si>
  <si>
    <t>e4ede6eb-035e-4a62-b9cb-fd6de8e47ee4</t>
  </si>
  <si>
    <t>2025-12-21T16:44:10</t>
  </si>
  <si>
    <t>2025-12-22T09:26:55.000+02:00</t>
  </si>
  <si>
    <t>2025-12-22T09:44:58.000+02:00</t>
  </si>
  <si>
    <t>2025-12-22</t>
  </si>
  <si>
    <t>57eab8bf-5b0d-4c9c-bdae-425e1bd24c46</t>
  </si>
  <si>
    <t>2025-12-22T09:57:58</t>
  </si>
  <si>
    <t>2025-12-22T11:45:44.000+02:00</t>
  </si>
  <si>
    <t>2025-12-22T12:02:25.000+02:00</t>
  </si>
  <si>
    <t>40c1c30e-af6e-4be2-83fc-995b3f0877d5</t>
  </si>
  <si>
    <t>2025-12-22T12:23:25</t>
  </si>
  <si>
    <t>2025-12-23T12:57:04.000+02:00</t>
  </si>
  <si>
    <t>2025-12-23T13:07:47.000+02:00</t>
  </si>
  <si>
    <t>2025-12-23</t>
  </si>
  <si>
    <t>0702cfb2-bab0-4c96-b438-2840ebdab9cd</t>
  </si>
  <si>
    <t>2025-12-23T13:20:47</t>
  </si>
  <si>
    <t>2025-12-23T08:00:51.000+02:00</t>
  </si>
  <si>
    <t>2025-12-23T08:18:45.000+02:00</t>
  </si>
  <si>
    <t>fa77a598-f0e7-4caf-bed9-a3e3d12ae8bd</t>
  </si>
  <si>
    <t>2025-12-24T04:18:45</t>
  </si>
  <si>
    <t>2025-12-24T10:18:35.000+02:00</t>
  </si>
  <si>
    <t>2025-12-24T10:37:17.000+02:00</t>
  </si>
  <si>
    <t>2025-12-24</t>
  </si>
  <si>
    <t>a56b73b7-5b67-4d58-b30a-a59d7b3d69b6</t>
  </si>
  <si>
    <t>2025-12-24T10:45:17</t>
  </si>
  <si>
    <t>2025-12-24T10:43:27.000+02:00</t>
  </si>
  <si>
    <t>2025-12-24T10:54:18.000+02:00</t>
  </si>
  <si>
    <t>2000eb40-7448-4655-bc17-57465596ec15</t>
  </si>
  <si>
    <t>2025-12-24T11:10:18</t>
  </si>
  <si>
    <t>2025-12-24T10:22:58.000+02:00</t>
  </si>
  <si>
    <t>2025-12-24T10:39:00.000+02:00</t>
  </si>
  <si>
    <t>433cb85c-d698-4f8a-8829-38f920e49323</t>
  </si>
  <si>
    <t>2025-12-24T20:39:00</t>
  </si>
  <si>
    <t>2025-12-25T11:01:57.000+02:00</t>
  </si>
  <si>
    <t>2025-12-25T11:14:31.000+02:00</t>
  </si>
  <si>
    <t>2025-12-25</t>
  </si>
  <si>
    <t>329a3e4a-9e8a-4f9b-a037-4a7c10826ed8</t>
  </si>
  <si>
    <t>2025-12-25T11:39:31</t>
  </si>
  <si>
    <t>2025-12-25T08:34:16.000+02:00</t>
  </si>
  <si>
    <t>2025-12-25T08:46:06.000+02:00</t>
  </si>
  <si>
    <t>beaf008c-68bd-455f-b4a2-79f0a30cd8a2</t>
  </si>
  <si>
    <t>2025-12-25T11:46:06</t>
  </si>
  <si>
    <t>2025-12-25T12:14:47.000+02:00</t>
  </si>
  <si>
    <t>2025-12-25T12:29:00.000+02:00</t>
  </si>
  <si>
    <t>3cff8549-0645-49d4-a60f-f49f1d1f61a0</t>
  </si>
  <si>
    <t>2025-12-25T12:42:00</t>
  </si>
  <si>
    <t>2025-12-25T12:23:59.000+02:00</t>
  </si>
  <si>
    <t>2025-12-25T12:35:14.000+02:00</t>
  </si>
  <si>
    <t>9babafc0-dd89-4e15-ac41-915249077522</t>
  </si>
  <si>
    <t>2025-12-25T12:53:14</t>
  </si>
  <si>
    <t>2025-12-26T10:03:53.000+02:00</t>
  </si>
  <si>
    <t>2025-12-26T10:14:21.000+02:00</t>
  </si>
  <si>
    <t>2025-12-26</t>
  </si>
  <si>
    <t>50cf148b-81e3-4040-8204-e74f9bf586d6</t>
  </si>
  <si>
    <t>2025-12-26T10:19:21</t>
  </si>
  <si>
    <t>2025-12-26T11:13:09.000+02:00</t>
  </si>
  <si>
    <t>2025-12-26T11:36:55.000+02:00</t>
  </si>
  <si>
    <t>f4a92fe4-a2d5-4cf3-b92a-6491aae02372</t>
  </si>
  <si>
    <t>2025-12-26T11:59:55</t>
  </si>
  <si>
    <t>2025-12-27T10:57:57.000+02:00</t>
  </si>
  <si>
    <t>2025-12-27T11:13:18.000+02:00</t>
  </si>
  <si>
    <t>2025-12-27</t>
  </si>
  <si>
    <t>70b22bb1-2c3a-4681-8d65-44345772669c</t>
  </si>
  <si>
    <t>2025-12-27T11:30:18</t>
  </si>
  <si>
    <t>2025-12-27T12:18:43.000+02:00</t>
  </si>
  <si>
    <t>2025-12-27T12:36:19.000+02:00</t>
  </si>
  <si>
    <t>65a9da11-e61d-46f6-a8ae-d3f5dce7f9a5</t>
  </si>
  <si>
    <t>2025-12-27T12:40:19</t>
  </si>
  <si>
    <t>2025-12-28T11:03:49.000+02:00</t>
  </si>
  <si>
    <t>2025-12-28T11:26:39.000+02:00</t>
  </si>
  <si>
    <t>2025-12-28</t>
  </si>
  <si>
    <t>27159145-efac-4a39-bfa7-e32f621b7837</t>
  </si>
  <si>
    <t>2025-12-28T11:55:39</t>
  </si>
  <si>
    <t>2025-12-28T13:50:12.000+02:00</t>
  </si>
  <si>
    <t>2025-12-28T14:00:17.000+02:00</t>
  </si>
  <si>
    <t>002371ed-c0bf-4c71-b069-985bb9b53014</t>
  </si>
  <si>
    <t>2025-12-28T14:25:17</t>
  </si>
  <si>
    <t>2025-12-29T09:03:54.000+02:00</t>
  </si>
  <si>
    <t>2025-12-29T09:23:49.000+02:00</t>
  </si>
  <si>
    <t>2025-12-29</t>
  </si>
  <si>
    <t>fa37619c-22fa-44df-92b8-389b9d22b517</t>
  </si>
  <si>
    <t>2025-12-29T09:47:49</t>
  </si>
  <si>
    <t>2025-12-29T10:17:22.000+02:00</t>
  </si>
  <si>
    <t>2025-12-29T10:35:05.000+02:00</t>
  </si>
  <si>
    <t>fadd28dd-20da-46e3-9c39-ebe87d52db94</t>
  </si>
  <si>
    <t>2025-12-29T10:39:05</t>
  </si>
  <si>
    <t>2025-12-29T09:28:13.000+02:00</t>
  </si>
  <si>
    <t>2025-12-29T09:50:45.000+02:00</t>
  </si>
  <si>
    <t>9c7e9dc3-e0ca-46ba-841a-8c090c7e4c30</t>
  </si>
  <si>
    <t>2025-12-30T04:50:45</t>
  </si>
  <si>
    <t>2025-12-30T08:59:02.000+02:00</t>
  </si>
  <si>
    <t>2025-12-30T09:17:05.000+02:00</t>
  </si>
  <si>
    <t>2025-12-30</t>
  </si>
  <si>
    <t>5fb47d0e-71be-4e13-8c83-524e5c5db9c2</t>
  </si>
  <si>
    <t>2025-12-30T09:21:05</t>
  </si>
  <si>
    <t>2025-12-30T12:40:53.000+02:00</t>
  </si>
  <si>
    <t>2025-12-30T12:50:16.000+02:00</t>
  </si>
  <si>
    <t>6838841f-c400-4df7-955d-943e888a0817</t>
  </si>
  <si>
    <t>2025-12-30T12:54:16</t>
  </si>
  <si>
    <t>2025-12-30T13:07:52.000+02:00</t>
  </si>
  <si>
    <t>2025-12-30T13:25:29.000+02:00</t>
  </si>
  <si>
    <t>d937dd9e-f9c8-47fe-b90b-80a3c1f16a33</t>
  </si>
  <si>
    <t>2025-12-30T13:36:29</t>
  </si>
  <si>
    <t>2025-12-31T09:42:45.000+02:00</t>
  </si>
  <si>
    <t>2025-12-31T10:00:00.000+02:00</t>
  </si>
  <si>
    <t>2025-12-31</t>
  </si>
  <si>
    <t>e911f0c8-f1c0-4e4c-b538-fff40900395a</t>
  </si>
  <si>
    <t>2025-12-31T13:00:00</t>
  </si>
  <si>
    <t>2025-12-31T12:21:44.000+02:00</t>
  </si>
  <si>
    <t>2025-12-31T12:36:00.000+02:00</t>
  </si>
  <si>
    <t>217bbc01-4373-4067-a145-77de55ea9d01</t>
  </si>
  <si>
    <t>2025-12-31T23:36:00</t>
  </si>
  <si>
    <t>2025-12-31T14:26:01.000+02:00</t>
  </si>
  <si>
    <t>2025-12-31T14:39:57.000+02:00</t>
  </si>
  <si>
    <t>56a71889-a0c7-486b-a2c1-4e31e14c0493</t>
  </si>
  <si>
    <t>2026-01-01T04:39:57</t>
  </si>
  <si>
    <t>2026-01-02T12:15:36.000+02:00</t>
  </si>
  <si>
    <t>2026-01-02T12:38:29.000+02:00</t>
  </si>
  <si>
    <t>2026-01-02</t>
  </si>
  <si>
    <t>69cf8ae0-f997-4529-bdfb-c4c14aba4e4c</t>
  </si>
  <si>
    <t>2026-01-02T13:08:29</t>
  </si>
  <si>
    <t>2026-01-02T12:09:23.000+02:00</t>
  </si>
  <si>
    <t>2026-01-02T12:29:20.000+02:00</t>
  </si>
  <si>
    <t>afd296e6-e969-4370-944f-3985f2c8ba0c</t>
  </si>
  <si>
    <t>2026-01-02T18:29:20</t>
  </si>
  <si>
    <t>2026-01-03T08:09:16.000+02:00</t>
  </si>
  <si>
    <t>2026-01-03T08:31:18.000+02:00</t>
  </si>
  <si>
    <t>2026-01-03</t>
  </si>
  <si>
    <t>bda4e578-6701-4116-a66c-d7584211e824</t>
  </si>
  <si>
    <t>2026-01-03T08:38:18</t>
  </si>
  <si>
    <t>2026-01-03T09:25:51.000+02:00</t>
  </si>
  <si>
    <t>2026-01-03T09:45:19.000+02:00</t>
  </si>
  <si>
    <t>2b1467a5-d174-4b3d-ab18-8eb7ffa22a7b</t>
  </si>
  <si>
    <t>2026-01-03T09:55:19</t>
  </si>
  <si>
    <t>2026-01-04T12:01:35.000+02:00</t>
  </si>
  <si>
    <t>2026-01-04T12:22:13.000+02:00</t>
  </si>
  <si>
    <t>2026-01-04</t>
  </si>
  <si>
    <t>7ce1c7d3-d304-4f86-a0eb-262157b0871b</t>
  </si>
  <si>
    <t>2026-01-04T12:26:13</t>
  </si>
  <si>
    <t>2026-01-04T12:38:41.000+02:00</t>
  </si>
  <si>
    <t>2026-01-04T12:52:47.000+02:00</t>
  </si>
  <si>
    <t>d6aba777-789d-4281-bc80-a905fdbf830c</t>
  </si>
  <si>
    <t>2026-01-05T08:52:47</t>
  </si>
  <si>
    <t>2026-01-05T11:28:16.000+02:00</t>
  </si>
  <si>
    <t>2026-01-05T11:43:37.000+02:00</t>
  </si>
  <si>
    <t>2026-01-05</t>
  </si>
  <si>
    <t>d9668d4d-b8a3-4737-a0a1-48595fab8f63</t>
  </si>
  <si>
    <t>2026-01-05T12:04:37</t>
  </si>
  <si>
    <t>2026-01-05T12:16:27.000+02:00</t>
  </si>
  <si>
    <t>2026-01-05T12:34:22.000+02:00</t>
  </si>
  <si>
    <t>79822748-03bb-4f2e-8706-7a1b448c29af</t>
  </si>
  <si>
    <t>2026-01-05T12:57:22</t>
  </si>
  <si>
    <t>2026-01-05T12:35:17.000+02:00</t>
  </si>
  <si>
    <t>2026-01-05T12:46:20.000+02:00</t>
  </si>
  <si>
    <t>e18bd68e-a756-4186-bd20-f977c73e6133</t>
  </si>
  <si>
    <t>2026-01-05T13:05:20</t>
  </si>
  <si>
    <t>2026-01-05T14:30:13.000+02:00</t>
  </si>
  <si>
    <t>2026-01-05T14:46:08.000+02:00</t>
  </si>
  <si>
    <t>fd5dd644-fe3a-49ac-97c8-10d6614c9b8e</t>
  </si>
  <si>
    <t>2026-01-05T14:52:08</t>
  </si>
  <si>
    <t>2026-01-06T13:33:39.000+02:00</t>
  </si>
  <si>
    <t>2026-01-06T13:52:12.000+02:00</t>
  </si>
  <si>
    <t>2026-01-06</t>
  </si>
  <si>
    <t>fadc2576-cc3a-4b5e-9433-650c91e8acc8</t>
  </si>
  <si>
    <t>2026-01-06T14:02:12</t>
  </si>
  <si>
    <t>2026-01-06T09:08:54.000+02:00</t>
  </si>
  <si>
    <t>2026-01-06T09:23:16.000+02:00</t>
  </si>
  <si>
    <t>1d335514-e5d1-4769-97d2-651521392c2a</t>
  </si>
  <si>
    <t>2026-01-06T19:23:16</t>
  </si>
  <si>
    <t>2026-01-07T12:36:17.000+02:00</t>
  </si>
  <si>
    <t>2026-01-07T12:49:41.000+02:00</t>
  </si>
  <si>
    <t>2026-01-07</t>
  </si>
  <si>
    <t>a0013058-55b0-4c02-adcb-3683210360e9</t>
  </si>
  <si>
    <t>2026-01-07T12:55:41</t>
  </si>
  <si>
    <t>2026-01-08T13:28:02.000+02:00</t>
  </si>
  <si>
    <t>2026-01-08T13:47:55.000+02:00</t>
  </si>
  <si>
    <t>2026-01-08</t>
  </si>
  <si>
    <t>315ae1ce-8086-4671-97ed-0b7299bb3c58</t>
  </si>
  <si>
    <t>2026-01-08T13:53:55</t>
  </si>
  <si>
    <t>2026-01-08T14:54:42.000+02:00</t>
  </si>
  <si>
    <t>2026-01-08T15:14:56.000+02:00</t>
  </si>
  <si>
    <t>26982832-40ef-4136-8234-39ffa04a374c</t>
  </si>
  <si>
    <t>2026-01-08T15:30:56</t>
  </si>
  <si>
    <t>2026-01-09T08:21:16.000+02:00</t>
  </si>
  <si>
    <t>2026-01-09T08:39:15.000+02:00</t>
  </si>
  <si>
    <t>2026-01-09</t>
  </si>
  <si>
    <t>e1d1b814-e155-4213-b723-33222f9991b3</t>
  </si>
  <si>
    <t>2026-01-09T08:41:15</t>
  </si>
  <si>
    <t>2026-01-09T08:05:45.000+02:00</t>
  </si>
  <si>
    <t>2026-01-09T08:26:26.000+02:00</t>
  </si>
  <si>
    <t>017c12d8-5be9-44a5-b3aa-5d65be60e5a7</t>
  </si>
  <si>
    <t>2026-01-09T08:56:26</t>
  </si>
  <si>
    <t>2026-01-09T08:18:23.000+02:00</t>
  </si>
  <si>
    <t>2026-01-09T08:33:22.000+02:00</t>
  </si>
  <si>
    <t>1cf8f587-0c54-4f36-93b5-1c1b79b2385e</t>
  </si>
  <si>
    <t>2026-01-09T09:01:22</t>
  </si>
  <si>
    <t>2026-01-09T09:26:00.000+02:00</t>
  </si>
  <si>
    <t>2026-01-09T09:47:48.000+02:00</t>
  </si>
  <si>
    <t>267ef7e1-e048-4f31-804a-e5476d1c7952</t>
  </si>
  <si>
    <t>2026-01-09T10:01:48</t>
  </si>
  <si>
    <t>2026-01-09T09:57:22.000+02:00</t>
  </si>
  <si>
    <t>2026-01-09T10:12:54.000+02:00</t>
  </si>
  <si>
    <t>e2b2790a-5acd-4bba-9e64-4577f2ee2bd5</t>
  </si>
  <si>
    <t>2026-01-09T10:16:54</t>
  </si>
  <si>
    <t>2026-01-09T13:09:59.000+02:00</t>
  </si>
  <si>
    <t>2026-01-09T13:22:30.000+02:00</t>
  </si>
  <si>
    <t>f2cdcee5-b679-49ac-81e8-456ee52edd5c</t>
  </si>
  <si>
    <t>2026-01-09T13:36:30</t>
  </si>
  <si>
    <t>2026-01-09T13:39:30.000+02:00</t>
  </si>
  <si>
    <t>2026-01-09T13:53:39.000+02:00</t>
  </si>
  <si>
    <t>ddea7feb-0bd5-4930-8263-bfa8d4140f7d</t>
  </si>
  <si>
    <t>2026-01-09T14:11:39</t>
  </si>
  <si>
    <t>2026-01-09T13:50:24.000+02:00</t>
  </si>
  <si>
    <t>2026-01-09T14:07:58.000+02:00</t>
  </si>
  <si>
    <t>23b5a4d1-568e-4216-b5b0-5fadaedcdfe2</t>
  </si>
  <si>
    <t>2026-01-09T14:18:58</t>
  </si>
  <si>
    <t>2026-01-10T11:14:39.000+02:00</t>
  </si>
  <si>
    <t>2026-01-10T11:27:00.000+02:00</t>
  </si>
  <si>
    <t>2026-01-10</t>
  </si>
  <si>
    <t>2686c870-a2d0-44c7-8a06-8ab126a06b85</t>
  </si>
  <si>
    <t>2026-01-10T11:41:00</t>
  </si>
  <si>
    <t>2026-01-10T11:51:26.000+02:00</t>
  </si>
  <si>
    <t>2026-01-10T12:16:21.000+02:00</t>
  </si>
  <si>
    <t>9ff68145-1665-4a02-a9af-5646c33517db</t>
  </si>
  <si>
    <t>2026-01-10T12:30:21</t>
  </si>
  <si>
    <t>2026-01-10T14:37:33.000+02:00</t>
  </si>
  <si>
    <t>2026-01-10T14:56:50.000+02:00</t>
  </si>
  <si>
    <t>bab6034a-e269-4478-a578-bd1a45eabc0c</t>
  </si>
  <si>
    <t>2026-01-10T15:26:50</t>
  </si>
  <si>
    <t>2026-01-11T13:32:58.000+02:00</t>
  </si>
  <si>
    <t>2026-01-11T13:43:06.000+02:00</t>
  </si>
  <si>
    <t>2026-01-11</t>
  </si>
  <si>
    <t>28e1af6d-242f-4a4e-ac7e-f24d787bcd50</t>
  </si>
  <si>
    <t>2026-01-11T13:50:06</t>
  </si>
  <si>
    <t>2026-01-11T09:52:09.000+02:00</t>
  </si>
  <si>
    <t>2026-01-11T10:07:48.000+02:00</t>
  </si>
  <si>
    <t>38723171-31c7-4d60-81d0-cf3c18129537</t>
  </si>
  <si>
    <t>2026-01-11T16:07:48</t>
  </si>
  <si>
    <t>2026-01-12T08:04:28.000+02:00</t>
  </si>
  <si>
    <t>2026-01-12T08:27:14.000+02:00</t>
  </si>
  <si>
    <t>2026-01-12</t>
  </si>
  <si>
    <t>832d4135-d258-4abc-a1dd-227ab3324f0d</t>
  </si>
  <si>
    <t>2026-01-12T08:57:14</t>
  </si>
  <si>
    <t>2026-01-12T08:17:28.000+02:00</t>
  </si>
  <si>
    <t>2026-01-12T08:36:20.000+02:00</t>
  </si>
  <si>
    <t>reverification</t>
  </si>
  <si>
    <t>1ffbc276-7983-401e-9219-14c37d89ef1b</t>
  </si>
  <si>
    <t>2026-01-12T17:36:20</t>
  </si>
  <si>
    <t>2026-01-12T09:45:00.000+02:00</t>
  </si>
  <si>
    <t>2026-01-12T10:05:47.000+02:00</t>
  </si>
  <si>
    <t>ef5ccbf9-7c0d-49a4-a1df-314680d0af1d</t>
  </si>
  <si>
    <t>2026-01-13T04:05:47</t>
  </si>
  <si>
    <t>2026-01-12T10:40:32.000+02:00</t>
  </si>
  <si>
    <t>2026-01-12T11:02:35.000+02:00</t>
  </si>
  <si>
    <t>883de955-51a4-4508-b49a-41993d2e4f73</t>
  </si>
  <si>
    <t>2026-01-13T05:02:35</t>
  </si>
  <si>
    <t>2026-01-12T14:13:26.000+02:00</t>
  </si>
  <si>
    <t>2026-01-12T14:24:28.000+02:00</t>
  </si>
  <si>
    <t>98abcd80-2b85-4d7a-a1af-c5cb2f70e19c</t>
  </si>
  <si>
    <t>2026-01-13T07:24:28</t>
  </si>
  <si>
    <t>2026-01-13T11:55:50.000+02:00</t>
  </si>
  <si>
    <t>2026-01-13T12:17:12.000+02:00</t>
  </si>
  <si>
    <t>2026-01-13</t>
  </si>
  <si>
    <t>29826c62-67b7-4ed7-bc20-55ba91e86bba</t>
  </si>
  <si>
    <t>2026-01-13T12:35:12</t>
  </si>
  <si>
    <t>2026-01-13T13:09:56.000+02:00</t>
  </si>
  <si>
    <t>2026-01-13T13:33:13.000+02:00</t>
  </si>
  <si>
    <t>b6ec7260-c298-4a3b-a7ed-53a8d3531893</t>
  </si>
  <si>
    <t>2026-01-13T14:02:13</t>
  </si>
  <si>
    <t>2026-01-13T09:50:49.000+02:00</t>
  </si>
  <si>
    <t>2026-01-13T10:02:31.000+02:00</t>
  </si>
  <si>
    <t>3e3d2310-b680-401d-abf4-c3f24ea4dd56</t>
  </si>
  <si>
    <t>2026-01-13T14:02:31</t>
  </si>
  <si>
    <t>2026-01-14T10:29:30.000+02:00</t>
  </si>
  <si>
    <t>2026-01-14T10:40:32.000+02:00</t>
  </si>
  <si>
    <t>2026-01-14</t>
  </si>
  <si>
    <t>c18a37d7-c0a6-4e42-adde-1aee7ded04b6</t>
  </si>
  <si>
    <t>2026-01-14T10:41:32</t>
  </si>
  <si>
    <t>2026-01-14T10:18:54.000+02:00</t>
  </si>
  <si>
    <t>2026-01-14T10:34:12.000+02:00</t>
  </si>
  <si>
    <t>fef0ee4d-5896-41ad-9aaf-fb70dcd9862b</t>
  </si>
  <si>
    <t>2026-01-14T10:44:12</t>
  </si>
  <si>
    <t>2026-01-14T10:51:17.000+02:00</t>
  </si>
  <si>
    <t>2026-01-14T11:07:04.000+02:00</t>
  </si>
  <si>
    <t>1fa98293-a155-4102-9f08-15cf581f2763</t>
  </si>
  <si>
    <t>2026-01-14T11:37:04</t>
  </si>
  <si>
    <t>2026-01-14T11:17:27.000+02:00</t>
  </si>
  <si>
    <t>2026-01-14T11:37:04.000+02:00</t>
  </si>
  <si>
    <t>fc664c95-4637-4afe-955b-c7565555c029</t>
  </si>
  <si>
    <t>2026-01-14T11:38:04</t>
  </si>
  <si>
    <t>2026-01-14T12:34:29.000+02:00</t>
  </si>
  <si>
    <t>2026-01-14T12:48:06.000+02:00</t>
  </si>
  <si>
    <t>85a60827-4f33-4b99-96e2-3366e5e5d575</t>
  </si>
  <si>
    <t>2026-01-14T13:00:06</t>
  </si>
  <si>
    <t>2026-01-15T08:21:07.000+02:00</t>
  </si>
  <si>
    <t>2026-01-15T08:32:11.000+02:00</t>
  </si>
  <si>
    <t>2026-01-15</t>
  </si>
  <si>
    <t>8cc8896e-0e52-4da9-909c-52f3102104a6</t>
  </si>
  <si>
    <t>2026-01-15T08:48:11</t>
  </si>
  <si>
    <t>2026-01-15T11:14:45.000+02:00</t>
  </si>
  <si>
    <t>2026-01-15T11:26:05.000+02:00</t>
  </si>
  <si>
    <t>a2285fac-59d6-466f-9736-2a55f3e25d60</t>
  </si>
  <si>
    <t>2026-01-15T11:44:05</t>
  </si>
  <si>
    <t>2026-01-15T12:01:30.000+02:00</t>
  </si>
  <si>
    <t>2026-01-15T12:25:33.000+02:00</t>
  </si>
  <si>
    <t>5f29d98b-5392-41f5-b9a1-14cd2d8f8e62</t>
  </si>
  <si>
    <t>2026-01-15T12:29:33</t>
  </si>
  <si>
    <t>2026-01-15T11:11:54.000+02:00</t>
  </si>
  <si>
    <t>2026-01-15T11:25:53.000+02:00</t>
  </si>
  <si>
    <t>501af541-97fc-4315-8022-4539eb0cd771</t>
  </si>
  <si>
    <t>2026-01-15T15:25:53</t>
  </si>
  <si>
    <t>2026-01-16T08:07:53.000+02:00</t>
  </si>
  <si>
    <t>2026-01-16T08:30:29.000+02:00</t>
  </si>
  <si>
    <t>2026-01-16</t>
  </si>
  <si>
    <t>ff039d36-7a17-4f06-8051-d27929df701d</t>
  </si>
  <si>
    <t>2026-01-16T08:48:29</t>
  </si>
  <si>
    <t>2026-01-16T08:26:00.000+02:00</t>
  </si>
  <si>
    <t>2026-01-16T08:40:32.000+02:00</t>
  </si>
  <si>
    <t>d9723d86-6135-4aba-84db-c3af57188121</t>
  </si>
  <si>
    <t>2026-01-16T09:06:32</t>
  </si>
  <si>
    <t>2026-01-16T12:35:52.000+02:00</t>
  </si>
  <si>
    <t>2026-01-16T12:52:31.000+02:00</t>
  </si>
  <si>
    <t>3f4f6a14-c082-4c50-97fc-07f2d281b946</t>
  </si>
  <si>
    <t>2026-01-16T12:57:31</t>
  </si>
  <si>
    <t>2026-01-16T14:08:25.000+02:00</t>
  </si>
  <si>
    <t>2026-01-16T14:24:14.000+02:00</t>
  </si>
  <si>
    <t>8a2349ed-a8e7-4cec-87f7-bdc3b1b75a27</t>
  </si>
  <si>
    <t>2026-01-16T14:38:14</t>
  </si>
  <si>
    <t>2026-01-16T13:21:29.000+02:00</t>
  </si>
  <si>
    <t>2026-01-16T13:45:59.000+02:00</t>
  </si>
  <si>
    <t>681b6123-4f76-4354-a940-c9bb9887b914</t>
  </si>
  <si>
    <t>2026-01-16T19:45:59</t>
  </si>
  <si>
    <t>2026-01-16T13:46:19.000+02:00</t>
  </si>
  <si>
    <t>2026-01-16T14:02:17.000+02:00</t>
  </si>
  <si>
    <t>788c2593-0809-4f61-a437-dfc4057724c5</t>
  </si>
  <si>
    <t>2026-01-17T08:02:17</t>
  </si>
  <si>
    <t>2026-01-17T10:08:25.000+02:00</t>
  </si>
  <si>
    <t>2026-01-17T10:25:43.000+02:00</t>
  </si>
  <si>
    <t>2026-01-17</t>
  </si>
  <si>
    <t>35874eae-16d2-477b-85a3-b48663fab883</t>
  </si>
  <si>
    <t>2026-01-17T10:40:43</t>
  </si>
  <si>
    <t>2026-01-17T09:51:30.000+02:00</t>
  </si>
  <si>
    <t>2026-01-17T10:12:37.000+02:00</t>
  </si>
  <si>
    <t>e20aaad6-ea51-4656-b34c-f6745579388f</t>
  </si>
  <si>
    <t>2026-01-17T10:42:37</t>
  </si>
  <si>
    <t>2026-01-17T10:44:24.000+02:00</t>
  </si>
  <si>
    <t>2026-01-17T11:06:07.000+02:00</t>
  </si>
  <si>
    <t>60e2f247-522d-49f5-a626-fa34df0a5a9c</t>
  </si>
  <si>
    <t>2026-01-17T11:07:07</t>
  </si>
  <si>
    <t>2026-01-17T14:53:15.000+02:00</t>
  </si>
  <si>
    <t>2026-01-17T15:04:26.000+02:00</t>
  </si>
  <si>
    <t>cf69c393-6ed1-456a-b11a-a37b3beac153</t>
  </si>
  <si>
    <t>2026-01-17T15:14:26</t>
  </si>
  <si>
    <t>2026-01-18T14:20:48.000+02:00</t>
  </si>
  <si>
    <t>2026-01-18T14:32:30.000+02:00</t>
  </si>
  <si>
    <t>2026-01-18</t>
  </si>
  <si>
    <t>7b670a5c-6f4a-4004-88e9-83d23088ffe2</t>
  </si>
  <si>
    <t>2026-01-18T15:02:30</t>
  </si>
  <si>
    <t>2026-01-18T14:55:56.000+02:00</t>
  </si>
  <si>
    <t>2026-01-18T15:11:59.000+02:00</t>
  </si>
  <si>
    <t>b7ccbce2-f0d6-4990-80df-377a96387a12</t>
  </si>
  <si>
    <t>2026-01-18T15:35:59</t>
  </si>
  <si>
    <t>2026-01-18T13:37:36.000+02:00</t>
  </si>
  <si>
    <t>2026-01-18T13:48:16.000+02:00</t>
  </si>
  <si>
    <t>f74e033d-afa1-405f-94d6-de3271b9736a</t>
  </si>
  <si>
    <t>2026-01-19T06:48:16</t>
  </si>
  <si>
    <t>2026-01-18T14:20:52.000+02:00</t>
  </si>
  <si>
    <t>2026-01-18T14:43:30.000+02:00</t>
  </si>
  <si>
    <t>8166b1a1-b2db-455f-b9e8-624007fa0901</t>
  </si>
  <si>
    <t>2026-01-19T07:43:30</t>
  </si>
  <si>
    <t>2026-01-19T09:25:07.000+02:00</t>
  </si>
  <si>
    <t>2026-01-19T09:38:21.000+02:00</t>
  </si>
  <si>
    <t>2026-01-19</t>
  </si>
  <si>
    <t>d24d743d-4acc-47e4-8a4a-20b2e8066d24</t>
  </si>
  <si>
    <t>2026-01-19T09:44:21</t>
  </si>
  <si>
    <t>2026-01-19T09:14:22.000+02:00</t>
  </si>
  <si>
    <t>2026-01-19T09:32:31.000+02:00</t>
  </si>
  <si>
    <t>68185cab-1447-4286-9b7d-faf4a2e91ef7</t>
  </si>
  <si>
    <t>2026-01-19T09:59:31</t>
  </si>
  <si>
    <t>2026-01-19T12:04:31.000+02:00</t>
  </si>
  <si>
    <t>2026-01-19T12:20:13.000+02:00</t>
  </si>
  <si>
    <t>cb8aca2c-214f-439f-b706-b1361dbae1c3</t>
  </si>
  <si>
    <t>2026-01-19T12:43:13</t>
  </si>
  <si>
    <t>2026-01-19T13:24:08.000+02:00</t>
  </si>
  <si>
    <t>2026-01-19T13:44:28.000+02:00</t>
  </si>
  <si>
    <t>2795a302-1780-418b-b122-7471b8e70cd7</t>
  </si>
  <si>
    <t>2026-01-19T14:08:28</t>
  </si>
  <si>
    <t>2026-01-19T13:43:04.000+02:00</t>
  </si>
  <si>
    <t>2026-01-19T13:55:28.000+02:00</t>
  </si>
  <si>
    <t>60fe2381-25e2-4c8b-b454-cb1a924e85d8</t>
  </si>
  <si>
    <t>2026-01-19T14:25:28</t>
  </si>
  <si>
    <t>2026-01-20T10:54:31.000+02:00</t>
  </si>
  <si>
    <t>2026-01-20T11:04:07.000+02:00</t>
  </si>
  <si>
    <t>2026-01-20</t>
  </si>
  <si>
    <t>0434243e-7075-4481-8754-b12e1d69db27</t>
  </si>
  <si>
    <t>2026-01-20T11:31:07</t>
  </si>
  <si>
    <t>2026-01-20T13:28:00.000+02:00</t>
  </si>
  <si>
    <t>2026-01-20T13:41:17.000+02:00</t>
  </si>
  <si>
    <t>7ec1ea83-f2f4-45ed-9408-4bbae0a2f4b1</t>
  </si>
  <si>
    <t>2026-01-20T13:43:17</t>
  </si>
  <si>
    <t>2026-01-20T08:10:05.000+02:00</t>
  </si>
  <si>
    <t>2026-01-20T08:26:36.000+02:00</t>
  </si>
  <si>
    <t>53227cff-0386-42e6-ba43-2f1009d57b0d</t>
  </si>
  <si>
    <t>2026-01-20T14:26:36</t>
  </si>
  <si>
    <t>2026-01-20T14:42:38.000+02:00</t>
  </si>
  <si>
    <t>2026-01-20T15:00:29.000+02:00</t>
  </si>
  <si>
    <t>ffbd60b4-28a9-4622-9256-5e658a1f71df</t>
  </si>
  <si>
    <t>2026-01-20T20:00:29</t>
  </si>
  <si>
    <t>2026-01-21T08:28:54.000+02:00</t>
  </si>
  <si>
    <t>2026-01-21T08:48:57.000+02:00</t>
  </si>
  <si>
    <t>2026-01-21</t>
  </si>
  <si>
    <t>2b061f23-a30a-403d-b392-38d24093051b</t>
  </si>
  <si>
    <t>2026-01-21T08:55:57</t>
  </si>
  <si>
    <t>2026-01-21T11:40:30.000+02:00</t>
  </si>
  <si>
    <t>2026-01-21T11:51:54.000+02:00</t>
  </si>
  <si>
    <t>32b6be42-e9f9-41ca-91f1-3a528c6a6b43</t>
  </si>
  <si>
    <t>2026-01-21T12:17:54</t>
  </si>
  <si>
    <t>2026-01-21T13:23:34.000+02:00</t>
  </si>
  <si>
    <t>2026-01-21T13:38:16.000+02:00</t>
  </si>
  <si>
    <t>9fbe296e-c55a-4afb-a6f6-cf4996fb90b2</t>
  </si>
  <si>
    <t>2026-01-21T14:01:16</t>
  </si>
  <si>
    <t>2026-01-22T08:25:13.000+02:00</t>
  </si>
  <si>
    <t>2026-01-22T08:39:18.000+02:00</t>
  </si>
  <si>
    <t>2026-01-22</t>
  </si>
  <si>
    <t>ad3b5284-7324-4a9a-82e6-5e8bd5c6586c</t>
  </si>
  <si>
    <t>2026-01-22T08:46:18</t>
  </si>
  <si>
    <t>2026-01-22T08:25:15.000+02:00</t>
  </si>
  <si>
    <t>2026-01-22T08:47:37.000+02:00</t>
  </si>
  <si>
    <t>8a23f53e-bc2a-447c-84ff-a7817c296348</t>
  </si>
  <si>
    <t>2026-01-22T23:47:37</t>
  </si>
  <si>
    <t>2026-01-22T11:10:33.000+02:00</t>
  </si>
  <si>
    <t>2026-01-22T11:29:44.000+02:00</t>
  </si>
  <si>
    <t>14831ef9-d794-4fad-8690-32bc7c2f97da</t>
  </si>
  <si>
    <t>2026-01-23T07:29:44</t>
  </si>
  <si>
    <t>2026-01-22T12:57:51.000+02:00</t>
  </si>
  <si>
    <t>2026-01-22T13:08:26.000+02:00</t>
  </si>
  <si>
    <t>fcbb7cd1-ea7e-4228-bc5a-ac4df8420ae9</t>
  </si>
  <si>
    <t>2026-01-23T09:08:26</t>
  </si>
  <si>
    <t>2026-01-23T09:35:19.000+02:00</t>
  </si>
  <si>
    <t>2026-01-23T09:58:50.000+02:00</t>
  </si>
  <si>
    <t>2026-01-23</t>
  </si>
  <si>
    <t>037f6a63-2161-44b4-8331-a71ea4d4aac3</t>
  </si>
  <si>
    <t>2026-01-23T10:00:50</t>
  </si>
  <si>
    <t>2026-01-23T10:43:17.000+02:00</t>
  </si>
  <si>
    <t>2026-01-23T11:05:17.000+02:00</t>
  </si>
  <si>
    <t>fc8f35aa-ea96-4eb1-89b0-21ad6964b2e3</t>
  </si>
  <si>
    <t>2026-01-23T11:32:17</t>
  </si>
  <si>
    <t>2026-01-23T11:37:31.000+02:00</t>
  </si>
  <si>
    <t>2026-01-23T12:01:58.000+02:00</t>
  </si>
  <si>
    <t>7574722f-b1c8-4e60-9181-29e04aa335d4</t>
  </si>
  <si>
    <t>2026-01-23T12:18:58</t>
  </si>
  <si>
    <t>2026-01-23T12:03:24.000+02:00</t>
  </si>
  <si>
    <t>2026-01-23T12:26:36.000+02:00</t>
  </si>
  <si>
    <t>96dde29b-c7df-4e1c-99bd-f336f684f54f</t>
  </si>
  <si>
    <t>2026-01-23T12:53:36</t>
  </si>
  <si>
    <t>2026-01-23T08:50:09.000+02:00</t>
  </si>
  <si>
    <t>2026-01-23T09:10:29.000+02:00</t>
  </si>
  <si>
    <t>2ec8f949-e5a1-4996-9984-53609f9c620b</t>
  </si>
  <si>
    <t>2026-01-23T14:10:29</t>
  </si>
  <si>
    <t>2026-01-23T14:16:19.000+02:00</t>
  </si>
  <si>
    <t>2026-01-23T14:27:35.000+02:00</t>
  </si>
  <si>
    <t>e040950b-b33a-4477-aef5-aabfbe1e89c7</t>
  </si>
  <si>
    <t>2026-01-23T14:45:35</t>
  </si>
  <si>
    <t>2026-01-23T13:57:25.000+02:00</t>
  </si>
  <si>
    <t>2026-01-23T14:21:09.000+02:00</t>
  </si>
  <si>
    <t>e5965d58-e2f2-4bc4-a2ef-4a97e18aad83</t>
  </si>
  <si>
    <t>2026-01-23T14:50:09</t>
  </si>
  <si>
    <t>2026-01-23T14:18:56.000+02:00</t>
  </si>
  <si>
    <t>2026-01-23T14:42:31.000+02:00</t>
  </si>
  <si>
    <t>89609c8b-5f73-4e08-83a8-983c3b542487</t>
  </si>
  <si>
    <t>2026-01-23T15:11:31</t>
  </si>
  <si>
    <t>2026-01-24T11:50:22.000+02:00</t>
  </si>
  <si>
    <t>2026-01-24T12:08:30.000+02:00</t>
  </si>
  <si>
    <t>2026-01-24</t>
  </si>
  <si>
    <t>bbd5cdf4-ac8e-4d8b-a623-e91da6ff3dec</t>
  </si>
  <si>
    <t>2026-01-24T12:24:30</t>
  </si>
  <si>
    <t>2026-01-24T13:51:49.000+02:00</t>
  </si>
  <si>
    <t>2026-01-24T14:01:17.000+02:00</t>
  </si>
  <si>
    <t>d54ab0ee-09b3-4904-b12f-22ca91671680</t>
  </si>
  <si>
    <t>2026-01-24T14:21:17</t>
  </si>
  <si>
    <t>2026-01-24T14:53:39.000+02:00</t>
  </si>
  <si>
    <t>2026-01-24T15:04:27.000+02:00</t>
  </si>
  <si>
    <t>HH-114</t>
  </si>
  <si>
    <t>d67d2e7f-ded2-4f49-9ad2-91260b007b48</t>
  </si>
  <si>
    <t>2026-01-24T15:13:27</t>
  </si>
  <si>
    <t>2026-01-24T14:54:24.000+02:00</t>
  </si>
  <si>
    <t>2026-01-24T15:03:47.000+02:00</t>
  </si>
  <si>
    <t>c380da30-b2bc-4f2a-9ff5-f5cc61d63524</t>
  </si>
  <si>
    <t>2026-01-24T21:03:47</t>
  </si>
  <si>
    <t>2026-01-25T12:54:35.000+02:00</t>
  </si>
  <si>
    <t>2026-01-25T13:19:14.000+02:00</t>
  </si>
  <si>
    <t>2026-01-25</t>
  </si>
  <si>
    <t>1fce4f02-c600-4a06-a161-0ba9872038c8</t>
  </si>
  <si>
    <t>2026-01-25T13:23:14</t>
  </si>
  <si>
    <t>2026-01-25T13:08:36.000+02:00</t>
  </si>
  <si>
    <t>2026-01-25T13:23:03.000+02:00</t>
  </si>
  <si>
    <t>e5c3546b-b634-41b5-8808-9eff675ba90a</t>
  </si>
  <si>
    <t>2026-01-25T13:32:03</t>
  </si>
  <si>
    <t>2026-01-26T08:37:34.000+02:00</t>
  </si>
  <si>
    <t>2026-01-26T08:48:28.000+02:00</t>
  </si>
  <si>
    <t>2026-01-26</t>
  </si>
  <si>
    <t>2253564f-e915-40a7-94d1-db088e4025cb</t>
  </si>
  <si>
    <t>2026-01-26T09:02:28</t>
  </si>
  <si>
    <t>2026-01-26T10:26:10.000+02:00</t>
  </si>
  <si>
    <t>2026-01-26T10:40:43.000+02:00</t>
  </si>
  <si>
    <t>627d2420-d165-43da-94c4-ad5364cd8fe2</t>
  </si>
  <si>
    <t>2026-01-26T11:06:43</t>
  </si>
  <si>
    <t>2026-01-26T10:48:08.000+02:00</t>
  </si>
  <si>
    <t>2026-01-26T11:06:51.000+02:00</t>
  </si>
  <si>
    <t>HH-118</t>
  </si>
  <si>
    <t>87adae13-a8fa-4a56-9b11-da61d8f40586</t>
  </si>
  <si>
    <t>2026-01-26T11:19:51</t>
  </si>
  <si>
    <t>2026-01-26T11:18:23.000+02:00</t>
  </si>
  <si>
    <t>2026-01-26T11:41:50.000+02:00</t>
  </si>
  <si>
    <t>d99c8a4a-5d0c-45ed-b4d0-58761984f3a9</t>
  </si>
  <si>
    <t>2026-01-26T11:45:50</t>
  </si>
  <si>
    <t>2026-01-26T12:02:53.000+02:00</t>
  </si>
  <si>
    <t>2026-01-26T12:16:26.000+02:00</t>
  </si>
  <si>
    <t>e2e801d2-440f-4856-b11e-7f0ed20d2874</t>
  </si>
  <si>
    <t>2026-01-26T12:21:26</t>
  </si>
  <si>
    <t>2026-01-26T11:50:02.000+02:00</t>
  </si>
  <si>
    <t>2026-01-26T12:13:05.000+02:00</t>
  </si>
  <si>
    <t>142de137-a15f-493f-b2e2-7fd7f86342dc</t>
  </si>
  <si>
    <t>2026-01-26T12:41:05</t>
  </si>
  <si>
    <t>2026-01-26T13:32:29.000+02:00</t>
  </si>
  <si>
    <t>2026-01-26T13:47:19.000+02:00</t>
  </si>
  <si>
    <t>5b4783fa-0d75-4655-ad16-8247f48c36db</t>
  </si>
  <si>
    <t>2026-01-27T05:47:19</t>
  </si>
  <si>
    <t>2026-01-27T13:30:52.000+02:00</t>
  </si>
  <si>
    <t>2026-01-27T13:46:14.000+02:00</t>
  </si>
  <si>
    <t>2026-01-27</t>
  </si>
  <si>
    <t>HH-091</t>
  </si>
  <si>
    <t>dbf5ef31-da88-422e-9802-f7f54d614c21</t>
  </si>
  <si>
    <t>2026-01-27T14:13:14</t>
  </si>
  <si>
    <t>2026-01-27T09:52:39.000+02:00</t>
  </si>
  <si>
    <t>2026-01-27T10:03:53.000+02:00</t>
  </si>
  <si>
    <t>f35fe514-e6a7-44ae-bce2-95e2f0e5253d</t>
  </si>
  <si>
    <t>2026-01-28T01:03:53</t>
  </si>
  <si>
    <t>2026-01-28T08:03:36.000+02:00</t>
  </si>
  <si>
    <t>2026-01-28T08:21:20.000+02:00</t>
  </si>
  <si>
    <t>2026-01-28</t>
  </si>
  <si>
    <t>1b8bf005-ec01-48c9-8157-a8f088d1e565</t>
  </si>
  <si>
    <t>2026-01-28T08:31:20</t>
  </si>
  <si>
    <t>2026-01-28T10:05:32.000+02:00</t>
  </si>
  <si>
    <t>2026-01-28T10:27:28.000+02:00</t>
  </si>
  <si>
    <t>HH-068</t>
  </si>
  <si>
    <t>3ed0bfd3-c14c-471b-a046-71d558ae6012</t>
  </si>
  <si>
    <t>2026-01-28T10:35:28</t>
  </si>
  <si>
    <t>2026-01-28T14:18:11.000+02:00</t>
  </si>
  <si>
    <t>2026-01-28T14:30:44.000+02:00</t>
  </si>
  <si>
    <t>75bbc5b9-fbb2-4ce6-ac34-c19692f5edaf</t>
  </si>
  <si>
    <t>2026-01-28T14:42:44</t>
  </si>
  <si>
    <t>2026-01-28T08:19:26.000+02:00</t>
  </si>
  <si>
    <t>2026-01-28T08:35:54.000+02:00</t>
  </si>
  <si>
    <t>3f3feaa8-a1dd-4379-8165-7559998e9d61</t>
  </si>
  <si>
    <t>2026-01-29T04:35:54</t>
  </si>
  <si>
    <t>2026-01-29T12:25:56.000+02:00</t>
  </si>
  <si>
    <t>2026-01-29T12:34:57.000+02:00</t>
  </si>
  <si>
    <t>2026-01-29</t>
  </si>
  <si>
    <t>75479732-a9d5-43b4-8da7-613952b21d10</t>
  </si>
  <si>
    <t>2026-01-29T12:48:57</t>
  </si>
  <si>
    <t>2026-01-29T14:39:05.000+02:00</t>
  </si>
  <si>
    <t>2026-01-29T14:55:11.000+02:00</t>
  </si>
  <si>
    <t>eee2e0a4-3b00-4f8e-affe-a07067f5dc55</t>
  </si>
  <si>
    <t>2026-01-29T15:25:11</t>
  </si>
  <si>
    <t>2026-01-30T09:42:17.000+02:00</t>
  </si>
  <si>
    <t>2026-01-30T09:57:19.000+02:00</t>
  </si>
  <si>
    <t>2026-01-30</t>
  </si>
  <si>
    <t>HH-017</t>
  </si>
  <si>
    <t>ad8cfeab-0386-424f-b283-6410e1a6b0ae</t>
  </si>
  <si>
    <t>2026-01-30T10:17:19</t>
  </si>
  <si>
    <t>Import index: one row per submission in Kobo_Import</t>
  </si>
  <si>
    <t>Marks the latest consented assessment of each household and ranks households by code for the register. Nothing here is typed.</t>
  </si>
  <si>
    <t>Kobo_Import row</t>
  </si>
  <si>
    <t>Consent</t>
  </si>
  <si>
    <t>Assessment date</t>
  </si>
  <si>
    <t>Visit type</t>
  </si>
  <si>
    <t>Sort key (date, then export order)</t>
  </si>
  <si>
    <t>Latest for household</t>
  </si>
  <si>
    <t>Register position</t>
  </si>
  <si>
    <t>Lookup key</t>
  </si>
  <si>
    <t>Field map: form fields → Kobo_Import columns</t>
  </si>
  <si>
    <t>Each field is found by its header name, so the export’s column order does not matter. “Not found” means the export settings or the form changed.</t>
  </si>
  <si>
    <t>Form field (XML name)</t>
  </si>
  <si>
    <t>Column in Kobo_Import</t>
  </si>
  <si>
    <t>Used for</t>
  </si>
  <si>
    <t>Not used (interview timing)</t>
  </si>
  <si>
    <t>Traceability only</t>
  </si>
  <si>
    <t>Register: site</t>
  </si>
  <si>
    <t>Form logic only (shelter-type filter)</t>
  </si>
  <si>
    <t>Registration vs re-verification</t>
  </si>
  <si>
    <t>Only consented submissions are registered</t>
  </si>
  <si>
    <t>Household key across all sheets</t>
  </si>
  <si>
    <t>Register; shelter needs</t>
  </si>
  <si>
    <t>Register; shelter needs; priority</t>
  </si>
  <si>
    <t>Register; blankets, mattresses; priority</t>
  </si>
  <si>
    <t>Priority</t>
  </si>
  <si>
    <t>Diapers; infant-feeding referral; priority</t>
  </si>
  <si>
    <t>Register</t>
  </si>
  <si>
    <t>Priority; disability referrals</t>
  </si>
  <si>
    <t>Blanket need</t>
  </si>
  <si>
    <t>Mattress need</t>
  </si>
  <si>
    <t>Infant-feeding referral</t>
  </si>
  <si>
    <t>Traceability</t>
  </si>
  <si>
    <t>Settings and assumptions</t>
  </si>
  <si>
    <t>Blue values are assumptions for this synthetic scenario. Formulas across the workbook read them from here.</t>
  </si>
  <si>
    <t>Parameter</t>
  </si>
  <si>
    <t>Value</t>
  </si>
  <si>
    <t>Note / source</t>
  </si>
  <si>
    <t>date</t>
  </si>
  <si>
    <t>Synthetic “as of” date for days-open and days-since-assessment.</t>
  </si>
  <si>
    <t>Reference: maximum people per tap</t>
  </si>
  <si>
    <t>people</t>
  </si>
  <si>
    <t>Indicative Sphere WASH indicator (practice use; verify against the current Sphere Handbook).</t>
  </si>
  <si>
    <t>Reference: maximum people per latrine</t>
  </si>
  <si>
    <t>Indicative Sphere WASH indicator (practice use; verify).</t>
  </si>
  <si>
    <t>Reference: minimum water per person per day</t>
  </si>
  <si>
    <t>litres</t>
  </si>
  <si>
    <t>Blankets per person (winter planning figure)</t>
  </si>
  <si>
    <t>per person</t>
  </si>
  <si>
    <t>Illustrative; adjust to shelter / NFI cluster guidance.</t>
  </si>
  <si>
    <t>Mattresses per person</t>
  </si>
  <si>
    <t>Illustrative planning figure.</t>
  </si>
  <si>
    <t>Tarpaulins per damaged tent / makeshift shelter</t>
  </si>
  <si>
    <t>Tents per unusable tent / makeshift shelter</t>
  </si>
  <si>
    <t>Repair kits per damaged shelter</t>
  </si>
  <si>
    <t>kit</t>
  </si>
  <si>
    <t>Winter clothing sets per person without adequate winter clothing</t>
  </si>
  <si>
    <t>set</t>
  </si>
  <si>
    <t>Children and adults are planned separately because sizes differ.</t>
  </si>
  <si>
    <t>Diaper packs per child under 2, per month</t>
  </si>
  <si>
    <t>packs</t>
  </si>
  <si>
    <t>Family hygiene kits per household, per month</t>
  </si>
  <si>
    <t>Menstrual hygiene kits per woman / girl 12–49, per month</t>
  </si>
  <si>
    <t>Referral follow-up due after</t>
  </si>
  <si>
    <t>days</t>
  </si>
  <si>
    <t>Open referrals older than this are flagged “Overdue”.</t>
  </si>
  <si>
    <t>Target days to resolve safety-related maintenance</t>
  </si>
  <si>
    <t>Illustrative service target.</t>
  </si>
  <si>
    <t>Target days to resolve other maintenance</t>
  </si>
  <si>
    <t>Re-verification visit due after (days since latest assessment)</t>
  </si>
  <si>
    <t>Households not assessed within this period go on the follow-up list.</t>
  </si>
  <si>
    <t>Priority weight: child under 2</t>
  </si>
  <si>
    <t>points</t>
  </si>
  <si>
    <t>Priority orders follow-up review; it is not eligibility.</t>
  </si>
  <si>
    <t>Priority weight: person with disability</t>
  </si>
  <si>
    <t>Priority weight: older person (60+)</t>
  </si>
  <si>
    <t>Priority weight: pregnant or breastfeeding woman</t>
  </si>
  <si>
    <t>Priority weight: female-headed household</t>
  </si>
  <si>
    <t>Priority weight: shelter unusable</t>
  </si>
  <si>
    <t>Priority weight: shelter damaged</t>
  </si>
  <si>
    <t>Priority weight: large household</t>
  </si>
  <si>
    <t>Large household threshold</t>
  </si>
  <si>
    <t>members</t>
  </si>
  <si>
    <t>Priority band: High from score</t>
  </si>
  <si>
    <t>Priority band: Medium from score</t>
  </si>
  <si>
    <t>Multiple-gap threshold</t>
  </si>
  <si>
    <t>item types</t>
  </si>
  <si>
    <t>Households with unmet need in at least this many item types count as having multiple gaps.</t>
  </si>
  <si>
    <t>Contingency on draft quantities</t>
  </si>
  <si>
    <t>%</t>
  </si>
  <si>
    <t>Applied in BoQ_Draft.</t>
  </si>
  <si>
    <t>Illustrative unit costs (USD) — placeholders, not market prices</t>
  </si>
  <si>
    <t>USD per unit</t>
  </si>
  <si>
    <t>Placeholder for draft budgeting practice only.</t>
  </si>
  <si>
    <t>Reference lists</t>
  </si>
  <si>
    <t>Drop-down values for the logs, and the form’s choice values with their English labels (copied from the XLSForm choices sheet).</t>
  </si>
  <si>
    <t>Items</t>
  </si>
  <si>
    <t>Service types</t>
  </si>
  <si>
    <t>Referral status</t>
  </si>
  <si>
    <t>Nutrition partner outcome</t>
  </si>
  <si>
    <t>Maintenance categories</t>
  </si>
  <si>
    <t>Maintenance status</t>
  </si>
  <si>
    <t>Providers</t>
  </si>
  <si>
    <t>Sites</t>
  </si>
  <si>
    <t>Yes/No</t>
  </si>
  <si>
    <t>Initiative status</t>
  </si>
  <si>
    <t>Form list</t>
  </si>
  <si>
    <t>Form value (XML)</t>
  </si>
  <si>
    <t>English label</t>
  </si>
  <si>
    <t>yes_no</t>
  </si>
  <si>
    <t>visit_types</t>
  </si>
  <si>
    <t>New registration</t>
  </si>
  <si>
    <t>Re-verification visit</t>
  </si>
  <si>
    <t>sites</t>
  </si>
  <si>
    <t>shelter_types</t>
  </si>
  <si>
    <t>Classroom</t>
  </si>
  <si>
    <t>Tent</t>
  </si>
  <si>
    <t>Makeshift shelter</t>
  </si>
  <si>
    <t>Collective room</t>
  </si>
  <si>
    <t>conditions</t>
  </si>
  <si>
    <t>Adequate</t>
  </si>
  <si>
    <t>Damaged</t>
  </si>
  <si>
    <t>Unusable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</si>
</sst>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3" x14ac:knownFonts="1">
    <font>
      <sz val="11"/>
      <color theme="1"/>
      <name val="Calibri"/>
      <family val="2"/>
      <charset val="1"/>
    </font>
    <font>
      <b/>
      <sz val="16"/>
      <color rgb="FF1F3864"/>
      <name val="Arial"/>
      <charset val="1"/>
    </font>
    <font>
      <b/>
      <sz val="10"/>
      <color rgb="FFD03B3B"/>
      <name val="Arial"/>
      <charset val="1"/>
    </font>
    <font>
      <b/>
      <sz val="10"/>
      <name val="Arial"/>
      <charset val="1"/>
    </font>
    <font>
      <sz val="10"/>
      <color rgb="FF000000"/>
      <name val="Arial"/>
      <charset val="1"/>
    </font>
    <font>
      <b/>
      <sz val="14"/>
      <color rgb="FF1F3864"/>
      <name val="Arial"/>
      <charset val="1"/>
    </font>
    <font>
      <i/>
      <sz val="9"/>
      <color rgb="FF595959"/>
      <name val="Arial"/>
      <charset val="1"/>
    </font>
    <font>
      <b/>
      <sz val="9"/>
      <color rgb="FF595959"/>
      <name val="Arial"/>
      <charset val="1"/>
    </font>
    <font>
      <b/>
      <sz val="11"/>
      <color rgb="FF1F3864"/>
      <name val="Arial"/>
      <charset val="1"/>
    </font>
    <font>
      <b/>
      <sz val="10"/>
      <color rgb="FFFFFFFF"/>
      <name val="Arial"/>
      <charset val="1"/>
    </font>
    <font>
      <b/>
      <sz val="12"/>
      <color rgb="FF1F3864"/>
      <name val="Arial"/>
      <charset val="1"/>
    </font>
    <font>
      <sz val="10"/>
      <color rgb="FF0000FF"/>
      <name val="Arial"/>
      <charset val="1"/>
    </font>
    <font>
      <sz val="10"/>
      <name val="Arial"/>
      <family val="2"/>
    </font>
  </fonts>
  <fills count="7">
    <fill>
      <patternFill patternType="none"/>
    </fill>
    <fill>
      <patternFill patternType="gray125"/>
    </fill>
    <fill>
      <patternFill patternType="solid">
        <fgColor rgb="FF1F3864"/>
        <bgColor rgb="FF2F5597"/>
      </patternFill>
    </fill>
    <fill>
      <patternFill patternType="solid">
        <fgColor rgb="FF7F7F7F"/>
        <bgColor rgb="FF878787"/>
      </patternFill>
    </fill>
    <fill>
      <patternFill patternType="solid">
        <fgColor rgb="FFF2F2F2"/>
        <bgColor rgb="FFFFFFFF"/>
      </patternFill>
    </fill>
    <fill>
      <patternFill patternType="solid">
        <fgColor rgb="FF2F5597"/>
        <bgColor rgb="FF1F3864"/>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xfId="0"/>
    <xf numFmtId="0" fontId="9" fillId="5" borderId="0" xfId="0" applyFont="1" applyFill="1" applyBorder="1" applyAlignment="1">
      <alignment horizontal="center" vertical="center" wrapText="1"/>
    </xf>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164" fontId="6" fillId="0" borderId="0" xfId="0" applyNumberFormat="1" applyFont="1"/>
    <xf numFmtId="0" fontId="7" fillId="0" borderId="0" xfId="0" applyFont="1"/>
    <xf numFmtId="0" fontId="3" fillId="0" borderId="0" xfId="0" applyFont="1"/>
    <xf numFmtId="0" fontId="4" fillId="0" borderId="1" xfId="0" applyFont="1" applyBorder="1"/>
    <xf numFmtId="1" fontId="8" fillId="0" borderId="1" xfId="0" applyNumberFormat="1" applyFont="1" applyBorder="1" applyAlignment="1">
      <alignment horizontal="right"/>
    </xf>
    <xf numFmtId="3" fontId="8" fillId="0" borderId="1" xfId="0" applyNumberFormat="1" applyFont="1" applyBorder="1" applyAlignment="1">
      <alignment horizontal="right"/>
    </xf>
    <xf numFmtId="9" fontId="8" fillId="0" borderId="1" xfId="0" applyNumberFormat="1" applyFont="1" applyBorder="1" applyAlignment="1">
      <alignment horizontal="right"/>
    </xf>
    <xf numFmtId="0" fontId="9" fillId="2" borderId="1" xfId="0" applyFont="1" applyFill="1" applyBorder="1" applyAlignment="1">
      <alignment horizontal="center" vertical="center" wrapText="1"/>
    </xf>
    <xf numFmtId="3" fontId="4" fillId="0" borderId="1" xfId="0" applyNumberFormat="1" applyFont="1" applyBorder="1"/>
    <xf numFmtId="9" fontId="4" fillId="0" borderId="1" xfId="0" applyNumberFormat="1" applyFont="1" applyBorder="1"/>
    <xf numFmtId="1" fontId="4" fillId="0" borderId="1" xfId="0" applyNumberFormat="1" applyFont="1" applyBorder="1"/>
    <xf numFmtId="165" fontId="4" fillId="0" borderId="1" xfId="0" applyNumberFormat="1" applyFont="1" applyBorder="1"/>
    <xf numFmtId="0" fontId="3" fillId="0" borderId="0" xfId="0" applyFont="1" applyAlignment="1">
      <alignment horizontal="right"/>
    </xf>
    <xf numFmtId="0" fontId="10" fillId="0" borderId="0" xfId="0" applyFont="1"/>
    <xf numFmtId="164" fontId="3" fillId="0" borderId="0" xfId="0" applyNumberFormat="1" applyFont="1"/>
    <xf numFmtId="0" fontId="9" fillId="3" borderId="1" xfId="0" applyFont="1" applyFill="1" applyBorder="1" applyAlignment="1">
      <alignment horizontal="center" vertical="center" wrapText="1"/>
    </xf>
    <xf numFmtId="0" fontId="4" fillId="4" borderId="1" xfId="0" applyFont="1" applyFill="1" applyBorder="1"/>
    <xf numFmtId="0" fontId="4" fillId="4" borderId="1" xfId="0" applyFont="1" applyFill="1" applyBorder="1"/>
    <xf numFmtId="0" fontId="4" fillId="4" borderId="1" xfId="0" applyFont="1" applyFill="1" applyBorder="1" applyAlignment="1">
      <alignment vertical="top" wrapText="1"/>
    </xf>
    <xf numFmtId="1" fontId="4" fillId="4" borderId="1" xfId="0" applyNumberFormat="1" applyFont="1" applyFill="1" applyBorder="1"/>
    <xf numFmtId="164" fontId="4" fillId="4" borderId="1" xfId="0" applyNumberFormat="1" applyFont="1" applyFill="1" applyBorder="1"/>
    <xf numFmtId="0" fontId="11" fillId="0" borderId="1" xfId="0" applyFont="1" applyBorder="1"/>
    <xf numFmtId="164" fontId="11" fillId="0" borderId="1" xfId="0" applyNumberFormat="1" applyFont="1" applyBorder="1"/>
    <xf numFmtId="3" fontId="11" fillId="0" borderId="1" xfId="0" applyNumberFormat="1" applyFont="1" applyBorder="1"/>
    <xf numFmtId="165" fontId="4" fillId="4" borderId="1" xfId="0" applyNumberFormat="1" applyFont="1" applyFill="1" applyBorder="1"/>
    <xf numFmtId="9" fontId="4" fillId="4" borderId="1" xfId="0" applyNumberFormat="1" applyFont="1" applyFill="1" applyBorder="1"/>
    <xf numFmtId="9" fontId="11" fillId="0" borderId="1" xfId="0" applyNumberFormat="1" applyFont="1" applyBorder="1"/>
    <xf numFmtId="3" fontId="4" fillId="4" borderId="1" xfId="0" applyNumberFormat="1" applyFont="1" applyFill="1" applyBorder="1"/>
    <xf numFmtId="0" fontId="3" fillId="0" borderId="1" xfId="0" applyFont="1" applyBorder="1"/>
    <xf numFmtId="3" fontId="3" fillId="4" borderId="1" xfId="0" applyNumberFormat="1" applyFont="1" applyFill="1" applyBorder="1"/>
    <xf numFmtId="0" fontId="9" fillId="2" borderId="0" xfId="0" applyFont="1" applyFill="1" applyAlignment="1">
      <alignment horizontal="center" vertical="center" wrapText="1"/>
    </xf>
    <xf numFmtId="0" fontId="11" fillId="0" borderId="0" xfId="0" applyFont="1"/>
    <xf numFmtId="164" fontId="11" fillId="6" borderId="1" xfId="0" applyNumberFormat="1" applyFont="1" applyFill="1" applyBorder="1"/>
    <xf numFmtId="0" fontId="6" fillId="0" borderId="1" xfId="0" applyFont="1" applyBorder="1"/>
    <xf numFmtId="0" fontId="11" fillId="6" borderId="1" xfId="0" applyFont="1" applyFill="1" applyBorder="1"/>
    <xf numFmtId="9" fontId="11" fillId="6" borderId="1" xfId="0" applyNumberFormat="1" applyFont="1" applyFill="1" applyBorder="1"/>
    <xf numFmtId="3" fontId="11" fillId="6" borderId="1" xfId="0" applyNumberFormat="1" applyFont="1" applyFill="1" applyBorder="1"/>
    <xf numFmtId="0" fontId="0" fillId="0" borderId="0" xfId="0" applyAlignment="1">
      <alignment horizontal="center"/>
    </xf>
    <xf numFmtId="0" fontId="4" fillId="4" borderId="1" xfId="0" applyFont="1" applyFill="1" applyBorder="1" applyAlignment="1">
      <alignment horizontal="center"/>
    </xf>
    <xf numFmtId="0" fontId="5" fillId="0" borderId="0" xfId="0" applyFont="1" applyAlignment="1">
      <alignment horizontal="center"/>
    </xf>
    <xf numFmtId="0" fontId="6" fillId="0" borderId="0" xfId="0" applyFont="1" applyAlignment="1">
      <alignment horizontal="center"/>
    </xf>
    <xf numFmtId="164" fontId="4" fillId="4" borderId="1" xfId="0" applyNumberFormat="1" applyFont="1" applyFill="1" applyBorder="1" applyAlignment="1">
      <alignment horizontal="center"/>
    </xf>
    <xf numFmtId="1" fontId="4" fillId="4" borderId="1" xfId="0" applyNumberFormat="1" applyFont="1" applyFill="1" applyBorder="1" applyAlignment="1">
      <alignment horizontal="center"/>
    </xf>
  </cellXfs>
  <cellStyles count="1">
    <cellStyle name="Normal" xfId="0" builtinId="0"/>
  </cellStyles>
  <dxfs count="38">
    <dxf>
      <font>
        <b/>
        <color rgb="FFFFFFFF"/>
        <name val="Arial"/>
        <charset val="1"/>
      </font>
      <fill>
        <patternFill>
          <bgColor rgb="FFD03B3B"/>
        </patternFill>
      </fill>
    </dxf>
    <dxf>
      <font>
        <b/>
        <color rgb="FF000000"/>
        <name val="Arial"/>
        <charset val="1"/>
      </font>
      <fill>
        <patternFill>
          <bgColor rgb="FFC6EFCE"/>
        </patternFill>
      </fill>
    </dxf>
    <dxf>
      <font>
        <b/>
        <color rgb="FF000000"/>
        <name val="Arial"/>
        <charset val="1"/>
      </font>
      <fill>
        <patternFill>
          <bgColor rgb="FFC6EFCE"/>
        </patternFill>
      </fill>
    </dxf>
    <dxf>
      <font>
        <b/>
        <color rgb="FF000000"/>
        <name val="Arial"/>
        <charset val="1"/>
      </font>
      <fill>
        <patternFill>
          <bgColor rgb="FFEC835A"/>
        </patternFill>
      </fill>
    </dxf>
    <dxf>
      <font>
        <b/>
        <color rgb="FF000000"/>
        <name val="Arial"/>
        <charset val="1"/>
      </font>
      <fill>
        <patternFill>
          <bgColor rgb="FFC6EFCE"/>
        </patternFill>
      </fill>
    </dxf>
    <dxf>
      <font>
        <b/>
        <color rgb="FF000000"/>
        <name val="Arial"/>
        <charset val="1"/>
      </font>
      <fill>
        <patternFill>
          <bgColor rgb="FFEC835A"/>
        </patternFill>
      </fill>
    </dxf>
    <dxf>
      <font>
        <b/>
        <color rgb="FF000000"/>
        <name val="Arial"/>
        <charset val="1"/>
      </font>
      <fill>
        <patternFill>
          <bgColor rgb="FFC6EFCE"/>
        </patternFill>
      </fill>
    </dxf>
    <dxf>
      <font>
        <b/>
        <color rgb="FF000000"/>
        <name val="Arial"/>
        <charset val="1"/>
      </font>
      <fill>
        <patternFill>
          <bgColor rgb="FFEC835A"/>
        </patternFill>
      </fill>
    </dxf>
    <dxf>
      <font>
        <b/>
        <color rgb="FFFFFFFF"/>
        <name val="Arial"/>
        <charset val="1"/>
      </font>
      <fill>
        <patternFill>
          <bgColor rgb="FFD03B3B"/>
        </patternFill>
      </fill>
    </dxf>
    <dxf>
      <font>
        <b/>
        <color rgb="FFFFFFFF"/>
        <name val="Arial"/>
        <charset val="1"/>
      </font>
      <fill>
        <patternFill>
          <bgColor rgb="FFD03B3B"/>
        </patternFill>
      </fill>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D03B3B"/>
        <name val="Arial"/>
        <charset val="1"/>
      </font>
    </dxf>
    <dxf>
      <font>
        <b/>
        <color rgb="FF000000"/>
        <name val="Arial"/>
        <charset val="1"/>
      </font>
      <fill>
        <patternFill>
          <bgColor rgb="FFFAB219"/>
        </patternFill>
      </fill>
    </dxf>
    <dxf>
      <font>
        <b/>
        <color rgb="FFFFFFFF"/>
        <name val="Arial"/>
        <charset val="1"/>
      </font>
      <fill>
        <patternFill>
          <bgColor rgb="FFD03B3B"/>
        </patternFill>
      </fill>
    </dxf>
    <dxf>
      <font>
        <b/>
        <color rgb="FF000000"/>
        <name val="Arial"/>
        <charset val="1"/>
      </font>
      <fill>
        <patternFill>
          <bgColor rgb="FFFAB219"/>
        </patternFill>
      </fill>
    </dxf>
    <dxf>
      <font>
        <b/>
        <color rgb="FF000000"/>
        <name val="Arial"/>
        <charset val="1"/>
      </font>
      <fill>
        <patternFill>
          <bgColor rgb="FFFAB219"/>
        </patternFill>
      </fill>
    </dxf>
    <dxf>
      <font>
        <b/>
        <color rgb="FFFFFFFF"/>
        <name val="Arial"/>
        <charset val="1"/>
      </font>
      <fill>
        <patternFill>
          <bgColor rgb="FFD03B3B"/>
        </patternFill>
      </fill>
    </dxf>
    <dxf>
      <font>
        <b/>
        <name val="Arial"/>
        <charset val="1"/>
      </font>
      <fill>
        <patternFill>
          <bgColor rgb="FFEC835A"/>
        </patternFill>
      </fill>
    </dxf>
    <dxf>
      <font>
        <b/>
        <color rgb="FF000000"/>
        <name val="Arial"/>
        <charset val="1"/>
      </font>
      <fill>
        <patternFill>
          <bgColor rgb="FFFAB219"/>
        </patternFill>
      </fill>
    </dxf>
    <dxf>
      <font>
        <b/>
        <color rgb="FF000000"/>
        <name val="Arial"/>
        <charset val="1"/>
      </font>
      <fill>
        <patternFill>
          <bgColor rgb="FFFAB219"/>
        </patternFill>
      </fill>
    </dxf>
    <dxf>
      <font>
        <b/>
        <color rgb="FF000000"/>
        <name val="Arial"/>
        <charset val="1"/>
      </font>
      <fill>
        <patternFill>
          <bgColor rgb="FFFAB219"/>
        </patternFill>
      </fill>
    </dxf>
    <dxf>
      <font>
        <b/>
        <color rgb="FFFFFFFF"/>
        <name val="Arial"/>
        <charset val="1"/>
      </font>
      <fill>
        <patternFill>
          <bgColor rgb="FFD03B3B"/>
        </patternFill>
      </fill>
    </dxf>
    <dxf>
      <font>
        <b/>
        <color rgb="FF000000"/>
        <name val="Arial"/>
        <charset val="1"/>
      </font>
      <fill>
        <patternFill>
          <bgColor rgb="FFFAB219"/>
        </patternFill>
      </fill>
    </dxf>
    <dxf>
      <font>
        <b/>
        <color rgb="FFFFFFFF"/>
        <name val="Arial"/>
        <charset val="1"/>
      </font>
      <fill>
        <patternFill>
          <bgColor rgb="FFD03B3B"/>
        </patternFill>
      </fill>
    </dxf>
    <dxf>
      <font>
        <b/>
        <color rgb="FF000000"/>
        <name val="Arial"/>
        <charset val="1"/>
      </font>
      <fill>
        <patternFill>
          <bgColor rgb="FFC6EFCE"/>
        </patternFill>
      </fill>
    </dxf>
    <dxf>
      <font>
        <b/>
        <color rgb="FF000000"/>
        <name val="Arial"/>
        <charset val="1"/>
      </font>
      <fill>
        <patternFill>
          <bgColor rgb="FFEC835A"/>
        </patternFill>
      </fill>
    </dxf>
    <dxf>
      <font>
        <b/>
        <color rgb="FF000000"/>
        <name val="Arial"/>
        <charset val="1"/>
      </font>
      <fill>
        <patternFill>
          <bgColor rgb="FFC6EFCE"/>
        </patternFill>
      </fill>
    </dxf>
    <dxf>
      <font>
        <b/>
        <color rgb="FF000000"/>
        <name val="Arial"/>
        <charset val="1"/>
      </font>
      <fill>
        <patternFill>
          <bgColor rgb="FFEC835A"/>
        </patternFill>
      </fill>
    </dxf>
    <dxf>
      <font>
        <b/>
        <color rgb="FF000000"/>
        <name val="Arial"/>
        <charset val="1"/>
      </font>
      <fill>
        <patternFill>
          <bgColor rgb="FFC6EFCE"/>
        </patternFill>
      </fill>
    </dxf>
    <dxf>
      <font>
        <b/>
        <color rgb="FF000000"/>
        <name val="Arial"/>
        <charset val="1"/>
      </font>
      <fill>
        <patternFill>
          <bgColor rgb="FFEC835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D03B3B"/>
      <rgbColor rgb="FFFFF2CC"/>
      <rgbColor rgb="FFF2F2F2"/>
      <rgbColor rgb="FF660066"/>
      <rgbColor rgb="FFEC835A"/>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A78D6"/>
      <rgbColor rgb="FF33CCCC"/>
      <rgbColor rgb="FF99CC00"/>
      <rgbColor rgb="FFFFCC00"/>
      <rgbColor rgb="FFFAB219"/>
      <rgbColor rgb="FFEB6834"/>
      <rgbColor rgb="FF595959"/>
      <rgbColor rgb="FF878787"/>
      <rgbColor rgb="FF1F3864"/>
      <rgbColor rgb="FF339966"/>
      <rgbColor rgb="FF003300"/>
      <rgbColor rgb="FF333300"/>
      <rgbColor rgb="FF993300"/>
      <rgbColor rgb="FF993366"/>
      <rgbColor rgb="FF2F5597"/>
      <rgbColor rgb="FF52514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US" sz="1100" b="1" strike="noStrike" spc="-1">
                <a:solidFill>
                  <a:srgbClr val="1F3864"/>
                </a:solidFill>
                <a:latin typeface="Arial"/>
              </a:rPr>
              <a:t>Share of assessed need met, by item</a:t>
            </a:r>
          </a:p>
        </c:rich>
      </c:tx>
      <c:overlay val="0"/>
      <c:spPr>
        <a:noFill/>
        <a:ln w="0">
          <a:noFill/>
        </a:ln>
      </c:spPr>
    </c:title>
    <c:autoTitleDeleted val="0"/>
    <c:plotArea>
      <c:layout/>
      <c:barChart>
        <c:barDir val="bar"/>
        <c:grouping val="clustered"/>
        <c:varyColors val="0"/>
        <c:ser>
          <c:idx val="0"/>
          <c:order val="0"/>
          <c:tx>
            <c:strRef>
              <c:f>Dashboard!$G$24</c:f>
              <c:strCache>
                <c:ptCount val="1"/>
                <c:pt idx="0">
                  <c:v>Share of need met</c:v>
                </c:pt>
              </c:strCache>
            </c:strRef>
          </c:tx>
          <c:spPr>
            <a:solidFill>
              <a:srgbClr val="2A78D6"/>
            </a:solidFill>
            <a:ln w="0">
              <a:solidFill>
                <a:srgbClr val="2A78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Dashboard!$B$25:$B$34</c:f>
              <c:strCache>
                <c:ptCount val="10"/>
                <c:pt idx="0">
                  <c:v>Blankets</c:v>
                </c:pt>
                <c:pt idx="1">
                  <c:v>Mattresses</c:v>
                </c:pt>
                <c:pt idx="2">
                  <c:v>Tarpaulins</c:v>
                </c:pt>
                <c:pt idx="3">
                  <c:v>Tent replacement</c:v>
                </c:pt>
                <c:pt idx="4">
                  <c:v>Shelter repair kits</c:v>
                </c:pt>
                <c:pt idx="5">
                  <c:v>Winter clothing – children</c:v>
                </c:pt>
                <c:pt idx="6">
                  <c:v>Winter clothing – adults</c:v>
                </c:pt>
                <c:pt idx="7">
                  <c:v>Diapers</c:v>
                </c:pt>
                <c:pt idx="8">
                  <c:v>Family hygiene kits</c:v>
                </c:pt>
                <c:pt idx="9">
                  <c:v>Menstrual hygiene kits</c:v>
                </c:pt>
              </c:strCache>
            </c:strRef>
          </c:cat>
          <c:val>
            <c:numRef>
              <c:f>Dashboard!$G$25:$G$34</c:f>
              <c:numCache>
                <c:formatCode>0%</c:formatCode>
                <c:ptCount val="10"/>
                <c:pt idx="0">
                  <c:v>0.3627232142857143</c:v>
                </c:pt>
                <c:pt idx="1">
                  <c:v>0.28378378378378377</c:v>
                </c:pt>
                <c:pt idx="2">
                  <c:v>0.25</c:v>
                </c:pt>
                <c:pt idx="3">
                  <c:v>0</c:v>
                </c:pt>
                <c:pt idx="4">
                  <c:v>0.37037037037037035</c:v>
                </c:pt>
                <c:pt idx="5">
                  <c:v>0.30769230769230771</c:v>
                </c:pt>
                <c:pt idx="6">
                  <c:v>0.17886178861788618</c:v>
                </c:pt>
                <c:pt idx="7">
                  <c:v>0.3</c:v>
                </c:pt>
                <c:pt idx="8">
                  <c:v>0.64166666666666672</c:v>
                </c:pt>
                <c:pt idx="9">
                  <c:v>0.16145833333333334</c:v>
                </c:pt>
              </c:numCache>
            </c:numRef>
          </c:val>
          <c:extLst>
            <c:ext xmlns:c16="http://schemas.microsoft.com/office/drawing/2014/chart" uri="{C3380CC4-5D6E-409C-BE32-E72D297353CC}">
              <c16:uniqueId val="{00000000-E6C6-4E07-9585-BB267FD8DB2A}"/>
            </c:ext>
          </c:extLst>
        </c:ser>
        <c:dLbls>
          <c:showLegendKey val="0"/>
          <c:showVal val="0"/>
          <c:showCatName val="0"/>
          <c:showSerName val="0"/>
          <c:showPercent val="0"/>
          <c:showBubbleSize val="0"/>
        </c:dLbls>
        <c:gapWidth val="60"/>
        <c:axId val="10480992"/>
        <c:axId val="46816401"/>
      </c:barChart>
      <c:catAx>
        <c:axId val="10480992"/>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46816401"/>
        <c:crosses val="autoZero"/>
        <c:auto val="1"/>
        <c:lblAlgn val="ctr"/>
        <c:lblOffset val="100"/>
        <c:noMultiLvlLbl val="0"/>
      </c:catAx>
      <c:valAx>
        <c:axId val="46816401"/>
        <c:scaling>
          <c:orientation val="minMax"/>
          <c:max val="1"/>
          <c:min val="0"/>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10480992"/>
        <c:crosses val="max"/>
        <c:crossBetween val="between"/>
        <c:majorUnit val="0.2"/>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US" sz="1100" b="1" strike="noStrike" spc="-1">
                <a:solidFill>
                  <a:srgbClr val="1F3864"/>
                </a:solidFill>
                <a:latin typeface="Arial"/>
              </a:rPr>
              <a:t>Share of households with multiple gaps, by site</a:t>
            </a:r>
          </a:p>
        </c:rich>
      </c:tx>
      <c:overlay val="0"/>
      <c:spPr>
        <a:noFill/>
        <a:ln w="0">
          <a:noFill/>
        </a:ln>
      </c:spPr>
    </c:title>
    <c:autoTitleDeleted val="0"/>
    <c:plotArea>
      <c:layout/>
      <c:barChart>
        <c:barDir val="col"/>
        <c:grouping val="clustered"/>
        <c:varyColors val="0"/>
        <c:ser>
          <c:idx val="0"/>
          <c:order val="0"/>
          <c:tx>
            <c:strRef>
              <c:f>Dashboard!$F$38</c:f>
              <c:strCache>
                <c:ptCount val="1"/>
                <c:pt idx="0">
                  <c:v>Share with multiple gaps</c:v>
                </c:pt>
              </c:strCache>
            </c:strRef>
          </c:tx>
          <c:spPr>
            <a:solidFill>
              <a:srgbClr val="2A78D6"/>
            </a:solidFill>
            <a:ln w="0">
              <a:solidFill>
                <a:srgbClr val="2A78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Dashboard!$B$39:$B$42</c:f>
              <c:strCache>
                <c:ptCount val="4"/>
                <c:pt idx="0">
                  <c:v>Site A – School Shelter</c:v>
                </c:pt>
                <c:pt idx="1">
                  <c:v>Site B – School Shelter</c:v>
                </c:pt>
                <c:pt idx="2">
                  <c:v>Site C – Informal Tent Area</c:v>
                </c:pt>
                <c:pt idx="3">
                  <c:v>Site D – Collective Centre</c:v>
                </c:pt>
              </c:strCache>
            </c:strRef>
          </c:cat>
          <c:val>
            <c:numRef>
              <c:f>Dashboard!$F$39:$F$42</c:f>
              <c:numCache>
                <c:formatCode>0%</c:formatCode>
                <c:ptCount val="4"/>
                <c:pt idx="0">
                  <c:v>0.67647058823529416</c:v>
                </c:pt>
                <c:pt idx="1">
                  <c:v>0.33333333333333331</c:v>
                </c:pt>
                <c:pt idx="2">
                  <c:v>0.88888888888888884</c:v>
                </c:pt>
                <c:pt idx="3">
                  <c:v>0.8</c:v>
                </c:pt>
              </c:numCache>
            </c:numRef>
          </c:val>
          <c:extLst>
            <c:ext xmlns:c16="http://schemas.microsoft.com/office/drawing/2014/chart" uri="{C3380CC4-5D6E-409C-BE32-E72D297353CC}">
              <c16:uniqueId val="{00000000-CE02-4931-85B2-65163A70CBA9}"/>
            </c:ext>
          </c:extLst>
        </c:ser>
        <c:dLbls>
          <c:showLegendKey val="0"/>
          <c:showVal val="0"/>
          <c:showCatName val="0"/>
          <c:showSerName val="0"/>
          <c:showPercent val="0"/>
          <c:showBubbleSize val="0"/>
        </c:dLbls>
        <c:gapWidth val="60"/>
        <c:axId val="36474162"/>
        <c:axId val="80816688"/>
      </c:barChart>
      <c:catAx>
        <c:axId val="364741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80816688"/>
        <c:crosses val="autoZero"/>
        <c:auto val="1"/>
        <c:lblAlgn val="ctr"/>
        <c:lblOffset val="100"/>
        <c:noMultiLvlLbl val="0"/>
      </c:catAx>
      <c:valAx>
        <c:axId val="80816688"/>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36474162"/>
        <c:crosses val="autoZero"/>
        <c:crossBetween val="between"/>
        <c:majorUnit val="0.2"/>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US" sz="1100" b="1" strike="noStrike" spc="-1">
                <a:solidFill>
                  <a:srgbClr val="1F3864"/>
                </a:solidFill>
                <a:latin typeface="Arial"/>
              </a:rPr>
              <a:t>Why households are on this week’s follow-up list</a:t>
            </a:r>
          </a:p>
        </c:rich>
      </c:tx>
      <c:overlay val="0"/>
      <c:spPr>
        <a:noFill/>
        <a:ln w="0">
          <a:noFill/>
        </a:ln>
      </c:spPr>
    </c:title>
    <c:autoTitleDeleted val="0"/>
    <c:plotArea>
      <c:layout/>
      <c:barChart>
        <c:barDir val="bar"/>
        <c:grouping val="clustered"/>
        <c:varyColors val="0"/>
        <c:ser>
          <c:idx val="0"/>
          <c:order val="0"/>
          <c:tx>
            <c:strRef>
              <c:f>Dashboard!$C$46</c:f>
              <c:strCache>
                <c:ptCount val="1"/>
                <c:pt idx="0">
                  <c:v>Households</c:v>
                </c:pt>
              </c:strCache>
            </c:strRef>
          </c:tx>
          <c:spPr>
            <a:solidFill>
              <a:srgbClr val="2A78D6"/>
            </a:solidFill>
            <a:ln w="0">
              <a:solidFill>
                <a:srgbClr val="2A78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Dashboard!$B$47:$B$51</c:f>
              <c:strCache>
                <c:ptCount val="5"/>
                <c:pt idx="0">
                  <c:v>Overdue referral</c:v>
                </c:pt>
                <c:pt idx="1">
                  <c:v>IYCF referral still to be made</c:v>
                </c:pt>
                <c:pt idx="2">
                  <c:v>Tent replacement pending</c:v>
                </c:pt>
                <c:pt idx="3">
                  <c:v>Household shelter repair open</c:v>
                </c:pt>
                <c:pt idx="4">
                  <c:v>Re-verification due</c:v>
                </c:pt>
              </c:strCache>
            </c:strRef>
          </c:cat>
          <c:val>
            <c:numRef>
              <c:f>Dashboard!$C$47:$C$51</c:f>
              <c:numCache>
                <c:formatCode>0</c:formatCode>
                <c:ptCount val="5"/>
                <c:pt idx="0">
                  <c:v>9</c:v>
                </c:pt>
                <c:pt idx="1">
                  <c:v>2</c:v>
                </c:pt>
                <c:pt idx="2">
                  <c:v>9</c:v>
                </c:pt>
                <c:pt idx="3">
                  <c:v>2</c:v>
                </c:pt>
                <c:pt idx="4">
                  <c:v>17</c:v>
                </c:pt>
              </c:numCache>
            </c:numRef>
          </c:val>
          <c:extLst>
            <c:ext xmlns:c16="http://schemas.microsoft.com/office/drawing/2014/chart" uri="{C3380CC4-5D6E-409C-BE32-E72D297353CC}">
              <c16:uniqueId val="{00000000-8414-4B19-9B64-29B151616B36}"/>
            </c:ext>
          </c:extLst>
        </c:ser>
        <c:dLbls>
          <c:showLegendKey val="0"/>
          <c:showVal val="0"/>
          <c:showCatName val="0"/>
          <c:showSerName val="0"/>
          <c:showPercent val="0"/>
          <c:showBubbleSize val="0"/>
        </c:dLbls>
        <c:gapWidth val="60"/>
        <c:axId val="55867417"/>
        <c:axId val="32940009"/>
      </c:barChart>
      <c:catAx>
        <c:axId val="55867417"/>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32940009"/>
        <c:crosses val="autoZero"/>
        <c:auto val="1"/>
        <c:lblAlgn val="ctr"/>
        <c:lblOffset val="100"/>
        <c:noMultiLvlLbl val="0"/>
      </c:catAx>
      <c:valAx>
        <c:axId val="32940009"/>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55867417"/>
        <c:crosses val="max"/>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US" sz="1100" b="1" strike="noStrike" spc="-1">
                <a:solidFill>
                  <a:srgbClr val="1F3864"/>
                </a:solidFill>
                <a:latin typeface="Arial"/>
              </a:rPr>
              <a:t>Open and overdue referrals, by service</a:t>
            </a:r>
          </a:p>
        </c:rich>
      </c:tx>
      <c:overlay val="0"/>
      <c:spPr>
        <a:noFill/>
        <a:ln w="0">
          <a:noFill/>
        </a:ln>
      </c:spPr>
    </c:title>
    <c:autoTitleDeleted val="0"/>
    <c:plotArea>
      <c:layout/>
      <c:barChart>
        <c:barDir val="col"/>
        <c:grouping val="clustered"/>
        <c:varyColors val="0"/>
        <c:ser>
          <c:idx val="0"/>
          <c:order val="0"/>
          <c:tx>
            <c:strRef>
              <c:f>Dashboard!$D$55</c:f>
              <c:strCache>
                <c:ptCount val="1"/>
                <c:pt idx="0">
                  <c:v>Open</c:v>
                </c:pt>
              </c:strCache>
            </c:strRef>
          </c:tx>
          <c:spPr>
            <a:solidFill>
              <a:srgbClr val="2A78D6"/>
            </a:solidFill>
            <a:ln w="0">
              <a:solidFill>
                <a:srgbClr val="2A78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Dashboard!$B$56:$B$60</c:f>
              <c:strCache>
                <c:ptCount val="5"/>
                <c:pt idx="0">
                  <c:v>Nutrition / IYCF</c:v>
                </c:pt>
                <c:pt idx="1">
                  <c:v>Health</c:v>
                </c:pt>
                <c:pt idx="2">
                  <c:v>Disability services</c:v>
                </c:pt>
                <c:pt idx="3">
                  <c:v>Protection</c:v>
                </c:pt>
                <c:pt idx="4">
                  <c:v>Shelter / NFI</c:v>
                </c:pt>
              </c:strCache>
            </c:strRef>
          </c:cat>
          <c:val>
            <c:numRef>
              <c:f>Dashboard!$D$56:$D$60</c:f>
              <c:numCache>
                <c:formatCode>0</c:formatCode>
                <c:ptCount val="5"/>
                <c:pt idx="0">
                  <c:v>6</c:v>
                </c:pt>
                <c:pt idx="1">
                  <c:v>2</c:v>
                </c:pt>
                <c:pt idx="2">
                  <c:v>9</c:v>
                </c:pt>
                <c:pt idx="3">
                  <c:v>4</c:v>
                </c:pt>
                <c:pt idx="4">
                  <c:v>5</c:v>
                </c:pt>
              </c:numCache>
            </c:numRef>
          </c:val>
          <c:extLst>
            <c:ext xmlns:c16="http://schemas.microsoft.com/office/drawing/2014/chart" uri="{C3380CC4-5D6E-409C-BE32-E72D297353CC}">
              <c16:uniqueId val="{00000000-B132-4620-8165-E73194674764}"/>
            </c:ext>
          </c:extLst>
        </c:ser>
        <c:ser>
          <c:idx val="1"/>
          <c:order val="1"/>
          <c:tx>
            <c:strRef>
              <c:f>Dashboard!$E$55</c:f>
              <c:strCache>
                <c:ptCount val="1"/>
                <c:pt idx="0">
                  <c:v>Overdue</c:v>
                </c:pt>
              </c:strCache>
            </c:strRef>
          </c:tx>
          <c:spPr>
            <a:solidFill>
              <a:srgbClr val="EB6834"/>
            </a:solidFill>
            <a:ln w="0">
              <a:solidFill>
                <a:srgbClr val="EB683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Dashboard!$B$56:$B$60</c:f>
              <c:strCache>
                <c:ptCount val="5"/>
                <c:pt idx="0">
                  <c:v>Nutrition / IYCF</c:v>
                </c:pt>
                <c:pt idx="1">
                  <c:v>Health</c:v>
                </c:pt>
                <c:pt idx="2">
                  <c:v>Disability services</c:v>
                </c:pt>
                <c:pt idx="3">
                  <c:v>Protection</c:v>
                </c:pt>
                <c:pt idx="4">
                  <c:v>Shelter / NFI</c:v>
                </c:pt>
              </c:strCache>
            </c:strRef>
          </c:cat>
          <c:val>
            <c:numRef>
              <c:f>Dashboard!$E$56:$E$60</c:f>
              <c:numCache>
                <c:formatCode>0</c:formatCode>
                <c:ptCount val="5"/>
                <c:pt idx="0">
                  <c:v>4</c:v>
                </c:pt>
                <c:pt idx="1">
                  <c:v>1</c:v>
                </c:pt>
                <c:pt idx="2">
                  <c:v>2</c:v>
                </c:pt>
                <c:pt idx="3">
                  <c:v>1</c:v>
                </c:pt>
                <c:pt idx="4">
                  <c:v>1</c:v>
                </c:pt>
              </c:numCache>
            </c:numRef>
          </c:val>
          <c:extLst>
            <c:ext xmlns:c16="http://schemas.microsoft.com/office/drawing/2014/chart" uri="{C3380CC4-5D6E-409C-BE32-E72D297353CC}">
              <c16:uniqueId val="{00000001-B132-4620-8165-E73194674764}"/>
            </c:ext>
          </c:extLst>
        </c:ser>
        <c:dLbls>
          <c:showLegendKey val="0"/>
          <c:showVal val="0"/>
          <c:showCatName val="0"/>
          <c:showSerName val="0"/>
          <c:showPercent val="0"/>
          <c:showBubbleSize val="0"/>
        </c:dLbls>
        <c:gapWidth val="60"/>
        <c:axId val="1108207"/>
        <c:axId val="70279018"/>
      </c:barChart>
      <c:catAx>
        <c:axId val="11082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70279018"/>
        <c:crosses val="autoZero"/>
        <c:auto val="1"/>
        <c:lblAlgn val="ctr"/>
        <c:lblOffset val="100"/>
        <c:noMultiLvlLbl val="0"/>
      </c:catAx>
      <c:valAx>
        <c:axId val="7027901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800" b="0" strike="noStrike" spc="-1">
                <a:solidFill>
                  <a:srgbClr val="52514E"/>
                </a:solidFill>
                <a:latin typeface="Arial"/>
              </a:defRPr>
            </a:pPr>
            <a:endParaRPr lang="en-US"/>
          </a:p>
        </c:txPr>
        <c:crossAx val="110820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130680</xdr:rowOff>
    </xdr:from>
    <xdr:to>
      <xdr:col>19</xdr:col>
      <xdr:colOff>4680</xdr:colOff>
      <xdr:row>21</xdr:row>
      <xdr:rowOff>100440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23</xdr:row>
      <xdr:rowOff>321120</xdr:rowOff>
    </xdr:from>
    <xdr:to>
      <xdr:col>19</xdr:col>
      <xdr:colOff>4680</xdr:colOff>
      <xdr:row>37</xdr:row>
      <xdr:rowOff>343440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41</xdr:row>
      <xdr:rowOff>130680</xdr:rowOff>
    </xdr:from>
    <xdr:to>
      <xdr:col>19</xdr:col>
      <xdr:colOff>4680</xdr:colOff>
      <xdr:row>54</xdr:row>
      <xdr:rowOff>163440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58</xdr:row>
      <xdr:rowOff>131040</xdr:rowOff>
    </xdr:from>
    <xdr:to>
      <xdr:col>19</xdr:col>
      <xdr:colOff>4680</xdr:colOff>
      <xdr:row>71</xdr:row>
      <xdr:rowOff>343800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6"/>
  <sheetViews>
    <sheetView showGridLines="0" topLeftCell="A13" zoomScaleNormal="100" workbookViewId="0"/>
  </sheetViews>
  <sheetFormatPr defaultColWidth="8.6640625" defaultRowHeight="14.4" x14ac:dyDescent="0.3"/>
  <cols>
    <col min="1" max="1" width="3" customWidth="1"/>
    <col min="2" max="2" width="26" customWidth="1"/>
    <col min="3" max="3" width="105" customWidth="1"/>
  </cols>
  <sheetData>
    <row r="1" spans="2:3" ht="21" x14ac:dyDescent="0.4">
      <c r="B1" s="2" t="s">
        <v>0</v>
      </c>
    </row>
    <row r="2" spans="2:3" x14ac:dyDescent="0.3">
      <c r="B2" s="3" t="s">
        <v>1</v>
      </c>
    </row>
    <row r="4" spans="2:3" ht="63.75" customHeight="1" x14ac:dyDescent="0.3">
      <c r="B4" s="4" t="s">
        <v>2</v>
      </c>
      <c r="C4" s="5" t="s">
        <v>3</v>
      </c>
    </row>
    <row r="5" spans="2:3" ht="63.75" customHeight="1" x14ac:dyDescent="0.3">
      <c r="B5" s="4" t="s">
        <v>4</v>
      </c>
      <c r="C5" s="5" t="s">
        <v>5</v>
      </c>
    </row>
    <row r="6" spans="2:3" ht="63.75" customHeight="1" x14ac:dyDescent="0.3">
      <c r="B6" s="4" t="s">
        <v>6</v>
      </c>
      <c r="C6" s="5" t="s">
        <v>7</v>
      </c>
    </row>
    <row r="7" spans="2:3" ht="63.75" customHeight="1" x14ac:dyDescent="0.3">
      <c r="B7" s="4" t="s">
        <v>8</v>
      </c>
      <c r="C7" s="5" t="s">
        <v>9</v>
      </c>
    </row>
    <row r="8" spans="2:3" ht="78.75" customHeight="1" x14ac:dyDescent="0.3">
      <c r="B8" s="4" t="s">
        <v>10</v>
      </c>
      <c r="C8" s="5" t="s">
        <v>11</v>
      </c>
    </row>
    <row r="9" spans="2:3" ht="48.75" customHeight="1" x14ac:dyDescent="0.3">
      <c r="B9" s="4" t="s">
        <v>12</v>
      </c>
      <c r="C9" s="5" t="s">
        <v>13</v>
      </c>
    </row>
    <row r="10" spans="2:3" ht="33.75" customHeight="1" x14ac:dyDescent="0.3">
      <c r="B10" s="4" t="s">
        <v>14</v>
      </c>
      <c r="C10" s="5" t="s">
        <v>15</v>
      </c>
    </row>
    <row r="11" spans="2:3" ht="48.75" customHeight="1" x14ac:dyDescent="0.3">
      <c r="B11" s="4" t="s">
        <v>16</v>
      </c>
      <c r="C11" s="5" t="s">
        <v>17</v>
      </c>
    </row>
    <row r="12" spans="2:3" ht="48.75" customHeight="1" x14ac:dyDescent="0.3">
      <c r="B12" s="4" t="s">
        <v>18</v>
      </c>
      <c r="C12" s="5" t="s">
        <v>19</v>
      </c>
    </row>
    <row r="13" spans="2:3" ht="93.75" customHeight="1" x14ac:dyDescent="0.3">
      <c r="B13" s="4" t="s">
        <v>20</v>
      </c>
      <c r="C13" s="5" t="s">
        <v>21</v>
      </c>
    </row>
    <row r="14" spans="2:3" ht="18.75" customHeight="1" x14ac:dyDescent="0.3">
      <c r="B14" s="4" t="s">
        <v>22</v>
      </c>
      <c r="C14" s="5" t="s">
        <v>23</v>
      </c>
    </row>
    <row r="15" spans="2:3" ht="48.75" customHeight="1" x14ac:dyDescent="0.3">
      <c r="B15" s="4" t="s">
        <v>24</v>
      </c>
      <c r="C15" s="5" t="s">
        <v>25</v>
      </c>
    </row>
    <row r="16" spans="2:3" ht="33.75" customHeight="1" x14ac:dyDescent="0.3">
      <c r="B16" s="4" t="s">
        <v>26</v>
      </c>
      <c r="C16" s="5" t="s">
        <v>27</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H83"/>
  <sheetViews>
    <sheetView showGridLines="0" zoomScale="85" zoomScaleNormal="85" workbookViewId="0">
      <selection activeCell="G19" sqref="G19"/>
    </sheetView>
  </sheetViews>
  <sheetFormatPr defaultColWidth="8.6640625" defaultRowHeight="14.4" x14ac:dyDescent="0.3"/>
  <cols>
    <col min="1" max="1" width="2" customWidth="1"/>
    <col min="2" max="2" width="56" customWidth="1"/>
    <col min="3" max="3" width="14" customWidth="1"/>
    <col min="4" max="4" width="16" customWidth="1"/>
    <col min="5" max="5" width="14" customWidth="1"/>
    <col min="6" max="6" width="16" customWidth="1"/>
    <col min="7" max="7" width="14" customWidth="1"/>
    <col min="8" max="8" width="16" customWidth="1"/>
    <col min="9" max="9" width="2" customWidth="1"/>
  </cols>
  <sheetData>
    <row r="1" spans="1:6" ht="21" x14ac:dyDescent="0.4">
      <c r="A1" s="6"/>
      <c r="B1" s="2" t="s">
        <v>28</v>
      </c>
    </row>
    <row r="2" spans="1:6" x14ac:dyDescent="0.3">
      <c r="A2" s="7"/>
      <c r="B2" s="7" t="s">
        <v>29</v>
      </c>
      <c r="D2" s="8">
        <f>Settings!$B$5</f>
        <v>46053</v>
      </c>
      <c r="F2" s="9" t="str">
        <f>IF(COUNTIF(Field_Map!$C$5:$C$31,"Found")=27,"Import check: all form fields found","Import check: "&amp;(27-COUNTIF(Field_Map!$C$5:$C$31,"Found"))&amp;" field(s) not found – see Field_Map")</f>
        <v>Import check: all form fields found</v>
      </c>
    </row>
    <row r="3" spans="1:6" x14ac:dyDescent="0.3">
      <c r="B3" s="10" t="s">
        <v>30</v>
      </c>
    </row>
    <row r="4" spans="1:6" x14ac:dyDescent="0.3">
      <c r="B4" s="11" t="s">
        <v>31</v>
      </c>
      <c r="C4" s="12">
        <f>COUNTIF(Households!$A$5:$A$154,"?*")</f>
        <v>120</v>
      </c>
    </row>
    <row r="5" spans="1:6" x14ac:dyDescent="0.3">
      <c r="B5" s="11" t="s">
        <v>32</v>
      </c>
      <c r="C5" s="13">
        <f>SUM(Households!$H$5:$H$154)</f>
        <v>798</v>
      </c>
    </row>
    <row r="6" spans="1:6" x14ac:dyDescent="0.3">
      <c r="B6" s="11" t="s">
        <v>33</v>
      </c>
      <c r="C6" s="12">
        <f>COUNTIF(Import_Index!$C$5:$C$304,"yes")</f>
        <v>146</v>
      </c>
    </row>
    <row r="7" spans="1:6" x14ac:dyDescent="0.3">
      <c r="B7" s="11" t="s">
        <v>34</v>
      </c>
      <c r="C7" s="12">
        <f>COUNTIFS(Import_Index!$C$5:$C$304,"yes",Import_Index!$E$5:$E$304,"reverification")</f>
        <v>26</v>
      </c>
    </row>
    <row r="8" spans="1:6" x14ac:dyDescent="0.3">
      <c r="B8" s="11" t="s">
        <v>35</v>
      </c>
      <c r="C8" s="12">
        <f>COUNTIF(Import_Index!$C$5:$C$304,"no")</f>
        <v>2</v>
      </c>
    </row>
    <row r="9" spans="1:6" x14ac:dyDescent="0.3">
      <c r="B9" s="11" t="s">
        <v>36</v>
      </c>
      <c r="C9" s="12">
        <f>COUNTIF(Needs_Gaps!$AH$5:$AH$154,"Yes")</f>
        <v>119</v>
      </c>
    </row>
    <row r="10" spans="1:6" x14ac:dyDescent="0.3">
      <c r="B10" s="11" t="s">
        <v>37</v>
      </c>
      <c r="C10" s="14">
        <f>IF(C4=0,0,C9/C4)</f>
        <v>0.9916666666666667</v>
      </c>
    </row>
    <row r="11" spans="1:6" x14ac:dyDescent="0.3">
      <c r="B11" s="11" t="str">
        <f>"Households with gaps in "&amp;Settings!$B$33&amp;"+ item types"</f>
        <v>Households with gaps in 4+ item types</v>
      </c>
      <c r="C11" s="12">
        <f>COUNTIF(Needs_Gaps!$AI$5:$AI$154,"&gt;="&amp;Settings!$B$33)</f>
        <v>81</v>
      </c>
    </row>
    <row r="12" spans="1:6" x14ac:dyDescent="0.3">
      <c r="B12" s="11" t="s">
        <v>38</v>
      </c>
      <c r="C12" s="12">
        <f>COUNTIF(Households!$X$5:$X$154,"High")</f>
        <v>23</v>
      </c>
    </row>
    <row r="13" spans="1:6" x14ac:dyDescent="0.3">
      <c r="B13" s="11" t="s">
        <v>39</v>
      </c>
      <c r="C13" s="12">
        <f>COUNTIF(Households!$AF$5:$AF$154,"&gt;0")</f>
        <v>37</v>
      </c>
    </row>
    <row r="14" spans="1:6" x14ac:dyDescent="0.3">
      <c r="B14" s="11" t="s">
        <v>40</v>
      </c>
      <c r="C14" s="12">
        <f>COUNTIF(Households!$Y$5:$Y$154,"Yes")</f>
        <v>17</v>
      </c>
    </row>
    <row r="15" spans="1:6" x14ac:dyDescent="0.3">
      <c r="B15" s="11" t="s">
        <v>41</v>
      </c>
      <c r="C15" s="12">
        <f>COUNTIF(Households!$AB$5:$AB$154,"Referral needed")</f>
        <v>2</v>
      </c>
    </row>
    <row r="16" spans="1:6" x14ac:dyDescent="0.3">
      <c r="B16" s="11" t="s">
        <v>42</v>
      </c>
      <c r="C16" s="12">
        <f>COUNTIF(Referrals!$G$5:$G$52,"Referred")+COUNTIF(Referrals!$G$5:$G$52,"Acknowledged")</f>
        <v>26</v>
      </c>
    </row>
    <row r="17" spans="2:7" x14ac:dyDescent="0.3">
      <c r="B17" s="11" t="s">
        <v>43</v>
      </c>
      <c r="C17" s="12">
        <f>COUNTIF(Referrals!$K$5:$K$52,"Overdue")</f>
        <v>9</v>
      </c>
    </row>
    <row r="18" spans="2:7" x14ac:dyDescent="0.3">
      <c r="B18" s="11" t="s">
        <v>44</v>
      </c>
      <c r="C18" s="12">
        <f>COUNTIF(Maintenance_Log!$H$5:$H$40,"Open")+COUNTIF(Maintenance_Log!$H$5:$H$40,"In progress")</f>
        <v>20</v>
      </c>
    </row>
    <row r="19" spans="2:7" x14ac:dyDescent="0.3">
      <c r="B19" s="11" t="s">
        <v>45</v>
      </c>
      <c r="C19" s="12">
        <f>COUNTIFS(Maintenance_Log!$H$5:$H$40,"&lt;&gt;Resolved",Maintenance_Log!$F$5:$F$40,"Yes")</f>
        <v>7</v>
      </c>
    </row>
    <row r="20" spans="2:7" x14ac:dyDescent="0.3">
      <c r="B20" s="11" t="s">
        <v>46</v>
      </c>
      <c r="C20" s="13">
        <f>BoQ_Draft!$G$17</f>
        <v>29517</v>
      </c>
    </row>
    <row r="23" spans="2:7" x14ac:dyDescent="0.3">
      <c r="B23" s="10" t="s">
        <v>47</v>
      </c>
    </row>
    <row r="24" spans="2:7" ht="30" customHeight="1" x14ac:dyDescent="0.3">
      <c r="B24" s="15" t="s">
        <v>48</v>
      </c>
      <c r="C24" s="15" t="s">
        <v>49</v>
      </c>
      <c r="D24" s="15" t="s">
        <v>50</v>
      </c>
      <c r="E24" s="15" t="s">
        <v>51</v>
      </c>
      <c r="F24" s="15" t="s">
        <v>52</v>
      </c>
      <c r="G24" s="15" t="s">
        <v>53</v>
      </c>
    </row>
    <row r="25" spans="2:7" x14ac:dyDescent="0.3">
      <c r="B25" s="11" t="s">
        <v>54</v>
      </c>
      <c r="C25" s="11" t="s">
        <v>55</v>
      </c>
      <c r="D25" s="16">
        <f>SUM(Needs_Gaps!$D$5:$D$154)</f>
        <v>896</v>
      </c>
      <c r="E25" s="16">
        <f>SUM(Needs_Gaps!$F$5:$F$154)</f>
        <v>571</v>
      </c>
      <c r="F25" s="16">
        <f t="shared" ref="F25:F34" si="0">D25-E25</f>
        <v>325</v>
      </c>
      <c r="G25" s="17">
        <f t="shared" ref="G25:G34" si="1">IF(D25=0,0,F25/D25)</f>
        <v>0.3627232142857143</v>
      </c>
    </row>
    <row r="26" spans="2:7" x14ac:dyDescent="0.3">
      <c r="B26" s="11" t="s">
        <v>56</v>
      </c>
      <c r="C26" s="11" t="s">
        <v>55</v>
      </c>
      <c r="D26" s="16">
        <f>SUM(Needs_Gaps!$G$5:$G$154)</f>
        <v>370</v>
      </c>
      <c r="E26" s="16">
        <f>SUM(Needs_Gaps!$I$5:$I$154)</f>
        <v>265</v>
      </c>
      <c r="F26" s="16">
        <f t="shared" si="0"/>
        <v>105</v>
      </c>
      <c r="G26" s="17">
        <f t="shared" si="1"/>
        <v>0.28378378378378377</v>
      </c>
    </row>
    <row r="27" spans="2:7" x14ac:dyDescent="0.3">
      <c r="B27" s="11" t="s">
        <v>57</v>
      </c>
      <c r="C27" s="11" t="s">
        <v>58</v>
      </c>
      <c r="D27" s="16">
        <f>SUM(Needs_Gaps!$J$5:$J$154)</f>
        <v>28</v>
      </c>
      <c r="E27" s="16">
        <f>SUM(Needs_Gaps!$L$5:$L$154)</f>
        <v>21</v>
      </c>
      <c r="F27" s="16">
        <f t="shared" si="0"/>
        <v>7</v>
      </c>
      <c r="G27" s="17">
        <f t="shared" si="1"/>
        <v>0.25</v>
      </c>
    </row>
    <row r="28" spans="2:7" x14ac:dyDescent="0.3">
      <c r="B28" s="11" t="s">
        <v>59</v>
      </c>
      <c r="C28" s="11" t="s">
        <v>60</v>
      </c>
      <c r="D28" s="16">
        <f>SUM(Needs_Gaps!$M$5:$M$154)</f>
        <v>9</v>
      </c>
      <c r="E28" s="16">
        <f>SUM(Needs_Gaps!$O$5:$O$154)</f>
        <v>9</v>
      </c>
      <c r="F28" s="16">
        <f t="shared" si="0"/>
        <v>0</v>
      </c>
      <c r="G28" s="17">
        <f t="shared" si="1"/>
        <v>0</v>
      </c>
    </row>
    <row r="29" spans="2:7" x14ac:dyDescent="0.3">
      <c r="B29" s="11" t="s">
        <v>61</v>
      </c>
      <c r="C29" s="11" t="s">
        <v>62</v>
      </c>
      <c r="D29" s="16">
        <f>SUM(Needs_Gaps!$P$5:$P$154)</f>
        <v>27</v>
      </c>
      <c r="E29" s="16">
        <f>SUM(Needs_Gaps!$R$5:$R$154)</f>
        <v>17</v>
      </c>
      <c r="F29" s="16">
        <f t="shared" si="0"/>
        <v>10</v>
      </c>
      <c r="G29" s="17">
        <f t="shared" si="1"/>
        <v>0.37037037037037035</v>
      </c>
    </row>
    <row r="30" spans="2:7" x14ac:dyDescent="0.3">
      <c r="B30" s="11" t="s">
        <v>63</v>
      </c>
      <c r="C30" s="11" t="s">
        <v>64</v>
      </c>
      <c r="D30" s="16">
        <f>SUM(Needs_Gaps!$S$5:$S$154)</f>
        <v>286</v>
      </c>
      <c r="E30" s="16">
        <f>SUM(Needs_Gaps!$U$5:$U$154)</f>
        <v>198</v>
      </c>
      <c r="F30" s="16">
        <f t="shared" si="0"/>
        <v>88</v>
      </c>
      <c r="G30" s="17">
        <f t="shared" si="1"/>
        <v>0.30769230769230771</v>
      </c>
    </row>
    <row r="31" spans="2:7" x14ac:dyDescent="0.3">
      <c r="B31" s="11" t="s">
        <v>65</v>
      </c>
      <c r="C31" s="11" t="s">
        <v>64</v>
      </c>
      <c r="D31" s="16">
        <f>SUM(Needs_Gaps!$V$5:$V$154)</f>
        <v>123</v>
      </c>
      <c r="E31" s="16">
        <f>SUM(Needs_Gaps!$X$5:$X$154)</f>
        <v>101</v>
      </c>
      <c r="F31" s="16">
        <f t="shared" si="0"/>
        <v>22</v>
      </c>
      <c r="G31" s="17">
        <f t="shared" si="1"/>
        <v>0.17886178861788618</v>
      </c>
    </row>
    <row r="32" spans="2:7" x14ac:dyDescent="0.3">
      <c r="B32" s="11" t="s">
        <v>66</v>
      </c>
      <c r="C32" s="11" t="s">
        <v>67</v>
      </c>
      <c r="D32" s="16">
        <f>SUM(Needs_Gaps!$Y$5:$Y$154)</f>
        <v>260</v>
      </c>
      <c r="E32" s="16">
        <f>SUM(Needs_Gaps!$AA$5:$AA$154)</f>
        <v>182</v>
      </c>
      <c r="F32" s="16">
        <f t="shared" si="0"/>
        <v>78</v>
      </c>
      <c r="G32" s="17">
        <f t="shared" si="1"/>
        <v>0.3</v>
      </c>
    </row>
    <row r="33" spans="2:7" x14ac:dyDescent="0.3">
      <c r="B33" s="11" t="s">
        <v>68</v>
      </c>
      <c r="C33" s="11" t="s">
        <v>69</v>
      </c>
      <c r="D33" s="16">
        <f>SUM(Needs_Gaps!$AB$5:$AB$154)</f>
        <v>120</v>
      </c>
      <c r="E33" s="16">
        <f>SUM(Needs_Gaps!$AD$5:$AD$154)</f>
        <v>43</v>
      </c>
      <c r="F33" s="16">
        <f t="shared" si="0"/>
        <v>77</v>
      </c>
      <c r="G33" s="17">
        <f t="shared" si="1"/>
        <v>0.64166666666666672</v>
      </c>
    </row>
    <row r="34" spans="2:7" x14ac:dyDescent="0.3">
      <c r="B34" s="11" t="s">
        <v>70</v>
      </c>
      <c r="C34" s="11" t="s">
        <v>69</v>
      </c>
      <c r="D34" s="16">
        <f>SUM(Needs_Gaps!$AE$5:$AE$154)</f>
        <v>192</v>
      </c>
      <c r="E34" s="16">
        <f>SUM(Needs_Gaps!$AG$5:$AG$154)</f>
        <v>161</v>
      </c>
      <c r="F34" s="16">
        <f t="shared" si="0"/>
        <v>31</v>
      </c>
      <c r="G34" s="17">
        <f t="shared" si="1"/>
        <v>0.16145833333333334</v>
      </c>
    </row>
    <row r="37" spans="2:7" x14ac:dyDescent="0.3">
      <c r="B37" s="10" t="s">
        <v>71</v>
      </c>
    </row>
    <row r="38" spans="2:7" ht="30" customHeight="1" x14ac:dyDescent="0.3">
      <c r="B38" s="15" t="s">
        <v>72</v>
      </c>
      <c r="C38" s="15" t="s">
        <v>73</v>
      </c>
      <c r="D38" s="15" t="s">
        <v>32</v>
      </c>
      <c r="E38" s="15" t="s">
        <v>74</v>
      </c>
      <c r="F38" s="15" t="s">
        <v>75</v>
      </c>
      <c r="G38" s="15" t="s">
        <v>76</v>
      </c>
    </row>
    <row r="39" spans="2:7" x14ac:dyDescent="0.3">
      <c r="B39" s="11" t="s">
        <v>77</v>
      </c>
      <c r="C39" s="18">
        <f>COUNTIF(Households!$B$5:$B$154,B39)</f>
        <v>34</v>
      </c>
      <c r="D39" s="16">
        <f>SUMIF(Households!$B$5:$B$154,B39,Households!$H$5:$H$154)</f>
        <v>222</v>
      </c>
      <c r="E39" s="18">
        <f>COUNTIFS(Needs_Gaps!$B$5:$B$154,B39,Needs_Gaps!$AI$5:$AI$154,"&gt;="&amp;Settings!$B$33)</f>
        <v>23</v>
      </c>
      <c r="F39" s="17">
        <f>IF(C39=0,0,E39/C39)</f>
        <v>0.67647058823529416</v>
      </c>
      <c r="G39" s="18">
        <f>COUNTIFS(Households!$B$5:$B$154,B39,Households!$X$5:$X$154,"High")</f>
        <v>6</v>
      </c>
    </row>
    <row r="40" spans="2:7" x14ac:dyDescent="0.3">
      <c r="B40" s="11" t="s">
        <v>78</v>
      </c>
      <c r="C40" s="18">
        <f>COUNTIF(Households!$B$5:$B$154,B40)</f>
        <v>30</v>
      </c>
      <c r="D40" s="16">
        <f>SUMIF(Households!$B$5:$B$154,B40,Households!$H$5:$H$154)</f>
        <v>202</v>
      </c>
      <c r="E40" s="18">
        <f>COUNTIFS(Needs_Gaps!$B$5:$B$154,B40,Needs_Gaps!$AI$5:$AI$154,"&gt;="&amp;Settings!$B$33)</f>
        <v>10</v>
      </c>
      <c r="F40" s="17">
        <f>IF(C40=0,0,E40/C40)</f>
        <v>0.33333333333333331</v>
      </c>
      <c r="G40" s="18">
        <f>COUNTIFS(Households!$B$5:$B$154,B40,Households!$X$5:$X$154,"High")</f>
        <v>3</v>
      </c>
    </row>
    <row r="41" spans="2:7" x14ac:dyDescent="0.3">
      <c r="B41" s="11" t="s">
        <v>79</v>
      </c>
      <c r="C41" s="18">
        <f>COUNTIF(Households!$B$5:$B$154,B41)</f>
        <v>36</v>
      </c>
      <c r="D41" s="16">
        <f>SUMIF(Households!$B$5:$B$154,B41,Households!$H$5:$H$154)</f>
        <v>258</v>
      </c>
      <c r="E41" s="18">
        <f>COUNTIFS(Needs_Gaps!$B$5:$B$154,B41,Needs_Gaps!$AI$5:$AI$154,"&gt;="&amp;Settings!$B$33)</f>
        <v>32</v>
      </c>
      <c r="F41" s="17">
        <f>IF(C41=0,0,E41/C41)</f>
        <v>0.88888888888888884</v>
      </c>
      <c r="G41" s="18">
        <f>COUNTIFS(Households!$B$5:$B$154,B41,Households!$X$5:$X$154,"High")</f>
        <v>9</v>
      </c>
    </row>
    <row r="42" spans="2:7" x14ac:dyDescent="0.3">
      <c r="B42" s="11" t="s">
        <v>80</v>
      </c>
      <c r="C42" s="18">
        <f>COUNTIF(Households!$B$5:$B$154,B42)</f>
        <v>20</v>
      </c>
      <c r="D42" s="16">
        <f>SUMIF(Households!$B$5:$B$154,B42,Households!$H$5:$H$154)</f>
        <v>116</v>
      </c>
      <c r="E42" s="18">
        <f>COUNTIFS(Needs_Gaps!$B$5:$B$154,B42,Needs_Gaps!$AI$5:$AI$154,"&gt;="&amp;Settings!$B$33)</f>
        <v>16</v>
      </c>
      <c r="F42" s="17">
        <f>IF(C42=0,0,E42/C42)</f>
        <v>0.8</v>
      </c>
      <c r="G42" s="18">
        <f>COUNTIFS(Households!$B$5:$B$154,B42,Households!$X$5:$X$154,"High")</f>
        <v>5</v>
      </c>
    </row>
    <row r="45" spans="2:7" x14ac:dyDescent="0.3">
      <c r="B45" s="10" t="s">
        <v>81</v>
      </c>
    </row>
    <row r="46" spans="2:7" ht="30" customHeight="1" x14ac:dyDescent="0.3">
      <c r="B46" s="15" t="s">
        <v>82</v>
      </c>
      <c r="C46" s="15" t="s">
        <v>73</v>
      </c>
    </row>
    <row r="47" spans="2:7" x14ac:dyDescent="0.3">
      <c r="B47" s="11" t="s">
        <v>83</v>
      </c>
      <c r="C47" s="18">
        <f>COUNTIF(Households!$AA$5:$AA$154,"&gt;0")</f>
        <v>9</v>
      </c>
    </row>
    <row r="48" spans="2:7" x14ac:dyDescent="0.3">
      <c r="B48" s="11" t="s">
        <v>84</v>
      </c>
      <c r="C48" s="18">
        <f>COUNTIF(Households!$AB$5:$AB$154,"Referral needed")</f>
        <v>2</v>
      </c>
    </row>
    <row r="49" spans="2:5" x14ac:dyDescent="0.3">
      <c r="B49" s="11" t="s">
        <v>85</v>
      </c>
      <c r="C49" s="18">
        <f>COUNTIF(Households!$AC$5:$AC$154,"Yes")</f>
        <v>9</v>
      </c>
    </row>
    <row r="50" spans="2:5" x14ac:dyDescent="0.3">
      <c r="B50" s="11" t="s">
        <v>86</v>
      </c>
      <c r="C50" s="18">
        <f>COUNTIF(Households!$AD$5:$AD$154,"Yes")</f>
        <v>2</v>
      </c>
    </row>
    <row r="51" spans="2:5" x14ac:dyDescent="0.3">
      <c r="B51" s="11" t="s">
        <v>87</v>
      </c>
      <c r="C51" s="18">
        <f>COUNTIF(Households!$Y$5:$Y$154,"Yes")</f>
        <v>17</v>
      </c>
    </row>
    <row r="54" spans="2:5" x14ac:dyDescent="0.3">
      <c r="B54" s="10" t="s">
        <v>88</v>
      </c>
    </row>
    <row r="55" spans="2:5" ht="30" customHeight="1" x14ac:dyDescent="0.3">
      <c r="B55" s="15" t="s">
        <v>89</v>
      </c>
      <c r="C55" s="15" t="s">
        <v>90</v>
      </c>
      <c r="D55" s="15" t="s">
        <v>91</v>
      </c>
      <c r="E55" s="15" t="s">
        <v>92</v>
      </c>
    </row>
    <row r="56" spans="2:5" x14ac:dyDescent="0.3">
      <c r="B56" s="11" t="s">
        <v>93</v>
      </c>
      <c r="C56" s="18">
        <f>COUNTIF(Referrals!$D$5:$D$52,B56)</f>
        <v>11</v>
      </c>
      <c r="D56" s="18">
        <f>COUNTIFS(Referrals!$D$5:$D$52,B56,Referrals!$G$5:$G$52,"Referred")+COUNTIFS(Referrals!$D$5:$D$52,B56,Referrals!$G$5:$G$52,"Acknowledged")</f>
        <v>6</v>
      </c>
      <c r="E56" s="18">
        <f>COUNTIFS(Referrals!$D$5:$D$52,B56,Referrals!$K$5:$K$52,"Overdue")</f>
        <v>4</v>
      </c>
    </row>
    <row r="57" spans="2:5" x14ac:dyDescent="0.3">
      <c r="B57" s="11" t="s">
        <v>94</v>
      </c>
      <c r="C57" s="18">
        <f>COUNTIF(Referrals!$D$5:$D$52,B57)</f>
        <v>7</v>
      </c>
      <c r="D57" s="18">
        <f>COUNTIFS(Referrals!$D$5:$D$52,B57,Referrals!$G$5:$G$52,"Referred")+COUNTIFS(Referrals!$D$5:$D$52,B57,Referrals!$G$5:$G$52,"Acknowledged")</f>
        <v>2</v>
      </c>
      <c r="E57" s="18">
        <f>COUNTIFS(Referrals!$D$5:$D$52,B57,Referrals!$K$5:$K$52,"Overdue")</f>
        <v>1</v>
      </c>
    </row>
    <row r="58" spans="2:5" x14ac:dyDescent="0.3">
      <c r="B58" s="11" t="s">
        <v>95</v>
      </c>
      <c r="C58" s="18">
        <f>COUNTIF(Referrals!$D$5:$D$52,B58)</f>
        <v>15</v>
      </c>
      <c r="D58" s="18">
        <f>COUNTIFS(Referrals!$D$5:$D$52,B58,Referrals!$G$5:$G$52,"Referred")+COUNTIFS(Referrals!$D$5:$D$52,B58,Referrals!$G$5:$G$52,"Acknowledged")</f>
        <v>9</v>
      </c>
      <c r="E58" s="18">
        <f>COUNTIFS(Referrals!$D$5:$D$52,B58,Referrals!$K$5:$K$52,"Overdue")</f>
        <v>2</v>
      </c>
    </row>
    <row r="59" spans="2:5" x14ac:dyDescent="0.3">
      <c r="B59" s="11" t="s">
        <v>96</v>
      </c>
      <c r="C59" s="18">
        <f>COUNTIF(Referrals!$D$5:$D$52,B59)</f>
        <v>6</v>
      </c>
      <c r="D59" s="18">
        <f>COUNTIFS(Referrals!$D$5:$D$52,B59,Referrals!$G$5:$G$52,"Referred")+COUNTIFS(Referrals!$D$5:$D$52,B59,Referrals!$G$5:$G$52,"Acknowledged")</f>
        <v>4</v>
      </c>
      <c r="E59" s="18">
        <f>COUNTIFS(Referrals!$D$5:$D$52,B59,Referrals!$K$5:$K$52,"Overdue")</f>
        <v>1</v>
      </c>
    </row>
    <row r="60" spans="2:5" x14ac:dyDescent="0.3">
      <c r="B60" s="11" t="s">
        <v>97</v>
      </c>
      <c r="C60" s="18">
        <f>COUNTIF(Referrals!$D$5:$D$52,B60)</f>
        <v>9</v>
      </c>
      <c r="D60" s="18">
        <f>COUNTIFS(Referrals!$D$5:$D$52,B60,Referrals!$G$5:$G$52,"Referred")+COUNTIFS(Referrals!$D$5:$D$52,B60,Referrals!$G$5:$G$52,"Acknowledged")</f>
        <v>5</v>
      </c>
      <c r="E60" s="18">
        <f>COUNTIFS(Referrals!$D$5:$D$52,B60,Referrals!$K$5:$K$52,"Overdue")</f>
        <v>1</v>
      </c>
    </row>
    <row r="63" spans="2:5" x14ac:dyDescent="0.3">
      <c r="B63" s="10" t="s">
        <v>98</v>
      </c>
    </row>
    <row r="64" spans="2:5" ht="30" customHeight="1" x14ac:dyDescent="0.3">
      <c r="B64" s="15" t="s">
        <v>99</v>
      </c>
      <c r="C64" s="15" t="s">
        <v>100</v>
      </c>
    </row>
    <row r="65" spans="2:8" x14ac:dyDescent="0.3">
      <c r="B65" s="11" t="s">
        <v>101</v>
      </c>
      <c r="C65" s="18">
        <f>COUNTIFS(Referrals!$D$5:$D$52,"Nutrition / IYCF",Referrals!$I$5:$I$52,B65)</f>
        <v>6</v>
      </c>
    </row>
    <row r="66" spans="2:8" x14ac:dyDescent="0.3">
      <c r="B66" s="11" t="s">
        <v>102</v>
      </c>
      <c r="C66" s="18">
        <f>COUNTIFS(Referrals!$D$5:$D$52,"Nutrition / IYCF",Referrals!$I$5:$I$52,B66)</f>
        <v>3</v>
      </c>
    </row>
    <row r="67" spans="2:8" x14ac:dyDescent="0.3">
      <c r="B67" s="11" t="s">
        <v>103</v>
      </c>
      <c r="C67" s="18">
        <f>COUNTIFS(Referrals!$D$5:$D$52,"Nutrition / IYCF",Referrals!$I$5:$I$52,B67)</f>
        <v>2</v>
      </c>
    </row>
    <row r="68" spans="2:8" x14ac:dyDescent="0.3">
      <c r="B68" s="11" t="s">
        <v>104</v>
      </c>
      <c r="C68" s="18">
        <f>COUNTIFS(Referrals!$D$5:$D$52,"Nutrition / IYCF",Referrals!$I$5:$I$52,B68)</f>
        <v>0</v>
      </c>
    </row>
    <row r="71" spans="2:8" x14ac:dyDescent="0.3">
      <c r="B71" s="10" t="s">
        <v>105</v>
      </c>
    </row>
    <row r="72" spans="2:8" ht="30" customHeight="1" x14ac:dyDescent="0.3">
      <c r="B72" s="15" t="s">
        <v>72</v>
      </c>
      <c r="C72" s="15" t="s">
        <v>106</v>
      </c>
      <c r="D72" s="15" t="s">
        <v>107</v>
      </c>
      <c r="E72" s="15" t="s">
        <v>108</v>
      </c>
      <c r="F72" s="15" t="s">
        <v>109</v>
      </c>
      <c r="G72" s="15" t="s">
        <v>110</v>
      </c>
      <c r="H72" s="15" t="s">
        <v>111</v>
      </c>
    </row>
    <row r="73" spans="2:8" x14ac:dyDescent="0.3">
      <c r="B73" s="11" t="str">
        <f>Site_Profile!A5</f>
        <v>Site A – School Shelter</v>
      </c>
      <c r="C73" s="18">
        <f>Site_Profile!M5</f>
        <v>74</v>
      </c>
      <c r="D73" s="11" t="str">
        <f>Site_Profile!N5</f>
        <v>Meets reference</v>
      </c>
      <c r="E73" s="18">
        <f>Site_Profile!O5</f>
        <v>24.666666666666668</v>
      </c>
      <c r="F73" s="11" t="str">
        <f>Site_Profile!P5</f>
        <v>Below reference</v>
      </c>
      <c r="G73" s="19">
        <f>Site_Profile!Q5</f>
        <v>13.513513513513514</v>
      </c>
      <c r="H73" s="11" t="str">
        <f>Site_Profile!R5</f>
        <v>Below reference</v>
      </c>
    </row>
    <row r="74" spans="2:8" x14ac:dyDescent="0.3">
      <c r="B74" s="11" t="str">
        <f>Site_Profile!A6</f>
        <v>Site B – School Shelter</v>
      </c>
      <c r="C74" s="18">
        <f>Site_Profile!M6</f>
        <v>101</v>
      </c>
      <c r="D74" s="11" t="str">
        <f>Site_Profile!N6</f>
        <v>Meets reference</v>
      </c>
      <c r="E74" s="18">
        <f>Site_Profile!O6</f>
        <v>16.833333333333332</v>
      </c>
      <c r="F74" s="11" t="str">
        <f>Site_Profile!P6</f>
        <v>Meets reference</v>
      </c>
      <c r="G74" s="19">
        <f>Site_Profile!Q6</f>
        <v>17.821782178217823</v>
      </c>
      <c r="H74" s="11" t="str">
        <f>Site_Profile!R6</f>
        <v>Meets reference</v>
      </c>
    </row>
    <row r="75" spans="2:8" x14ac:dyDescent="0.3">
      <c r="B75" s="11" t="str">
        <f>Site_Profile!A7</f>
        <v>Site C – Informal Tent Area</v>
      </c>
      <c r="C75" s="18">
        <f>Site_Profile!M7</f>
        <v>258</v>
      </c>
      <c r="D75" s="11" t="str">
        <f>Site_Profile!N7</f>
        <v>Below reference</v>
      </c>
      <c r="E75" s="18">
        <f>Site_Profile!O7</f>
        <v>43</v>
      </c>
      <c r="F75" s="11" t="str">
        <f>Site_Profile!P7</f>
        <v>Below reference</v>
      </c>
      <c r="G75" s="19">
        <f>Site_Profile!Q7</f>
        <v>7.7519379844961236</v>
      </c>
      <c r="H75" s="11" t="str">
        <f>Site_Profile!R7</f>
        <v>Below reference</v>
      </c>
    </row>
    <row r="76" spans="2:8" x14ac:dyDescent="0.3">
      <c r="B76" s="11" t="str">
        <f>Site_Profile!A8</f>
        <v>Site D – Collective Centre</v>
      </c>
      <c r="C76" s="18">
        <f>Site_Profile!M8</f>
        <v>58</v>
      </c>
      <c r="D76" s="11" t="str">
        <f>Site_Profile!N8</f>
        <v>Meets reference</v>
      </c>
      <c r="E76" s="18">
        <f>Site_Profile!O8</f>
        <v>23.2</v>
      </c>
      <c r="F76" s="11" t="str">
        <f>Site_Profile!P8</f>
        <v>Below reference</v>
      </c>
      <c r="G76" s="19">
        <f>Site_Profile!Q8</f>
        <v>20.689655172413794</v>
      </c>
      <c r="H76" s="11" t="str">
        <f>Site_Profile!R8</f>
        <v>Meets reference</v>
      </c>
    </row>
    <row r="79" spans="2:8" x14ac:dyDescent="0.3">
      <c r="B79" s="10" t="s">
        <v>112</v>
      </c>
    </row>
    <row r="80" spans="2:8" ht="30" customHeight="1" x14ac:dyDescent="0.3">
      <c r="B80" s="15" t="s">
        <v>113</v>
      </c>
      <c r="C80" s="15" t="s">
        <v>73</v>
      </c>
    </row>
    <row r="81" spans="2:3" x14ac:dyDescent="0.3">
      <c r="B81" s="11" t="s">
        <v>114</v>
      </c>
      <c r="C81" s="18">
        <f>COUNTIF(Households!$X$5:$X$154,B81)</f>
        <v>23</v>
      </c>
    </row>
    <row r="82" spans="2:3" x14ac:dyDescent="0.3">
      <c r="B82" s="11" t="s">
        <v>115</v>
      </c>
      <c r="C82" s="18">
        <f>COUNTIF(Households!$X$5:$X$154,B82)</f>
        <v>48</v>
      </c>
    </row>
    <row r="83" spans="2:3" x14ac:dyDescent="0.3">
      <c r="B83" s="11" t="s">
        <v>116</v>
      </c>
      <c r="C83" s="18">
        <f>COUNTIF(Households!$X$5:$X$154,B83)</f>
        <v>49</v>
      </c>
    </row>
  </sheetData>
  <conditionalFormatting sqref="D73:D76">
    <cfRule type="cellIs" dxfId="37" priority="2" operator="equal">
      <formula>"Below reference"</formula>
    </cfRule>
    <cfRule type="cellIs" dxfId="36" priority="3" operator="equal">
      <formula>"Meets reference"</formula>
    </cfRule>
  </conditionalFormatting>
  <conditionalFormatting sqref="F73:F76">
    <cfRule type="cellIs" dxfId="35" priority="4" operator="equal">
      <formula>"Below reference"</formula>
    </cfRule>
    <cfRule type="cellIs" dxfId="34" priority="5" operator="equal">
      <formula>"Meets reference"</formula>
    </cfRule>
  </conditionalFormatting>
  <conditionalFormatting sqref="H73:H76">
    <cfRule type="cellIs" dxfId="33" priority="6" operator="equal">
      <formula>"Below reference"</formula>
    </cfRule>
    <cfRule type="cellIs" dxfId="32" priority="7" operator="equal">
      <formula>"Meets reference"</formula>
    </cfRule>
  </conditionalFormatting>
  <pageMargins left="0.75" right="0.75" top="1" bottom="1" header="0.511811023622047" footer="0.511811023622047"/>
  <pageSetup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N154"/>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5" customWidth="1"/>
    <col min="2" max="2" width="10" customWidth="1"/>
    <col min="3" max="4" width="26" customWidth="1"/>
    <col min="5" max="5" width="9" customWidth="1"/>
    <col min="6" max="6" width="8" customWidth="1"/>
    <col min="7" max="7" width="9" customWidth="1"/>
    <col min="8" max="8" width="14" customWidth="1"/>
    <col min="9" max="9" width="11" customWidth="1"/>
    <col min="10" max="10" width="10" customWidth="1"/>
    <col min="11" max="11" width="11" customWidth="1"/>
    <col min="12" max="12" width="70" customWidth="1"/>
    <col min="13" max="13" width="10" customWidth="1"/>
    <col min="14" max="14" width="8" customWidth="1"/>
  </cols>
  <sheetData>
    <row r="1" spans="1:14" ht="17.399999999999999" x14ac:dyDescent="0.3">
      <c r="A1" s="6" t="s">
        <v>117</v>
      </c>
      <c r="F1" s="20" t="s">
        <v>118</v>
      </c>
      <c r="G1" s="21">
        <f>COUNTIF(Households!$AF$5:$AF$154,"&gt;0")</f>
        <v>37</v>
      </c>
      <c r="I1" s="20" t="s">
        <v>119</v>
      </c>
      <c r="J1" s="22">
        <f>Settings!$B$5</f>
        <v>46053</v>
      </c>
    </row>
    <row r="2" spans="1:14" x14ac:dyDescent="0.3">
      <c r="A2" s="7" t="s">
        <v>120</v>
      </c>
    </row>
    <row r="4" spans="1:14" ht="42" customHeight="1" x14ac:dyDescent="0.3">
      <c r="A4" s="15" t="s">
        <v>121</v>
      </c>
      <c r="B4" s="15" t="s">
        <v>122</v>
      </c>
      <c r="C4" s="15" t="s">
        <v>72</v>
      </c>
      <c r="D4" s="15" t="s">
        <v>123</v>
      </c>
      <c r="E4" s="15" t="s">
        <v>124</v>
      </c>
      <c r="F4" s="15" t="s">
        <v>125</v>
      </c>
      <c r="G4" s="15" t="s">
        <v>43</v>
      </c>
      <c r="H4" s="15" t="s">
        <v>126</v>
      </c>
      <c r="I4" s="15" t="s">
        <v>85</v>
      </c>
      <c r="J4" s="15" t="s">
        <v>127</v>
      </c>
      <c r="K4" s="15" t="s">
        <v>87</v>
      </c>
      <c r="L4" s="15" t="s">
        <v>128</v>
      </c>
      <c r="M4" s="23" t="s">
        <v>129</v>
      </c>
      <c r="N4" s="23" t="s">
        <v>130</v>
      </c>
    </row>
    <row r="5" spans="1:14" ht="26.4" x14ac:dyDescent="0.3">
      <c r="A5" s="24">
        <f t="shared" ref="A5:A36" si="0">IF(ROW()-4&lt;=$G$1,ROW()-4,"")</f>
        <v>1</v>
      </c>
      <c r="B5" s="24" t="str">
        <f>IF($A5="","",INDEX(Households!$A$5:$A$154,$N5))</f>
        <v>HH-098</v>
      </c>
      <c r="C5" s="24" t="str">
        <f>IF($A5="","",INDEX(Households!$B$5:$B$154,$N5))</f>
        <v>Site C – Informal Tent Area</v>
      </c>
      <c r="D5" s="24" t="str">
        <f>IF($A5="","",INDEX(Households!$C$5:$C$154,$N5)&amp;" – "&amp;INDEX(Households!$D$5:$D$154,$N5))</f>
        <v>Tent – Adequate</v>
      </c>
      <c r="E5" s="25" t="str">
        <f>IF($A5="","",INDEX(Households!$X$5:$X$154,$N5))</f>
        <v>High</v>
      </c>
      <c r="F5" s="24">
        <f>IF($A5="","",INDEX(Households!$AE$5:$AE$154,$N5))</f>
        <v>2</v>
      </c>
      <c r="G5" s="24">
        <f>IF($A5="","",IF(INDEX(Households!$AA$5:$AA$154,$N5)&gt;0,INDEX(Households!$AA$5:$AA$154,$N5),""))</f>
        <v>1</v>
      </c>
      <c r="H5" s="25" t="str">
        <f>IF($A5="","",IF(INDEX(Households!$AB$5:$AB$154,$N5)="Referral needed","Referral needed",""))</f>
        <v/>
      </c>
      <c r="I5" s="25" t="str">
        <f>IF($A5="","",INDEX(Households!$AC$5:$AC$154,$N5))</f>
        <v/>
      </c>
      <c r="J5" s="25" t="str">
        <f>IF($A5="","",INDEX(Households!$AD$5:$AD$154,$N5))</f>
        <v/>
      </c>
      <c r="K5" s="25" t="str">
        <f>IF($A5="","",INDEX(Households!$Y$5:$Y$154,$N5))</f>
        <v>Yes</v>
      </c>
      <c r="L5" s="26" t="str">
        <f t="shared" ref="L5:L36" si="1">IF($A5="","",SUBSTITUTE(IF(N(G5)&gt;0,"Chase overdue referral with the service provider; ","")&amp;IF(H5="Referral needed","Make the IYCF referral to the nutrition partner; ","")&amp;IF(I5="Yes","Confirm tent replacement with the shelter partner; ","")&amp;IF(J5="Yes","Check the household shelter repair; ","")&amp;IF(K5="Yes","Re-verify the household (new Kobo submission); ","")&amp;"|","; |",""))</f>
        <v>Chase overdue referral with the service provider; Re-verify the household (new Kobo submission)</v>
      </c>
      <c r="M5" s="27">
        <f>IF($A5="","",LARGE(Households!$AF$5:$AF$154,$A5))</f>
        <v>205902</v>
      </c>
      <c r="N5" s="24">
        <f>IF($A5="","",MATCH($M5,Households!$AF$5:$AF$154,0))</f>
        <v>98</v>
      </c>
    </row>
    <row r="6" spans="1:14" ht="26.4" x14ac:dyDescent="0.3">
      <c r="A6" s="24">
        <f t="shared" si="0"/>
        <v>2</v>
      </c>
      <c r="B6" s="24" t="str">
        <f>IF($A6="","",INDEX(Households!$A$5:$A$154,$N6))</f>
        <v>HH-099</v>
      </c>
      <c r="C6" s="24" t="str">
        <f>IF($A6="","",INDEX(Households!$B$5:$B$154,$N6))</f>
        <v>Site C – Informal Tent Area</v>
      </c>
      <c r="D6" s="24" t="str">
        <f>IF($A6="","",INDEX(Households!$C$5:$C$154,$N6)&amp;" – "&amp;INDEX(Households!$D$5:$D$154,$N6))</f>
        <v>Tent – Unusable</v>
      </c>
      <c r="E6" s="25" t="str">
        <f>IF($A6="","",INDEX(Households!$X$5:$X$154,$N6))</f>
        <v>Medium</v>
      </c>
      <c r="F6" s="24">
        <f>IF($A6="","",INDEX(Households!$AE$5:$AE$154,$N6))</f>
        <v>2</v>
      </c>
      <c r="G6" s="24">
        <f>IF($A6="","",IF(INDEX(Households!$AA$5:$AA$154,$N6)&gt;0,INDEX(Households!$AA$5:$AA$154,$N6),""))</f>
        <v>1</v>
      </c>
      <c r="H6" s="25" t="str">
        <f>IF($A6="","",IF(INDEX(Households!$AB$5:$AB$154,$N6)="Referral needed","Referral needed",""))</f>
        <v/>
      </c>
      <c r="I6" s="25" t="str">
        <f>IF($A6="","",INDEX(Households!$AC$5:$AC$154,$N6))</f>
        <v>Yes</v>
      </c>
      <c r="J6" s="25" t="str">
        <f>IF($A6="","",INDEX(Households!$AD$5:$AD$154,$N6))</f>
        <v/>
      </c>
      <c r="K6" s="25" t="str">
        <f>IF($A6="","",INDEX(Households!$Y$5:$Y$154,$N6))</f>
        <v/>
      </c>
      <c r="L6" s="26" t="str">
        <f t="shared" si="1"/>
        <v>Chase overdue referral with the service provider; Confirm tent replacement with the shelter partner</v>
      </c>
      <c r="M6" s="27">
        <f>IF($A6="","",LARGE(Households!$AF$5:$AF$154,$A6))</f>
        <v>203901</v>
      </c>
      <c r="N6" s="24">
        <f>IF($A6="","",MATCH($M6,Households!$AF$5:$AF$154,0))</f>
        <v>99</v>
      </c>
    </row>
    <row r="7" spans="1:14" x14ac:dyDescent="0.3">
      <c r="A7" s="24">
        <f t="shared" si="0"/>
        <v>3</v>
      </c>
      <c r="B7" s="24" t="str">
        <f>IF($A7="","",INDEX(Households!$A$5:$A$154,$N7))</f>
        <v>HH-072</v>
      </c>
      <c r="C7" s="24" t="str">
        <f>IF($A7="","",INDEX(Households!$B$5:$B$154,$N7))</f>
        <v>Site C – Informal Tent Area</v>
      </c>
      <c r="D7" s="24" t="str">
        <f>IF($A7="","",INDEX(Households!$C$5:$C$154,$N7)&amp;" – "&amp;INDEX(Households!$D$5:$D$154,$N7))</f>
        <v>Tent – Unusable</v>
      </c>
      <c r="E7" s="25" t="str">
        <f>IF($A7="","",INDEX(Households!$X$5:$X$154,$N7))</f>
        <v>High</v>
      </c>
      <c r="F7" s="24">
        <f>IF($A7="","",INDEX(Households!$AE$5:$AE$154,$N7))</f>
        <v>1</v>
      </c>
      <c r="G7" s="24" t="str">
        <f>IF($A7="","",IF(INDEX(Households!$AA$5:$AA$154,$N7)&gt;0,INDEX(Households!$AA$5:$AA$154,$N7),""))</f>
        <v/>
      </c>
      <c r="H7" s="25" t="str">
        <f>IF($A7="","",IF(INDEX(Households!$AB$5:$AB$154,$N7)="Referral needed","Referral needed",""))</f>
        <v/>
      </c>
      <c r="I7" s="25" t="str">
        <f>IF($A7="","",INDEX(Households!$AC$5:$AC$154,$N7))</f>
        <v>Yes</v>
      </c>
      <c r="J7" s="25" t="str">
        <f>IF($A7="","",INDEX(Households!$AD$5:$AD$154,$N7))</f>
        <v/>
      </c>
      <c r="K7" s="25" t="str">
        <f>IF($A7="","",INDEX(Households!$Y$5:$Y$154,$N7))</f>
        <v/>
      </c>
      <c r="L7" s="26" t="str">
        <f t="shared" si="1"/>
        <v>Confirm tent replacement with the shelter partner</v>
      </c>
      <c r="M7" s="27">
        <f>IF($A7="","",LARGE(Households!$AF$5:$AF$154,$A7))</f>
        <v>108928</v>
      </c>
      <c r="N7" s="24">
        <f>IF($A7="","",MATCH($M7,Households!$AF$5:$AF$154,0))</f>
        <v>72</v>
      </c>
    </row>
    <row r="8" spans="1:14" x14ac:dyDescent="0.3">
      <c r="A8" s="24">
        <f t="shared" si="0"/>
        <v>4</v>
      </c>
      <c r="B8" s="24" t="str">
        <f>IF($A8="","",INDEX(Households!$A$5:$A$154,$N8))</f>
        <v>HH-095</v>
      </c>
      <c r="C8" s="24" t="str">
        <f>IF($A8="","",INDEX(Households!$B$5:$B$154,$N8))</f>
        <v>Site C – Informal Tent Area</v>
      </c>
      <c r="D8" s="24" t="str">
        <f>IF($A8="","",INDEX(Households!$C$5:$C$154,$N8)&amp;" – "&amp;INDEX(Households!$D$5:$D$154,$N8))</f>
        <v>Tent – Unusable</v>
      </c>
      <c r="E8" s="25" t="str">
        <f>IF($A8="","",INDEX(Households!$X$5:$X$154,$N8))</f>
        <v>High</v>
      </c>
      <c r="F8" s="24">
        <f>IF($A8="","",INDEX(Households!$AE$5:$AE$154,$N8))</f>
        <v>1</v>
      </c>
      <c r="G8" s="24" t="str">
        <f>IF($A8="","",IF(INDEX(Households!$AA$5:$AA$154,$N8)&gt;0,INDEX(Households!$AA$5:$AA$154,$N8),""))</f>
        <v/>
      </c>
      <c r="H8" s="25" t="str">
        <f>IF($A8="","",IF(INDEX(Households!$AB$5:$AB$154,$N8)="Referral needed","Referral needed",""))</f>
        <v/>
      </c>
      <c r="I8" s="25" t="str">
        <f>IF($A8="","",INDEX(Households!$AC$5:$AC$154,$N8))</f>
        <v>Yes</v>
      </c>
      <c r="J8" s="25" t="str">
        <f>IF($A8="","",INDEX(Households!$AD$5:$AD$154,$N8))</f>
        <v/>
      </c>
      <c r="K8" s="25" t="str">
        <f>IF($A8="","",INDEX(Households!$Y$5:$Y$154,$N8))</f>
        <v/>
      </c>
      <c r="L8" s="26" t="str">
        <f t="shared" si="1"/>
        <v>Confirm tent replacement with the shelter partner</v>
      </c>
      <c r="M8" s="27">
        <f>IF($A8="","",LARGE(Households!$AF$5:$AF$154,$A8))</f>
        <v>108905</v>
      </c>
      <c r="N8" s="24">
        <f>IF($A8="","",MATCH($M8,Households!$AF$5:$AF$154,0))</f>
        <v>95</v>
      </c>
    </row>
    <row r="9" spans="1:14" x14ac:dyDescent="0.3">
      <c r="A9" s="24">
        <f t="shared" si="0"/>
        <v>5</v>
      </c>
      <c r="B9" s="24" t="str">
        <f>IF($A9="","",INDEX(Households!$A$5:$A$154,$N9))</f>
        <v>HH-029</v>
      </c>
      <c r="C9" s="24" t="str">
        <f>IF($A9="","",INDEX(Households!$B$5:$B$154,$N9))</f>
        <v>Site A – School Shelter</v>
      </c>
      <c r="D9" s="24" t="str">
        <f>IF($A9="","",INDEX(Households!$C$5:$C$154,$N9)&amp;" – "&amp;INDEX(Households!$D$5:$D$154,$N9))</f>
        <v>Classroom – Damaged</v>
      </c>
      <c r="E9" s="25" t="str">
        <f>IF($A9="","",INDEX(Households!$X$5:$X$154,$N9))</f>
        <v>High</v>
      </c>
      <c r="F9" s="24">
        <f>IF($A9="","",INDEX(Households!$AE$5:$AE$154,$N9))</f>
        <v>1</v>
      </c>
      <c r="G9" s="24" t="str">
        <f>IF($A9="","",IF(INDEX(Households!$AA$5:$AA$154,$N9)&gt;0,INDEX(Households!$AA$5:$AA$154,$N9),""))</f>
        <v/>
      </c>
      <c r="H9" s="25" t="str">
        <f>IF($A9="","",IF(INDEX(Households!$AB$5:$AB$154,$N9)="Referral needed","Referral needed",""))</f>
        <v/>
      </c>
      <c r="I9" s="25" t="str">
        <f>IF($A9="","",INDEX(Households!$AC$5:$AC$154,$N9))</f>
        <v/>
      </c>
      <c r="J9" s="25" t="str">
        <f>IF($A9="","",INDEX(Households!$AD$5:$AD$154,$N9))</f>
        <v/>
      </c>
      <c r="K9" s="25" t="str">
        <f>IF($A9="","",INDEX(Households!$Y$5:$Y$154,$N9))</f>
        <v>Yes</v>
      </c>
      <c r="L9" s="26" t="str">
        <f t="shared" si="1"/>
        <v>Re-verify the household (new Kobo submission)</v>
      </c>
      <c r="M9" s="27">
        <f>IF($A9="","",LARGE(Households!$AF$5:$AF$154,$A9))</f>
        <v>107971</v>
      </c>
      <c r="N9" s="24">
        <f>IF($A9="","",MATCH($M9,Households!$AF$5:$AF$154,0))</f>
        <v>29</v>
      </c>
    </row>
    <row r="10" spans="1:14" x14ac:dyDescent="0.3">
      <c r="A10" s="24">
        <f t="shared" si="0"/>
        <v>6</v>
      </c>
      <c r="B10" s="24" t="str">
        <f>IF($A10="","",INDEX(Households!$A$5:$A$154,$N10))</f>
        <v>HH-070</v>
      </c>
      <c r="C10" s="24" t="str">
        <f>IF($A10="","",INDEX(Households!$B$5:$B$154,$N10))</f>
        <v>Site C – Informal Tent Area</v>
      </c>
      <c r="D10" s="24" t="str">
        <f>IF($A10="","",INDEX(Households!$C$5:$C$154,$N10)&amp;" – "&amp;INDEX(Households!$D$5:$D$154,$N10))</f>
        <v>Makeshift shelter – Unusable</v>
      </c>
      <c r="E10" s="25" t="str">
        <f>IF($A10="","",INDEX(Households!$X$5:$X$154,$N10))</f>
        <v>High</v>
      </c>
      <c r="F10" s="24">
        <f>IF($A10="","",INDEX(Households!$AE$5:$AE$154,$N10))</f>
        <v>1</v>
      </c>
      <c r="G10" s="24" t="str">
        <f>IF($A10="","",IF(INDEX(Households!$AA$5:$AA$154,$N10)&gt;0,INDEX(Households!$AA$5:$AA$154,$N10),""))</f>
        <v/>
      </c>
      <c r="H10" s="25" t="str">
        <f>IF($A10="","",IF(INDEX(Households!$AB$5:$AB$154,$N10)="Referral needed","Referral needed",""))</f>
        <v/>
      </c>
      <c r="I10" s="25" t="str">
        <f>IF($A10="","",INDEX(Households!$AC$5:$AC$154,$N10))</f>
        <v>Yes</v>
      </c>
      <c r="J10" s="25" t="str">
        <f>IF($A10="","",INDEX(Households!$AD$5:$AD$154,$N10))</f>
        <v/>
      </c>
      <c r="K10" s="25" t="str">
        <f>IF($A10="","",INDEX(Households!$Y$5:$Y$154,$N10))</f>
        <v/>
      </c>
      <c r="L10" s="26" t="str">
        <f t="shared" si="1"/>
        <v>Confirm tent replacement with the shelter partner</v>
      </c>
      <c r="M10" s="27">
        <f>IF($A10="","",LARGE(Households!$AF$5:$AF$154,$A10))</f>
        <v>107930</v>
      </c>
      <c r="N10" s="24">
        <f>IF($A10="","",MATCH($M10,Households!$AF$5:$AF$154,0))</f>
        <v>70</v>
      </c>
    </row>
    <row r="11" spans="1:14" x14ac:dyDescent="0.3">
      <c r="A11" s="24">
        <f t="shared" si="0"/>
        <v>7</v>
      </c>
      <c r="B11" s="24" t="str">
        <f>IF($A11="","",INDEX(Households!$A$5:$A$154,$N11))</f>
        <v>HH-014</v>
      </c>
      <c r="C11" s="24" t="str">
        <f>IF($A11="","",INDEX(Households!$B$5:$B$154,$N11))</f>
        <v>Site A – School Shelter</v>
      </c>
      <c r="D11" s="24" t="str">
        <f>IF($A11="","",INDEX(Households!$C$5:$C$154,$N11)&amp;" – "&amp;INDEX(Households!$D$5:$D$154,$N11))</f>
        <v>Classroom – Adequate</v>
      </c>
      <c r="E11" s="25" t="str">
        <f>IF($A11="","",INDEX(Households!$X$5:$X$154,$N11))</f>
        <v>High</v>
      </c>
      <c r="F11" s="24">
        <f>IF($A11="","",INDEX(Households!$AE$5:$AE$154,$N11))</f>
        <v>1</v>
      </c>
      <c r="G11" s="24">
        <f>IF($A11="","",IF(INDEX(Households!$AA$5:$AA$154,$N11)&gt;0,INDEX(Households!$AA$5:$AA$154,$N11),""))</f>
        <v>1</v>
      </c>
      <c r="H11" s="25" t="str">
        <f>IF($A11="","",IF(INDEX(Households!$AB$5:$AB$154,$N11)="Referral needed","Referral needed",""))</f>
        <v/>
      </c>
      <c r="I11" s="25" t="str">
        <f>IF($A11="","",INDEX(Households!$AC$5:$AC$154,$N11))</f>
        <v/>
      </c>
      <c r="J11" s="25" t="str">
        <f>IF($A11="","",INDEX(Households!$AD$5:$AD$154,$N11))</f>
        <v/>
      </c>
      <c r="K11" s="25" t="str">
        <f>IF($A11="","",INDEX(Households!$Y$5:$Y$154,$N11))</f>
        <v/>
      </c>
      <c r="L11" s="26" t="str">
        <f t="shared" si="1"/>
        <v>Chase overdue referral with the service provider</v>
      </c>
      <c r="M11" s="27">
        <f>IF($A11="","",LARGE(Households!$AF$5:$AF$154,$A11))</f>
        <v>106986</v>
      </c>
      <c r="N11" s="24">
        <f>IF($A11="","",MATCH($M11,Households!$AF$5:$AF$154,0))</f>
        <v>14</v>
      </c>
    </row>
    <row r="12" spans="1:14" x14ac:dyDescent="0.3">
      <c r="A12" s="24">
        <f t="shared" si="0"/>
        <v>8</v>
      </c>
      <c r="B12" s="24" t="str">
        <f>IF($A12="","",INDEX(Households!$A$5:$A$154,$N12))</f>
        <v>HH-058</v>
      </c>
      <c r="C12" s="24" t="str">
        <f>IF($A12="","",INDEX(Households!$B$5:$B$154,$N12))</f>
        <v>Site B – School Shelter</v>
      </c>
      <c r="D12" s="24" t="str">
        <f>IF($A12="","",INDEX(Households!$C$5:$C$154,$N12)&amp;" – "&amp;INDEX(Households!$D$5:$D$154,$N12))</f>
        <v>Classroom – Adequate</v>
      </c>
      <c r="E12" s="25" t="str">
        <f>IF($A12="","",INDEX(Households!$X$5:$X$154,$N12))</f>
        <v>High</v>
      </c>
      <c r="F12" s="24">
        <f>IF($A12="","",INDEX(Households!$AE$5:$AE$154,$N12))</f>
        <v>1</v>
      </c>
      <c r="G12" s="24" t="str">
        <f>IF($A12="","",IF(INDEX(Households!$AA$5:$AA$154,$N12)&gt;0,INDEX(Households!$AA$5:$AA$154,$N12),""))</f>
        <v/>
      </c>
      <c r="H12" s="25" t="str">
        <f>IF($A12="","",IF(INDEX(Households!$AB$5:$AB$154,$N12)="Referral needed","Referral needed",""))</f>
        <v/>
      </c>
      <c r="I12" s="25" t="str">
        <f>IF($A12="","",INDEX(Households!$AC$5:$AC$154,$N12))</f>
        <v/>
      </c>
      <c r="J12" s="25" t="str">
        <f>IF($A12="","",INDEX(Households!$AD$5:$AD$154,$N12))</f>
        <v/>
      </c>
      <c r="K12" s="25" t="str">
        <f>IF($A12="","",INDEX(Households!$Y$5:$Y$154,$N12))</f>
        <v>Yes</v>
      </c>
      <c r="L12" s="26" t="str">
        <f t="shared" si="1"/>
        <v>Re-verify the household (new Kobo submission)</v>
      </c>
      <c r="M12" s="27">
        <f>IF($A12="","",LARGE(Households!$AF$5:$AF$154,$A12))</f>
        <v>106942</v>
      </c>
      <c r="N12" s="24">
        <f>IF($A12="","",MATCH($M12,Households!$AF$5:$AF$154,0))</f>
        <v>58</v>
      </c>
    </row>
    <row r="13" spans="1:14" x14ac:dyDescent="0.3">
      <c r="A13" s="24">
        <f t="shared" si="0"/>
        <v>9</v>
      </c>
      <c r="B13" s="24" t="str">
        <f>IF($A13="","",INDEX(Households!$A$5:$A$154,$N13))</f>
        <v>HH-071</v>
      </c>
      <c r="C13" s="24" t="str">
        <f>IF($A13="","",INDEX(Households!$B$5:$B$154,$N13))</f>
        <v>Site C – Informal Tent Area</v>
      </c>
      <c r="D13" s="24" t="str">
        <f>IF($A13="","",INDEX(Households!$C$5:$C$154,$N13)&amp;" – "&amp;INDEX(Households!$D$5:$D$154,$N13))</f>
        <v>Makeshift shelter – Damaged</v>
      </c>
      <c r="E13" s="25" t="str">
        <f>IF($A13="","",INDEX(Households!$X$5:$X$154,$N13))</f>
        <v>High</v>
      </c>
      <c r="F13" s="24">
        <f>IF($A13="","",INDEX(Households!$AE$5:$AE$154,$N13))</f>
        <v>1</v>
      </c>
      <c r="G13" s="24" t="str">
        <f>IF($A13="","",IF(INDEX(Households!$AA$5:$AA$154,$N13)&gt;0,INDEX(Households!$AA$5:$AA$154,$N13),""))</f>
        <v/>
      </c>
      <c r="H13" s="25" t="str">
        <f>IF($A13="","",IF(INDEX(Households!$AB$5:$AB$154,$N13)="Referral needed","Referral needed",""))</f>
        <v/>
      </c>
      <c r="I13" s="25" t="str">
        <f>IF($A13="","",INDEX(Households!$AC$5:$AC$154,$N13))</f>
        <v/>
      </c>
      <c r="J13" s="25" t="str">
        <f>IF($A13="","",INDEX(Households!$AD$5:$AD$154,$N13))</f>
        <v>Yes</v>
      </c>
      <c r="K13" s="25" t="str">
        <f>IF($A13="","",INDEX(Households!$Y$5:$Y$154,$N13))</f>
        <v/>
      </c>
      <c r="L13" s="26" t="str">
        <f t="shared" si="1"/>
        <v>Check the household shelter repair</v>
      </c>
      <c r="M13" s="27">
        <f>IF($A13="","",LARGE(Households!$AF$5:$AF$154,$A13))</f>
        <v>106929</v>
      </c>
      <c r="N13" s="24">
        <f>IF($A13="","",MATCH($M13,Households!$AF$5:$AF$154,0))</f>
        <v>71</v>
      </c>
    </row>
    <row r="14" spans="1:14" x14ac:dyDescent="0.3">
      <c r="A14" s="24">
        <f t="shared" si="0"/>
        <v>10</v>
      </c>
      <c r="B14" s="24" t="str">
        <f>IF($A14="","",INDEX(Households!$A$5:$A$154,$N14))</f>
        <v>HH-102</v>
      </c>
      <c r="C14" s="24" t="str">
        <f>IF($A14="","",INDEX(Households!$B$5:$B$154,$N14))</f>
        <v>Site D – Collective Centre</v>
      </c>
      <c r="D14" s="24" t="str">
        <f>IF($A14="","",INDEX(Households!$C$5:$C$154,$N14)&amp;" – "&amp;INDEX(Households!$D$5:$D$154,$N14))</f>
        <v>Collective room – Damaged</v>
      </c>
      <c r="E14" s="25" t="str">
        <f>IF($A14="","",INDEX(Households!$X$5:$X$154,$N14))</f>
        <v>High</v>
      </c>
      <c r="F14" s="24">
        <f>IF($A14="","",INDEX(Households!$AE$5:$AE$154,$N14))</f>
        <v>1</v>
      </c>
      <c r="G14" s="24">
        <f>IF($A14="","",IF(INDEX(Households!$AA$5:$AA$154,$N14)&gt;0,INDEX(Households!$AA$5:$AA$154,$N14),""))</f>
        <v>1</v>
      </c>
      <c r="H14" s="25" t="str">
        <f>IF($A14="","",IF(INDEX(Households!$AB$5:$AB$154,$N14)="Referral needed","Referral needed",""))</f>
        <v/>
      </c>
      <c r="I14" s="25" t="str">
        <f>IF($A14="","",INDEX(Households!$AC$5:$AC$154,$N14))</f>
        <v/>
      </c>
      <c r="J14" s="25" t="str">
        <f>IF($A14="","",INDEX(Households!$AD$5:$AD$154,$N14))</f>
        <v/>
      </c>
      <c r="K14" s="25" t="str">
        <f>IF($A14="","",INDEX(Households!$Y$5:$Y$154,$N14))</f>
        <v/>
      </c>
      <c r="L14" s="26" t="str">
        <f t="shared" si="1"/>
        <v>Chase overdue referral with the service provider</v>
      </c>
      <c r="M14" s="27">
        <f>IF($A14="","",LARGE(Households!$AF$5:$AF$154,$A14))</f>
        <v>106898</v>
      </c>
      <c r="N14" s="24">
        <f>IF($A14="","",MATCH($M14,Households!$AF$5:$AF$154,0))</f>
        <v>102</v>
      </c>
    </row>
    <row r="15" spans="1:14" x14ac:dyDescent="0.3">
      <c r="A15" s="24">
        <f t="shared" si="0"/>
        <v>11</v>
      </c>
      <c r="B15" s="24" t="str">
        <f>IF($A15="","",INDEX(Households!$A$5:$A$154,$N15))</f>
        <v>HH-107</v>
      </c>
      <c r="C15" s="24" t="str">
        <f>IF($A15="","",INDEX(Households!$B$5:$B$154,$N15))</f>
        <v>Site D – Collective Centre</v>
      </c>
      <c r="D15" s="24" t="str">
        <f>IF($A15="","",INDEX(Households!$C$5:$C$154,$N15)&amp;" – "&amp;INDEX(Households!$D$5:$D$154,$N15))</f>
        <v>Collective room – Adequate</v>
      </c>
      <c r="E15" s="25" t="str">
        <f>IF($A15="","",INDEX(Households!$X$5:$X$154,$N15))</f>
        <v>High</v>
      </c>
      <c r="F15" s="24">
        <f>IF($A15="","",INDEX(Households!$AE$5:$AE$154,$N15))</f>
        <v>1</v>
      </c>
      <c r="G15" s="24">
        <f>IF($A15="","",IF(INDEX(Households!$AA$5:$AA$154,$N15)&gt;0,INDEX(Households!$AA$5:$AA$154,$N15),""))</f>
        <v>1</v>
      </c>
      <c r="H15" s="25" t="str">
        <f>IF($A15="","",IF(INDEX(Households!$AB$5:$AB$154,$N15)="Referral needed","Referral needed",""))</f>
        <v/>
      </c>
      <c r="I15" s="25" t="str">
        <f>IF($A15="","",INDEX(Households!$AC$5:$AC$154,$N15))</f>
        <v/>
      </c>
      <c r="J15" s="25" t="str">
        <f>IF($A15="","",INDEX(Households!$AD$5:$AD$154,$N15))</f>
        <v/>
      </c>
      <c r="K15" s="25" t="str">
        <f>IF($A15="","",INDEX(Households!$Y$5:$Y$154,$N15))</f>
        <v/>
      </c>
      <c r="L15" s="26" t="str">
        <f t="shared" si="1"/>
        <v>Chase overdue referral with the service provider</v>
      </c>
      <c r="M15" s="27">
        <f>IF($A15="","",LARGE(Households!$AF$5:$AF$154,$A15))</f>
        <v>106893</v>
      </c>
      <c r="N15" s="24">
        <f>IF($A15="","",MATCH($M15,Households!$AF$5:$AF$154,0))</f>
        <v>107</v>
      </c>
    </row>
    <row r="16" spans="1:14" x14ac:dyDescent="0.3">
      <c r="A16" s="24">
        <f t="shared" si="0"/>
        <v>12</v>
      </c>
      <c r="B16" s="24" t="str">
        <f>IF($A16="","",INDEX(Households!$A$5:$A$154,$N16))</f>
        <v>HH-020</v>
      </c>
      <c r="C16" s="24" t="str">
        <f>IF($A16="","",INDEX(Households!$B$5:$B$154,$N16))</f>
        <v>Site A – School Shelter</v>
      </c>
      <c r="D16" s="24" t="str">
        <f>IF($A16="","",INDEX(Households!$C$5:$C$154,$N16)&amp;" – "&amp;INDEX(Households!$D$5:$D$154,$N16))</f>
        <v>Classroom – Adequate</v>
      </c>
      <c r="E16" s="25" t="str">
        <f>IF($A16="","",INDEX(Households!$X$5:$X$154,$N16))</f>
        <v>High</v>
      </c>
      <c r="F16" s="24">
        <f>IF($A16="","",INDEX(Households!$AE$5:$AE$154,$N16))</f>
        <v>1</v>
      </c>
      <c r="G16" s="24" t="str">
        <f>IF($A16="","",IF(INDEX(Households!$AA$5:$AA$154,$N16)&gt;0,INDEX(Households!$AA$5:$AA$154,$N16),""))</f>
        <v/>
      </c>
      <c r="H16" s="25" t="str">
        <f>IF($A16="","",IF(INDEX(Households!$AB$5:$AB$154,$N16)="Referral needed","Referral needed",""))</f>
        <v/>
      </c>
      <c r="I16" s="25" t="str">
        <f>IF($A16="","",INDEX(Households!$AC$5:$AC$154,$N16))</f>
        <v/>
      </c>
      <c r="J16" s="25" t="str">
        <f>IF($A16="","",INDEX(Households!$AD$5:$AD$154,$N16))</f>
        <v/>
      </c>
      <c r="K16" s="25" t="str">
        <f>IF($A16="","",INDEX(Households!$Y$5:$Y$154,$N16))</f>
        <v>Yes</v>
      </c>
      <c r="L16" s="26" t="str">
        <f t="shared" si="1"/>
        <v>Re-verify the household (new Kobo submission)</v>
      </c>
      <c r="M16" s="27">
        <f>IF($A16="","",LARGE(Households!$AF$5:$AF$154,$A16))</f>
        <v>105980</v>
      </c>
      <c r="N16" s="24">
        <f>IF($A16="","",MATCH($M16,Households!$AF$5:$AF$154,0))</f>
        <v>20</v>
      </c>
    </row>
    <row r="17" spans="1:14" x14ac:dyDescent="0.3">
      <c r="A17" s="24">
        <f t="shared" si="0"/>
        <v>13</v>
      </c>
      <c r="B17" s="24" t="str">
        <f>IF($A17="","",INDEX(Households!$A$5:$A$154,$N17))</f>
        <v>HH-074</v>
      </c>
      <c r="C17" s="24" t="str">
        <f>IF($A17="","",INDEX(Households!$B$5:$B$154,$N17))</f>
        <v>Site C – Informal Tent Area</v>
      </c>
      <c r="D17" s="24" t="str">
        <f>IF($A17="","",INDEX(Households!$C$5:$C$154,$N17)&amp;" – "&amp;INDEX(Households!$D$5:$D$154,$N17))</f>
        <v>Tent – Damaged</v>
      </c>
      <c r="E17" s="25" t="str">
        <f>IF($A17="","",INDEX(Households!$X$5:$X$154,$N17))</f>
        <v>High</v>
      </c>
      <c r="F17" s="24">
        <f>IF($A17="","",INDEX(Households!$AE$5:$AE$154,$N17))</f>
        <v>1</v>
      </c>
      <c r="G17" s="24" t="str">
        <f>IF($A17="","",IF(INDEX(Households!$AA$5:$AA$154,$N17)&gt;0,INDEX(Households!$AA$5:$AA$154,$N17),""))</f>
        <v/>
      </c>
      <c r="H17" s="25" t="str">
        <f>IF($A17="","",IF(INDEX(Households!$AB$5:$AB$154,$N17)="Referral needed","Referral needed",""))</f>
        <v/>
      </c>
      <c r="I17" s="25" t="str">
        <f>IF($A17="","",INDEX(Households!$AC$5:$AC$154,$N17))</f>
        <v/>
      </c>
      <c r="J17" s="25" t="str">
        <f>IF($A17="","",INDEX(Households!$AD$5:$AD$154,$N17))</f>
        <v/>
      </c>
      <c r="K17" s="25" t="str">
        <f>IF($A17="","",INDEX(Households!$Y$5:$Y$154,$N17))</f>
        <v>Yes</v>
      </c>
      <c r="L17" s="26" t="str">
        <f t="shared" si="1"/>
        <v>Re-verify the household (new Kobo submission)</v>
      </c>
      <c r="M17" s="27">
        <f>IF($A17="","",LARGE(Households!$AF$5:$AF$154,$A17))</f>
        <v>105926</v>
      </c>
      <c r="N17" s="24">
        <f>IF($A17="","",MATCH($M17,Households!$AF$5:$AF$154,0))</f>
        <v>74</v>
      </c>
    </row>
    <row r="18" spans="1:14" x14ac:dyDescent="0.3">
      <c r="A18" s="24">
        <f t="shared" si="0"/>
        <v>14</v>
      </c>
      <c r="B18" s="24" t="str">
        <f>IF($A18="","",INDEX(Households!$A$5:$A$154,$N18))</f>
        <v>HH-011</v>
      </c>
      <c r="C18" s="24" t="str">
        <f>IF($A18="","",INDEX(Households!$B$5:$B$154,$N18))</f>
        <v>Site A – School Shelter</v>
      </c>
      <c r="D18" s="24" t="str">
        <f>IF($A18="","",INDEX(Households!$C$5:$C$154,$N18)&amp;" – "&amp;INDEX(Households!$D$5:$D$154,$N18))</f>
        <v>Classroom – Adequate</v>
      </c>
      <c r="E18" s="25" t="str">
        <f>IF($A18="","",INDEX(Households!$X$5:$X$154,$N18))</f>
        <v>Medium</v>
      </c>
      <c r="F18" s="24">
        <f>IF($A18="","",INDEX(Households!$AE$5:$AE$154,$N18))</f>
        <v>1</v>
      </c>
      <c r="G18" s="24">
        <f>IF($A18="","",IF(INDEX(Households!$AA$5:$AA$154,$N18)&gt;0,INDEX(Households!$AA$5:$AA$154,$N18),""))</f>
        <v>1</v>
      </c>
      <c r="H18" s="25" t="str">
        <f>IF($A18="","",IF(INDEX(Households!$AB$5:$AB$154,$N18)="Referral needed","Referral needed",""))</f>
        <v/>
      </c>
      <c r="I18" s="25" t="str">
        <f>IF($A18="","",INDEX(Households!$AC$5:$AC$154,$N18))</f>
        <v/>
      </c>
      <c r="J18" s="25" t="str">
        <f>IF($A18="","",INDEX(Households!$AD$5:$AD$154,$N18))</f>
        <v/>
      </c>
      <c r="K18" s="25" t="str">
        <f>IF($A18="","",INDEX(Households!$Y$5:$Y$154,$N18))</f>
        <v/>
      </c>
      <c r="L18" s="26" t="str">
        <f t="shared" si="1"/>
        <v>Chase overdue referral with the service provider</v>
      </c>
      <c r="M18" s="27">
        <f>IF($A18="","",LARGE(Households!$AF$5:$AF$154,$A18))</f>
        <v>104989</v>
      </c>
      <c r="N18" s="24">
        <f>IF($A18="","",MATCH($M18,Households!$AF$5:$AF$154,0))</f>
        <v>11</v>
      </c>
    </row>
    <row r="19" spans="1:14" x14ac:dyDescent="0.3">
      <c r="A19" s="24">
        <f t="shared" si="0"/>
        <v>15</v>
      </c>
      <c r="B19" s="24" t="str">
        <f>IF($A19="","",INDEX(Households!$A$5:$A$154,$N19))</f>
        <v>HH-017</v>
      </c>
      <c r="C19" s="24" t="str">
        <f>IF($A19="","",INDEX(Households!$B$5:$B$154,$N19))</f>
        <v>Site A – School Shelter</v>
      </c>
      <c r="D19" s="24" t="str">
        <f>IF($A19="","",INDEX(Households!$C$5:$C$154,$N19)&amp;" – "&amp;INDEX(Households!$D$5:$D$154,$N19))</f>
        <v>Classroom – Adequate</v>
      </c>
      <c r="E19" s="25" t="str">
        <f>IF($A19="","",INDEX(Households!$X$5:$X$154,$N19))</f>
        <v>Medium</v>
      </c>
      <c r="F19" s="24">
        <f>IF($A19="","",INDEX(Households!$AE$5:$AE$154,$N19))</f>
        <v>1</v>
      </c>
      <c r="G19" s="24" t="str">
        <f>IF($A19="","",IF(INDEX(Households!$AA$5:$AA$154,$N19)&gt;0,INDEX(Households!$AA$5:$AA$154,$N19),""))</f>
        <v/>
      </c>
      <c r="H19" s="25" t="str">
        <f>IF($A19="","",IF(INDEX(Households!$AB$5:$AB$154,$N19)="Referral needed","Referral needed",""))</f>
        <v>Referral needed</v>
      </c>
      <c r="I19" s="25" t="str">
        <f>IF($A19="","",INDEX(Households!$AC$5:$AC$154,$N19))</f>
        <v/>
      </c>
      <c r="J19" s="25" t="str">
        <f>IF($A19="","",INDEX(Households!$AD$5:$AD$154,$N19))</f>
        <v/>
      </c>
      <c r="K19" s="25" t="str">
        <f>IF($A19="","",INDEX(Households!$Y$5:$Y$154,$N19))</f>
        <v/>
      </c>
      <c r="L19" s="26" t="str">
        <f t="shared" si="1"/>
        <v>Make the IYCF referral to the nutrition partner</v>
      </c>
      <c r="M19" s="27">
        <f>IF($A19="","",LARGE(Households!$AF$5:$AF$154,$A19))</f>
        <v>104983</v>
      </c>
      <c r="N19" s="24">
        <f>IF($A19="","",MATCH($M19,Households!$AF$5:$AF$154,0))</f>
        <v>17</v>
      </c>
    </row>
    <row r="20" spans="1:14" x14ac:dyDescent="0.3">
      <c r="A20" s="24">
        <f t="shared" si="0"/>
        <v>16</v>
      </c>
      <c r="B20" s="24" t="str">
        <f>IF($A20="","",INDEX(Households!$A$5:$A$154,$N20))</f>
        <v>HH-025</v>
      </c>
      <c r="C20" s="24" t="str">
        <f>IF($A20="","",INDEX(Households!$B$5:$B$154,$N20))</f>
        <v>Site A – School Shelter</v>
      </c>
      <c r="D20" s="24" t="str">
        <f>IF($A20="","",INDEX(Households!$C$5:$C$154,$N20)&amp;" – "&amp;INDEX(Households!$D$5:$D$154,$N20))</f>
        <v>Classroom – Adequate</v>
      </c>
      <c r="E20" s="25" t="str">
        <f>IF($A20="","",INDEX(Households!$X$5:$X$154,$N20))</f>
        <v>Medium</v>
      </c>
      <c r="F20" s="24">
        <f>IF($A20="","",INDEX(Households!$AE$5:$AE$154,$N20))</f>
        <v>1</v>
      </c>
      <c r="G20" s="24" t="str">
        <f>IF($A20="","",IF(INDEX(Households!$AA$5:$AA$154,$N20)&gt;0,INDEX(Households!$AA$5:$AA$154,$N20),""))</f>
        <v/>
      </c>
      <c r="H20" s="25" t="str">
        <f>IF($A20="","",IF(INDEX(Households!$AB$5:$AB$154,$N20)="Referral needed","Referral needed",""))</f>
        <v/>
      </c>
      <c r="I20" s="25" t="str">
        <f>IF($A20="","",INDEX(Households!$AC$5:$AC$154,$N20))</f>
        <v/>
      </c>
      <c r="J20" s="25" t="str">
        <f>IF($A20="","",INDEX(Households!$AD$5:$AD$154,$N20))</f>
        <v/>
      </c>
      <c r="K20" s="25" t="str">
        <f>IF($A20="","",INDEX(Households!$Y$5:$Y$154,$N20))</f>
        <v>Yes</v>
      </c>
      <c r="L20" s="26" t="str">
        <f t="shared" si="1"/>
        <v>Re-verify the household (new Kobo submission)</v>
      </c>
      <c r="M20" s="27">
        <f>IF($A20="","",LARGE(Households!$AF$5:$AF$154,$A20))</f>
        <v>104975</v>
      </c>
      <c r="N20" s="24">
        <f>IF($A20="","",MATCH($M20,Households!$AF$5:$AF$154,0))</f>
        <v>25</v>
      </c>
    </row>
    <row r="21" spans="1:14" x14ac:dyDescent="0.3">
      <c r="A21" s="24">
        <f t="shared" si="0"/>
        <v>17</v>
      </c>
      <c r="B21" s="24" t="str">
        <f>IF($A21="","",INDEX(Households!$A$5:$A$154,$N21))</f>
        <v>HH-038</v>
      </c>
      <c r="C21" s="24" t="str">
        <f>IF($A21="","",INDEX(Households!$B$5:$B$154,$N21))</f>
        <v>Site B – School Shelter</v>
      </c>
      <c r="D21" s="24" t="str">
        <f>IF($A21="","",INDEX(Households!$C$5:$C$154,$N21)&amp;" – "&amp;INDEX(Households!$D$5:$D$154,$N21))</f>
        <v>Classroom – Adequate</v>
      </c>
      <c r="E21" s="25" t="str">
        <f>IF($A21="","",INDEX(Households!$X$5:$X$154,$N21))</f>
        <v>Medium</v>
      </c>
      <c r="F21" s="24">
        <f>IF($A21="","",INDEX(Households!$AE$5:$AE$154,$N21))</f>
        <v>1</v>
      </c>
      <c r="G21" s="24" t="str">
        <f>IF($A21="","",IF(INDEX(Households!$AA$5:$AA$154,$N21)&gt;0,INDEX(Households!$AA$5:$AA$154,$N21),""))</f>
        <v/>
      </c>
      <c r="H21" s="25" t="str">
        <f>IF($A21="","",IF(INDEX(Households!$AB$5:$AB$154,$N21)="Referral needed","Referral needed",""))</f>
        <v/>
      </c>
      <c r="I21" s="25" t="str">
        <f>IF($A21="","",INDEX(Households!$AC$5:$AC$154,$N21))</f>
        <v/>
      </c>
      <c r="J21" s="25" t="str">
        <f>IF($A21="","",INDEX(Households!$AD$5:$AD$154,$N21))</f>
        <v/>
      </c>
      <c r="K21" s="25" t="str">
        <f>IF($A21="","",INDEX(Households!$Y$5:$Y$154,$N21))</f>
        <v>Yes</v>
      </c>
      <c r="L21" s="26" t="str">
        <f t="shared" si="1"/>
        <v>Re-verify the household (new Kobo submission)</v>
      </c>
      <c r="M21" s="27">
        <f>IF($A21="","",LARGE(Households!$AF$5:$AF$154,$A21))</f>
        <v>104962</v>
      </c>
      <c r="N21" s="24">
        <f>IF($A21="","",MATCH($M21,Households!$AF$5:$AF$154,0))</f>
        <v>38</v>
      </c>
    </row>
    <row r="22" spans="1:14" x14ac:dyDescent="0.3">
      <c r="A22" s="24">
        <f t="shared" si="0"/>
        <v>18</v>
      </c>
      <c r="B22" s="24" t="str">
        <f>IF($A22="","",INDEX(Households!$A$5:$A$154,$N22))</f>
        <v>HH-081</v>
      </c>
      <c r="C22" s="24" t="str">
        <f>IF($A22="","",INDEX(Households!$B$5:$B$154,$N22))</f>
        <v>Site C – Informal Tent Area</v>
      </c>
      <c r="D22" s="24" t="str">
        <f>IF($A22="","",INDEX(Households!$C$5:$C$154,$N22)&amp;" – "&amp;INDEX(Households!$D$5:$D$154,$N22))</f>
        <v>Tent – Unusable</v>
      </c>
      <c r="E22" s="25" t="str">
        <f>IF($A22="","",INDEX(Households!$X$5:$X$154,$N22))</f>
        <v>Medium</v>
      </c>
      <c r="F22" s="24">
        <f>IF($A22="","",INDEX(Households!$AE$5:$AE$154,$N22))</f>
        <v>1</v>
      </c>
      <c r="G22" s="24" t="str">
        <f>IF($A22="","",IF(INDEX(Households!$AA$5:$AA$154,$N22)&gt;0,INDEX(Households!$AA$5:$AA$154,$N22),""))</f>
        <v/>
      </c>
      <c r="H22" s="25" t="str">
        <f>IF($A22="","",IF(INDEX(Households!$AB$5:$AB$154,$N22)="Referral needed","Referral needed",""))</f>
        <v/>
      </c>
      <c r="I22" s="25" t="str">
        <f>IF($A22="","",INDEX(Households!$AC$5:$AC$154,$N22))</f>
        <v>Yes</v>
      </c>
      <c r="J22" s="25" t="str">
        <f>IF($A22="","",INDEX(Households!$AD$5:$AD$154,$N22))</f>
        <v/>
      </c>
      <c r="K22" s="25" t="str">
        <f>IF($A22="","",INDEX(Households!$Y$5:$Y$154,$N22))</f>
        <v/>
      </c>
      <c r="L22" s="26" t="str">
        <f t="shared" si="1"/>
        <v>Confirm tent replacement with the shelter partner</v>
      </c>
      <c r="M22" s="27">
        <f>IF($A22="","",LARGE(Households!$AF$5:$AF$154,$A22))</f>
        <v>104919</v>
      </c>
      <c r="N22" s="24">
        <f>IF($A22="","",MATCH($M22,Households!$AF$5:$AF$154,0))</f>
        <v>81</v>
      </c>
    </row>
    <row r="23" spans="1:14" x14ac:dyDescent="0.3">
      <c r="A23" s="24">
        <f t="shared" si="0"/>
        <v>19</v>
      </c>
      <c r="B23" s="24" t="str">
        <f>IF($A23="","",INDEX(Households!$A$5:$A$154,$N23))</f>
        <v>HH-082</v>
      </c>
      <c r="C23" s="24" t="str">
        <f>IF($A23="","",INDEX(Households!$B$5:$B$154,$N23))</f>
        <v>Site C – Informal Tent Area</v>
      </c>
      <c r="D23" s="24" t="str">
        <f>IF($A23="","",INDEX(Households!$C$5:$C$154,$N23)&amp;" – "&amp;INDEX(Households!$D$5:$D$154,$N23))</f>
        <v>Makeshift shelter – Unusable</v>
      </c>
      <c r="E23" s="25" t="str">
        <f>IF($A23="","",INDEX(Households!$X$5:$X$154,$N23))</f>
        <v>Medium</v>
      </c>
      <c r="F23" s="24">
        <f>IF($A23="","",INDEX(Households!$AE$5:$AE$154,$N23))</f>
        <v>1</v>
      </c>
      <c r="G23" s="24" t="str">
        <f>IF($A23="","",IF(INDEX(Households!$AA$5:$AA$154,$N23)&gt;0,INDEX(Households!$AA$5:$AA$154,$N23),""))</f>
        <v/>
      </c>
      <c r="H23" s="25" t="str">
        <f>IF($A23="","",IF(INDEX(Households!$AB$5:$AB$154,$N23)="Referral needed","Referral needed",""))</f>
        <v/>
      </c>
      <c r="I23" s="25" t="str">
        <f>IF($A23="","",INDEX(Households!$AC$5:$AC$154,$N23))</f>
        <v>Yes</v>
      </c>
      <c r="J23" s="25" t="str">
        <f>IF($A23="","",INDEX(Households!$AD$5:$AD$154,$N23))</f>
        <v/>
      </c>
      <c r="K23" s="25" t="str">
        <f>IF($A23="","",INDEX(Households!$Y$5:$Y$154,$N23))</f>
        <v/>
      </c>
      <c r="L23" s="26" t="str">
        <f t="shared" si="1"/>
        <v>Confirm tent replacement with the shelter partner</v>
      </c>
      <c r="M23" s="27">
        <f>IF($A23="","",LARGE(Households!$AF$5:$AF$154,$A23))</f>
        <v>104918</v>
      </c>
      <c r="N23" s="24">
        <f>IF($A23="","",MATCH($M23,Households!$AF$5:$AF$154,0))</f>
        <v>82</v>
      </c>
    </row>
    <row r="24" spans="1:14" x14ac:dyDescent="0.3">
      <c r="A24" s="24">
        <f t="shared" si="0"/>
        <v>20</v>
      </c>
      <c r="B24" s="24" t="str">
        <f>IF($A24="","",INDEX(Households!$A$5:$A$154,$N24))</f>
        <v>HH-111</v>
      </c>
      <c r="C24" s="24" t="str">
        <f>IF($A24="","",INDEX(Households!$B$5:$B$154,$N24))</f>
        <v>Site D – Collective Centre</v>
      </c>
      <c r="D24" s="24" t="str">
        <f>IF($A24="","",INDEX(Households!$C$5:$C$154,$N24)&amp;" – "&amp;INDEX(Households!$D$5:$D$154,$N24))</f>
        <v>Collective room – Adequate</v>
      </c>
      <c r="E24" s="25" t="str">
        <f>IF($A24="","",INDEX(Households!$X$5:$X$154,$N24))</f>
        <v>Medium</v>
      </c>
      <c r="F24" s="24">
        <f>IF($A24="","",INDEX(Households!$AE$5:$AE$154,$N24))</f>
        <v>1</v>
      </c>
      <c r="G24" s="24" t="str">
        <f>IF($A24="","",IF(INDEX(Households!$AA$5:$AA$154,$N24)&gt;0,INDEX(Households!$AA$5:$AA$154,$N24),""))</f>
        <v/>
      </c>
      <c r="H24" s="25" t="str">
        <f>IF($A24="","",IF(INDEX(Households!$AB$5:$AB$154,$N24)="Referral needed","Referral needed",""))</f>
        <v/>
      </c>
      <c r="I24" s="25" t="str">
        <f>IF($A24="","",INDEX(Households!$AC$5:$AC$154,$N24))</f>
        <v/>
      </c>
      <c r="J24" s="25" t="str">
        <f>IF($A24="","",INDEX(Households!$AD$5:$AD$154,$N24))</f>
        <v/>
      </c>
      <c r="K24" s="25" t="str">
        <f>IF($A24="","",INDEX(Households!$Y$5:$Y$154,$N24))</f>
        <v>Yes</v>
      </c>
      <c r="L24" s="26" t="str">
        <f t="shared" si="1"/>
        <v>Re-verify the household (new Kobo submission)</v>
      </c>
      <c r="M24" s="27">
        <f>IF($A24="","",LARGE(Households!$AF$5:$AF$154,$A24))</f>
        <v>104889</v>
      </c>
      <c r="N24" s="24">
        <f>IF($A24="","",MATCH($M24,Households!$AF$5:$AF$154,0))</f>
        <v>111</v>
      </c>
    </row>
    <row r="25" spans="1:14" x14ac:dyDescent="0.3">
      <c r="A25" s="24">
        <f t="shared" si="0"/>
        <v>21</v>
      </c>
      <c r="B25" s="24" t="str">
        <f>IF($A25="","",INDEX(Households!$A$5:$A$154,$N25))</f>
        <v>HH-001</v>
      </c>
      <c r="C25" s="24" t="str">
        <f>IF($A25="","",INDEX(Households!$B$5:$B$154,$N25))</f>
        <v>Site A – School Shelter</v>
      </c>
      <c r="D25" s="24" t="str">
        <f>IF($A25="","",INDEX(Households!$C$5:$C$154,$N25)&amp;" – "&amp;INDEX(Households!$D$5:$D$154,$N25))</f>
        <v>Classroom – Adequate</v>
      </c>
      <c r="E25" s="25" t="str">
        <f>IF($A25="","",INDEX(Households!$X$5:$X$154,$N25))</f>
        <v>Medium</v>
      </c>
      <c r="F25" s="24">
        <f>IF($A25="","",INDEX(Households!$AE$5:$AE$154,$N25))</f>
        <v>1</v>
      </c>
      <c r="G25" s="24" t="str">
        <f>IF($A25="","",IF(INDEX(Households!$AA$5:$AA$154,$N25)&gt;0,INDEX(Households!$AA$5:$AA$154,$N25),""))</f>
        <v/>
      </c>
      <c r="H25" s="25" t="str">
        <f>IF($A25="","",IF(INDEX(Households!$AB$5:$AB$154,$N25)="Referral needed","Referral needed",""))</f>
        <v/>
      </c>
      <c r="I25" s="25" t="str">
        <f>IF($A25="","",INDEX(Households!$AC$5:$AC$154,$N25))</f>
        <v/>
      </c>
      <c r="J25" s="25" t="str">
        <f>IF($A25="","",INDEX(Households!$AD$5:$AD$154,$N25))</f>
        <v/>
      </c>
      <c r="K25" s="25" t="str">
        <f>IF($A25="","",INDEX(Households!$Y$5:$Y$154,$N25))</f>
        <v>Yes</v>
      </c>
      <c r="L25" s="26" t="str">
        <f t="shared" si="1"/>
        <v>Re-verify the household (new Kobo submission)</v>
      </c>
      <c r="M25" s="27">
        <f>IF($A25="","",LARGE(Households!$AF$5:$AF$154,$A25))</f>
        <v>103999</v>
      </c>
      <c r="N25" s="24">
        <f>IF($A25="","",MATCH($M25,Households!$AF$5:$AF$154,0))</f>
        <v>1</v>
      </c>
    </row>
    <row r="26" spans="1:14" x14ac:dyDescent="0.3">
      <c r="A26" s="24">
        <f t="shared" si="0"/>
        <v>22</v>
      </c>
      <c r="B26" s="24" t="str">
        <f>IF($A26="","",INDEX(Households!$A$5:$A$154,$N26))</f>
        <v>HH-007</v>
      </c>
      <c r="C26" s="24" t="str">
        <f>IF($A26="","",INDEX(Households!$B$5:$B$154,$N26))</f>
        <v>Site A – School Shelter</v>
      </c>
      <c r="D26" s="24" t="str">
        <f>IF($A26="","",INDEX(Households!$C$5:$C$154,$N26)&amp;" – "&amp;INDEX(Households!$D$5:$D$154,$N26))</f>
        <v>Classroom – Adequate</v>
      </c>
      <c r="E26" s="25" t="str">
        <f>IF($A26="","",INDEX(Households!$X$5:$X$154,$N26))</f>
        <v>Medium</v>
      </c>
      <c r="F26" s="24">
        <f>IF($A26="","",INDEX(Households!$AE$5:$AE$154,$N26))</f>
        <v>1</v>
      </c>
      <c r="G26" s="24" t="str">
        <f>IF($A26="","",IF(INDEX(Households!$AA$5:$AA$154,$N26)&gt;0,INDEX(Households!$AA$5:$AA$154,$N26),""))</f>
        <v/>
      </c>
      <c r="H26" s="25" t="str">
        <f>IF($A26="","",IF(INDEX(Households!$AB$5:$AB$154,$N26)="Referral needed","Referral needed",""))</f>
        <v>Referral needed</v>
      </c>
      <c r="I26" s="25" t="str">
        <f>IF($A26="","",INDEX(Households!$AC$5:$AC$154,$N26))</f>
        <v/>
      </c>
      <c r="J26" s="25" t="str">
        <f>IF($A26="","",INDEX(Households!$AD$5:$AD$154,$N26))</f>
        <v/>
      </c>
      <c r="K26" s="25" t="str">
        <f>IF($A26="","",INDEX(Households!$Y$5:$Y$154,$N26))</f>
        <v/>
      </c>
      <c r="L26" s="26" t="str">
        <f t="shared" si="1"/>
        <v>Make the IYCF referral to the nutrition partner</v>
      </c>
      <c r="M26" s="27">
        <f>IF($A26="","",LARGE(Households!$AF$5:$AF$154,$A26))</f>
        <v>103993</v>
      </c>
      <c r="N26" s="24">
        <f>IF($A26="","",MATCH($M26,Households!$AF$5:$AF$154,0))</f>
        <v>7</v>
      </c>
    </row>
    <row r="27" spans="1:14" x14ac:dyDescent="0.3">
      <c r="A27" s="24">
        <f t="shared" si="0"/>
        <v>23</v>
      </c>
      <c r="B27" s="24" t="str">
        <f>IF($A27="","",INDEX(Households!$A$5:$A$154,$N27))</f>
        <v>HH-008</v>
      </c>
      <c r="C27" s="24" t="str">
        <f>IF($A27="","",INDEX(Households!$B$5:$B$154,$N27))</f>
        <v>Site A – School Shelter</v>
      </c>
      <c r="D27" s="24" t="str">
        <f>IF($A27="","",INDEX(Households!$C$5:$C$154,$N27)&amp;" – "&amp;INDEX(Households!$D$5:$D$154,$N27))</f>
        <v>Classroom – Adequate</v>
      </c>
      <c r="E27" s="25" t="str">
        <f>IF($A27="","",INDEX(Households!$X$5:$X$154,$N27))</f>
        <v>Medium</v>
      </c>
      <c r="F27" s="24">
        <f>IF($A27="","",INDEX(Households!$AE$5:$AE$154,$N27))</f>
        <v>1</v>
      </c>
      <c r="G27" s="24">
        <f>IF($A27="","",IF(INDEX(Households!$AA$5:$AA$154,$N27)&gt;0,INDEX(Households!$AA$5:$AA$154,$N27),""))</f>
        <v>1</v>
      </c>
      <c r="H27" s="25" t="str">
        <f>IF($A27="","",IF(INDEX(Households!$AB$5:$AB$154,$N27)="Referral needed","Referral needed",""))</f>
        <v/>
      </c>
      <c r="I27" s="25" t="str">
        <f>IF($A27="","",INDEX(Households!$AC$5:$AC$154,$N27))</f>
        <v/>
      </c>
      <c r="J27" s="25" t="str">
        <f>IF($A27="","",INDEX(Households!$AD$5:$AD$154,$N27))</f>
        <v/>
      </c>
      <c r="K27" s="25" t="str">
        <f>IF($A27="","",INDEX(Households!$Y$5:$Y$154,$N27))</f>
        <v/>
      </c>
      <c r="L27" s="26" t="str">
        <f t="shared" si="1"/>
        <v>Chase overdue referral with the service provider</v>
      </c>
      <c r="M27" s="27">
        <f>IF($A27="","",LARGE(Households!$AF$5:$AF$154,$A27))</f>
        <v>103992</v>
      </c>
      <c r="N27" s="24">
        <f>IF($A27="","",MATCH($M27,Households!$AF$5:$AF$154,0))</f>
        <v>8</v>
      </c>
    </row>
    <row r="28" spans="1:14" x14ac:dyDescent="0.3">
      <c r="A28" s="24">
        <f t="shared" si="0"/>
        <v>24</v>
      </c>
      <c r="B28" s="24" t="str">
        <f>IF($A28="","",INDEX(Households!$A$5:$A$154,$N28))</f>
        <v>HH-026</v>
      </c>
      <c r="C28" s="24" t="str">
        <f>IF($A28="","",INDEX(Households!$B$5:$B$154,$N28))</f>
        <v>Site A – School Shelter</v>
      </c>
      <c r="D28" s="24" t="str">
        <f>IF($A28="","",INDEX(Households!$C$5:$C$154,$N28)&amp;" – "&amp;INDEX(Households!$D$5:$D$154,$N28))</f>
        <v>Classroom – Adequate</v>
      </c>
      <c r="E28" s="25" t="str">
        <f>IF($A28="","",INDEX(Households!$X$5:$X$154,$N28))</f>
        <v>Medium</v>
      </c>
      <c r="F28" s="24">
        <f>IF($A28="","",INDEX(Households!$AE$5:$AE$154,$N28))</f>
        <v>1</v>
      </c>
      <c r="G28" s="24" t="str">
        <f>IF($A28="","",IF(INDEX(Households!$AA$5:$AA$154,$N28)&gt;0,INDEX(Households!$AA$5:$AA$154,$N28),""))</f>
        <v/>
      </c>
      <c r="H28" s="25" t="str">
        <f>IF($A28="","",IF(INDEX(Households!$AB$5:$AB$154,$N28)="Referral needed","Referral needed",""))</f>
        <v/>
      </c>
      <c r="I28" s="25" t="str">
        <f>IF($A28="","",INDEX(Households!$AC$5:$AC$154,$N28))</f>
        <v/>
      </c>
      <c r="J28" s="25" t="str">
        <f>IF($A28="","",INDEX(Households!$AD$5:$AD$154,$N28))</f>
        <v>Yes</v>
      </c>
      <c r="K28" s="25" t="str">
        <f>IF($A28="","",INDEX(Households!$Y$5:$Y$154,$N28))</f>
        <v/>
      </c>
      <c r="L28" s="26" t="str">
        <f t="shared" si="1"/>
        <v>Check the household shelter repair</v>
      </c>
      <c r="M28" s="27">
        <f>IF($A28="","",LARGE(Households!$AF$5:$AF$154,$A28))</f>
        <v>103974</v>
      </c>
      <c r="N28" s="24">
        <f>IF($A28="","",MATCH($M28,Households!$AF$5:$AF$154,0))</f>
        <v>26</v>
      </c>
    </row>
    <row r="29" spans="1:14" x14ac:dyDescent="0.3">
      <c r="A29" s="24">
        <f t="shared" si="0"/>
        <v>25</v>
      </c>
      <c r="B29" s="24" t="str">
        <f>IF($A29="","",INDEX(Households!$A$5:$A$154,$N29))</f>
        <v>HH-060</v>
      </c>
      <c r="C29" s="24" t="str">
        <f>IF($A29="","",INDEX(Households!$B$5:$B$154,$N29))</f>
        <v>Site B – School Shelter</v>
      </c>
      <c r="D29" s="24" t="str">
        <f>IF($A29="","",INDEX(Households!$C$5:$C$154,$N29)&amp;" – "&amp;INDEX(Households!$D$5:$D$154,$N29))</f>
        <v>Classroom – Adequate</v>
      </c>
      <c r="E29" s="25" t="str">
        <f>IF($A29="","",INDEX(Households!$X$5:$X$154,$N29))</f>
        <v>Medium</v>
      </c>
      <c r="F29" s="24">
        <f>IF($A29="","",INDEX(Households!$AE$5:$AE$154,$N29))</f>
        <v>1</v>
      </c>
      <c r="G29" s="24" t="str">
        <f>IF($A29="","",IF(INDEX(Households!$AA$5:$AA$154,$N29)&gt;0,INDEX(Households!$AA$5:$AA$154,$N29),""))</f>
        <v/>
      </c>
      <c r="H29" s="25" t="str">
        <f>IF($A29="","",IF(INDEX(Households!$AB$5:$AB$154,$N29)="Referral needed","Referral needed",""))</f>
        <v/>
      </c>
      <c r="I29" s="25" t="str">
        <f>IF($A29="","",INDEX(Households!$AC$5:$AC$154,$N29))</f>
        <v/>
      </c>
      <c r="J29" s="25" t="str">
        <f>IF($A29="","",INDEX(Households!$AD$5:$AD$154,$N29))</f>
        <v/>
      </c>
      <c r="K29" s="25" t="str">
        <f>IF($A29="","",INDEX(Households!$Y$5:$Y$154,$N29))</f>
        <v>Yes</v>
      </c>
      <c r="L29" s="26" t="str">
        <f t="shared" si="1"/>
        <v>Re-verify the household (new Kobo submission)</v>
      </c>
      <c r="M29" s="27">
        <f>IF($A29="","",LARGE(Households!$AF$5:$AF$154,$A29))</f>
        <v>103940</v>
      </c>
      <c r="N29" s="24">
        <f>IF($A29="","",MATCH($M29,Households!$AF$5:$AF$154,0))</f>
        <v>60</v>
      </c>
    </row>
    <row r="30" spans="1:14" x14ac:dyDescent="0.3">
      <c r="A30" s="24">
        <f t="shared" si="0"/>
        <v>26</v>
      </c>
      <c r="B30" s="24" t="str">
        <f>IF($A30="","",INDEX(Households!$A$5:$A$154,$N30))</f>
        <v>HH-075</v>
      </c>
      <c r="C30" s="24" t="str">
        <f>IF($A30="","",INDEX(Households!$B$5:$B$154,$N30))</f>
        <v>Site C – Informal Tent Area</v>
      </c>
      <c r="D30" s="24" t="str">
        <f>IF($A30="","",INDEX(Households!$C$5:$C$154,$N30)&amp;" – "&amp;INDEX(Households!$D$5:$D$154,$N30))</f>
        <v>Tent – Damaged</v>
      </c>
      <c r="E30" s="25" t="str">
        <f>IF($A30="","",INDEX(Households!$X$5:$X$154,$N30))</f>
        <v>Medium</v>
      </c>
      <c r="F30" s="24">
        <f>IF($A30="","",INDEX(Households!$AE$5:$AE$154,$N30))</f>
        <v>1</v>
      </c>
      <c r="G30" s="24">
        <f>IF($A30="","",IF(INDEX(Households!$AA$5:$AA$154,$N30)&gt;0,INDEX(Households!$AA$5:$AA$154,$N30),""))</f>
        <v>1</v>
      </c>
      <c r="H30" s="25" t="str">
        <f>IF($A30="","",IF(INDEX(Households!$AB$5:$AB$154,$N30)="Referral needed","Referral needed",""))</f>
        <v/>
      </c>
      <c r="I30" s="25" t="str">
        <f>IF($A30="","",INDEX(Households!$AC$5:$AC$154,$N30))</f>
        <v/>
      </c>
      <c r="J30" s="25" t="str">
        <f>IF($A30="","",INDEX(Households!$AD$5:$AD$154,$N30))</f>
        <v/>
      </c>
      <c r="K30" s="25" t="str">
        <f>IF($A30="","",INDEX(Households!$Y$5:$Y$154,$N30))</f>
        <v/>
      </c>
      <c r="L30" s="26" t="str">
        <f t="shared" si="1"/>
        <v>Chase overdue referral with the service provider</v>
      </c>
      <c r="M30" s="27">
        <f>IF($A30="","",LARGE(Households!$AF$5:$AF$154,$A30))</f>
        <v>103925</v>
      </c>
      <c r="N30" s="24">
        <f>IF($A30="","",MATCH($M30,Households!$AF$5:$AF$154,0))</f>
        <v>75</v>
      </c>
    </row>
    <row r="31" spans="1:14" x14ac:dyDescent="0.3">
      <c r="A31" s="24">
        <f t="shared" si="0"/>
        <v>27</v>
      </c>
      <c r="B31" s="24" t="str">
        <f>IF($A31="","",INDEX(Households!$A$5:$A$154,$N31))</f>
        <v>HH-076</v>
      </c>
      <c r="C31" s="24" t="str">
        <f>IF($A31="","",INDEX(Households!$B$5:$B$154,$N31))</f>
        <v>Site C – Informal Tent Area</v>
      </c>
      <c r="D31" s="24" t="str">
        <f>IF($A31="","",INDEX(Households!$C$5:$C$154,$N31)&amp;" – "&amp;INDEX(Households!$D$5:$D$154,$N31))</f>
        <v>Tent – Unusable</v>
      </c>
      <c r="E31" s="25" t="str">
        <f>IF($A31="","",INDEX(Households!$X$5:$X$154,$N31))</f>
        <v>Medium</v>
      </c>
      <c r="F31" s="24">
        <f>IF($A31="","",INDEX(Households!$AE$5:$AE$154,$N31))</f>
        <v>1</v>
      </c>
      <c r="G31" s="24" t="str">
        <f>IF($A31="","",IF(INDEX(Households!$AA$5:$AA$154,$N31)&gt;0,INDEX(Households!$AA$5:$AA$154,$N31),""))</f>
        <v/>
      </c>
      <c r="H31" s="25" t="str">
        <f>IF($A31="","",IF(INDEX(Households!$AB$5:$AB$154,$N31)="Referral needed","Referral needed",""))</f>
        <v/>
      </c>
      <c r="I31" s="25" t="str">
        <f>IF($A31="","",INDEX(Households!$AC$5:$AC$154,$N31))</f>
        <v>Yes</v>
      </c>
      <c r="J31" s="25" t="str">
        <f>IF($A31="","",INDEX(Households!$AD$5:$AD$154,$N31))</f>
        <v/>
      </c>
      <c r="K31" s="25" t="str">
        <f>IF($A31="","",INDEX(Households!$Y$5:$Y$154,$N31))</f>
        <v/>
      </c>
      <c r="L31" s="26" t="str">
        <f t="shared" si="1"/>
        <v>Confirm tent replacement with the shelter partner</v>
      </c>
      <c r="M31" s="27">
        <f>IF($A31="","",LARGE(Households!$AF$5:$AF$154,$A31))</f>
        <v>103924</v>
      </c>
      <c r="N31" s="24">
        <f>IF($A31="","",MATCH($M31,Households!$AF$5:$AF$154,0))</f>
        <v>76</v>
      </c>
    </row>
    <row r="32" spans="1:14" x14ac:dyDescent="0.3">
      <c r="A32" s="24">
        <f t="shared" si="0"/>
        <v>28</v>
      </c>
      <c r="B32" s="24" t="str">
        <f>IF($A32="","",INDEX(Households!$A$5:$A$154,$N32))</f>
        <v>HH-096</v>
      </c>
      <c r="C32" s="24" t="str">
        <f>IF($A32="","",INDEX(Households!$B$5:$B$154,$N32))</f>
        <v>Site C – Informal Tent Area</v>
      </c>
      <c r="D32" s="24" t="str">
        <f>IF($A32="","",INDEX(Households!$C$5:$C$154,$N32)&amp;" – "&amp;INDEX(Households!$D$5:$D$154,$N32))</f>
        <v>Makeshift shelter – Damaged</v>
      </c>
      <c r="E32" s="25" t="str">
        <f>IF($A32="","",INDEX(Households!$X$5:$X$154,$N32))</f>
        <v>Medium</v>
      </c>
      <c r="F32" s="24">
        <f>IF($A32="","",INDEX(Households!$AE$5:$AE$154,$N32))</f>
        <v>1</v>
      </c>
      <c r="G32" s="24">
        <f>IF($A32="","",IF(INDEX(Households!$AA$5:$AA$154,$N32)&gt;0,INDEX(Households!$AA$5:$AA$154,$N32),""))</f>
        <v>1</v>
      </c>
      <c r="H32" s="25" t="str">
        <f>IF($A32="","",IF(INDEX(Households!$AB$5:$AB$154,$N32)="Referral needed","Referral needed",""))</f>
        <v/>
      </c>
      <c r="I32" s="25" t="str">
        <f>IF($A32="","",INDEX(Households!$AC$5:$AC$154,$N32))</f>
        <v/>
      </c>
      <c r="J32" s="25" t="str">
        <f>IF($A32="","",INDEX(Households!$AD$5:$AD$154,$N32))</f>
        <v/>
      </c>
      <c r="K32" s="25" t="str">
        <f>IF($A32="","",INDEX(Households!$Y$5:$Y$154,$N32))</f>
        <v/>
      </c>
      <c r="L32" s="26" t="str">
        <f t="shared" si="1"/>
        <v>Chase overdue referral with the service provider</v>
      </c>
      <c r="M32" s="27">
        <f>IF($A32="","",LARGE(Households!$AF$5:$AF$154,$A32))</f>
        <v>103904</v>
      </c>
      <c r="N32" s="24">
        <f>IF($A32="","",MATCH($M32,Households!$AF$5:$AF$154,0))</f>
        <v>96</v>
      </c>
    </row>
    <row r="33" spans="1:14" x14ac:dyDescent="0.3">
      <c r="A33" s="24">
        <f t="shared" si="0"/>
        <v>29</v>
      </c>
      <c r="B33" s="24" t="str">
        <f>IF($A33="","",INDEX(Households!$A$5:$A$154,$N33))</f>
        <v>HH-069</v>
      </c>
      <c r="C33" s="24" t="str">
        <f>IF($A33="","",INDEX(Households!$B$5:$B$154,$N33))</f>
        <v>Site C – Informal Tent Area</v>
      </c>
      <c r="D33" s="24" t="str">
        <f>IF($A33="","",INDEX(Households!$C$5:$C$154,$N33)&amp;" – "&amp;INDEX(Households!$D$5:$D$154,$N33))</f>
        <v>Makeshift shelter – Unusable</v>
      </c>
      <c r="E33" s="25" t="str">
        <f>IF($A33="","",INDEX(Households!$X$5:$X$154,$N33))</f>
        <v>Low</v>
      </c>
      <c r="F33" s="24">
        <f>IF($A33="","",INDEX(Households!$AE$5:$AE$154,$N33))</f>
        <v>1</v>
      </c>
      <c r="G33" s="24" t="str">
        <f>IF($A33="","",IF(INDEX(Households!$AA$5:$AA$154,$N33)&gt;0,INDEX(Households!$AA$5:$AA$154,$N33),""))</f>
        <v/>
      </c>
      <c r="H33" s="25" t="str">
        <f>IF($A33="","",IF(INDEX(Households!$AB$5:$AB$154,$N33)="Referral needed","Referral needed",""))</f>
        <v/>
      </c>
      <c r="I33" s="25" t="str">
        <f>IF($A33="","",INDEX(Households!$AC$5:$AC$154,$N33))</f>
        <v>Yes</v>
      </c>
      <c r="J33" s="25" t="str">
        <f>IF($A33="","",INDEX(Households!$AD$5:$AD$154,$N33))</f>
        <v/>
      </c>
      <c r="K33" s="25" t="str">
        <f>IF($A33="","",INDEX(Households!$Y$5:$Y$154,$N33))</f>
        <v/>
      </c>
      <c r="L33" s="26" t="str">
        <f t="shared" si="1"/>
        <v>Confirm tent replacement with the shelter partner</v>
      </c>
      <c r="M33" s="27">
        <f>IF($A33="","",LARGE(Households!$AF$5:$AF$154,$A33))</f>
        <v>102931</v>
      </c>
      <c r="N33" s="24">
        <f>IF($A33="","",MATCH($M33,Households!$AF$5:$AF$154,0))</f>
        <v>69</v>
      </c>
    </row>
    <row r="34" spans="1:14" x14ac:dyDescent="0.3">
      <c r="A34" s="24">
        <f t="shared" si="0"/>
        <v>30</v>
      </c>
      <c r="B34" s="24" t="str">
        <f>IF($A34="","",INDEX(Households!$A$5:$A$154,$N34))</f>
        <v>HH-078</v>
      </c>
      <c r="C34" s="24" t="str">
        <f>IF($A34="","",INDEX(Households!$B$5:$B$154,$N34))</f>
        <v>Site C – Informal Tent Area</v>
      </c>
      <c r="D34" s="24" t="str">
        <f>IF($A34="","",INDEX(Households!$C$5:$C$154,$N34)&amp;" – "&amp;INDEX(Households!$D$5:$D$154,$N34))</f>
        <v>Makeshift shelter – Unusable</v>
      </c>
      <c r="E34" s="25" t="str">
        <f>IF($A34="","",INDEX(Households!$X$5:$X$154,$N34))</f>
        <v>Low</v>
      </c>
      <c r="F34" s="24">
        <f>IF($A34="","",INDEX(Households!$AE$5:$AE$154,$N34))</f>
        <v>1</v>
      </c>
      <c r="G34" s="24" t="str">
        <f>IF($A34="","",IF(INDEX(Households!$AA$5:$AA$154,$N34)&gt;0,INDEX(Households!$AA$5:$AA$154,$N34),""))</f>
        <v/>
      </c>
      <c r="H34" s="25" t="str">
        <f>IF($A34="","",IF(INDEX(Households!$AB$5:$AB$154,$N34)="Referral needed","Referral needed",""))</f>
        <v/>
      </c>
      <c r="I34" s="25" t="str">
        <f>IF($A34="","",INDEX(Households!$AC$5:$AC$154,$N34))</f>
        <v>Yes</v>
      </c>
      <c r="J34" s="25" t="str">
        <f>IF($A34="","",INDEX(Households!$AD$5:$AD$154,$N34))</f>
        <v/>
      </c>
      <c r="K34" s="25" t="str">
        <f>IF($A34="","",INDEX(Households!$Y$5:$Y$154,$N34))</f>
        <v/>
      </c>
      <c r="L34" s="26" t="str">
        <f t="shared" si="1"/>
        <v>Confirm tent replacement with the shelter partner</v>
      </c>
      <c r="M34" s="27">
        <f>IF($A34="","",LARGE(Households!$AF$5:$AF$154,$A34))</f>
        <v>102922</v>
      </c>
      <c r="N34" s="24">
        <f>IF($A34="","",MATCH($M34,Households!$AF$5:$AF$154,0))</f>
        <v>78</v>
      </c>
    </row>
    <row r="35" spans="1:14" x14ac:dyDescent="0.3">
      <c r="A35" s="24">
        <f t="shared" si="0"/>
        <v>31</v>
      </c>
      <c r="B35" s="24" t="str">
        <f>IF($A35="","",INDEX(Households!$A$5:$A$154,$N35))</f>
        <v>HH-079</v>
      </c>
      <c r="C35" s="24" t="str">
        <f>IF($A35="","",INDEX(Households!$B$5:$B$154,$N35))</f>
        <v>Site C – Informal Tent Area</v>
      </c>
      <c r="D35" s="24" t="str">
        <f>IF($A35="","",INDEX(Households!$C$5:$C$154,$N35)&amp;" – "&amp;INDEX(Households!$D$5:$D$154,$N35))</f>
        <v>Makeshift shelter – Adequate</v>
      </c>
      <c r="E35" s="25" t="str">
        <f>IF($A35="","",INDEX(Households!$X$5:$X$154,$N35))</f>
        <v>Low</v>
      </c>
      <c r="F35" s="24">
        <f>IF($A35="","",INDEX(Households!$AE$5:$AE$154,$N35))</f>
        <v>1</v>
      </c>
      <c r="G35" s="24" t="str">
        <f>IF($A35="","",IF(INDEX(Households!$AA$5:$AA$154,$N35)&gt;0,INDEX(Households!$AA$5:$AA$154,$N35),""))</f>
        <v/>
      </c>
      <c r="H35" s="25" t="str">
        <f>IF($A35="","",IF(INDEX(Households!$AB$5:$AB$154,$N35)="Referral needed","Referral needed",""))</f>
        <v/>
      </c>
      <c r="I35" s="25" t="str">
        <f>IF($A35="","",INDEX(Households!$AC$5:$AC$154,$N35))</f>
        <v/>
      </c>
      <c r="J35" s="25" t="str">
        <f>IF($A35="","",INDEX(Households!$AD$5:$AD$154,$N35))</f>
        <v/>
      </c>
      <c r="K35" s="25" t="str">
        <f>IF($A35="","",INDEX(Households!$Y$5:$Y$154,$N35))</f>
        <v>Yes</v>
      </c>
      <c r="L35" s="26" t="str">
        <f t="shared" si="1"/>
        <v>Re-verify the household (new Kobo submission)</v>
      </c>
      <c r="M35" s="27">
        <f>IF($A35="","",LARGE(Households!$AF$5:$AF$154,$A35))</f>
        <v>102921</v>
      </c>
      <c r="N35" s="24">
        <f>IF($A35="","",MATCH($M35,Households!$AF$5:$AF$154,0))</f>
        <v>79</v>
      </c>
    </row>
    <row r="36" spans="1:14" x14ac:dyDescent="0.3">
      <c r="A36" s="24">
        <f t="shared" si="0"/>
        <v>32</v>
      </c>
      <c r="B36" s="24" t="str">
        <f>IF($A36="","",INDEX(Households!$A$5:$A$154,$N36))</f>
        <v>HH-016</v>
      </c>
      <c r="C36" s="24" t="str">
        <f>IF($A36="","",INDEX(Households!$B$5:$B$154,$N36))</f>
        <v>Site A – School Shelter</v>
      </c>
      <c r="D36" s="24" t="str">
        <f>IF($A36="","",INDEX(Households!$C$5:$C$154,$N36)&amp;" – "&amp;INDEX(Households!$D$5:$D$154,$N36))</f>
        <v>Classroom – Adequate</v>
      </c>
      <c r="E36" s="25" t="str">
        <f>IF($A36="","",INDEX(Households!$X$5:$X$154,$N36))</f>
        <v>Low</v>
      </c>
      <c r="F36" s="24">
        <f>IF($A36="","",INDEX(Households!$AE$5:$AE$154,$N36))</f>
        <v>1</v>
      </c>
      <c r="G36" s="24" t="str">
        <f>IF($A36="","",IF(INDEX(Households!$AA$5:$AA$154,$N36)&gt;0,INDEX(Households!$AA$5:$AA$154,$N36),""))</f>
        <v/>
      </c>
      <c r="H36" s="25" t="str">
        <f>IF($A36="","",IF(INDEX(Households!$AB$5:$AB$154,$N36)="Referral needed","Referral needed",""))</f>
        <v/>
      </c>
      <c r="I36" s="25" t="str">
        <f>IF($A36="","",INDEX(Households!$AC$5:$AC$154,$N36))</f>
        <v/>
      </c>
      <c r="J36" s="25" t="str">
        <f>IF($A36="","",INDEX(Households!$AD$5:$AD$154,$N36))</f>
        <v/>
      </c>
      <c r="K36" s="25" t="str">
        <f>IF($A36="","",INDEX(Households!$Y$5:$Y$154,$N36))</f>
        <v>Yes</v>
      </c>
      <c r="L36" s="26" t="str">
        <f t="shared" si="1"/>
        <v>Re-verify the household (new Kobo submission)</v>
      </c>
      <c r="M36" s="27">
        <f>IF($A36="","",LARGE(Households!$AF$5:$AF$154,$A36))</f>
        <v>101984</v>
      </c>
      <c r="N36" s="24">
        <f>IF($A36="","",MATCH($M36,Households!$AF$5:$AF$154,0))</f>
        <v>16</v>
      </c>
    </row>
    <row r="37" spans="1:14" x14ac:dyDescent="0.3">
      <c r="A37" s="24">
        <f t="shared" ref="A37:A68" si="2">IF(ROW()-4&lt;=$G$1,ROW()-4,"")</f>
        <v>33</v>
      </c>
      <c r="B37" s="24" t="str">
        <f>IF($A37="","",INDEX(Households!$A$5:$A$154,$N37))</f>
        <v>HH-024</v>
      </c>
      <c r="C37" s="24" t="str">
        <f>IF($A37="","",INDEX(Households!$B$5:$B$154,$N37))</f>
        <v>Site A – School Shelter</v>
      </c>
      <c r="D37" s="24" t="str">
        <f>IF($A37="","",INDEX(Households!$C$5:$C$154,$N37)&amp;" – "&amp;INDEX(Households!$D$5:$D$154,$N37))</f>
        <v>Classroom – Damaged</v>
      </c>
      <c r="E37" s="25" t="str">
        <f>IF($A37="","",INDEX(Households!$X$5:$X$154,$N37))</f>
        <v>Low</v>
      </c>
      <c r="F37" s="24">
        <f>IF($A37="","",INDEX(Households!$AE$5:$AE$154,$N37))</f>
        <v>1</v>
      </c>
      <c r="G37" s="24" t="str">
        <f>IF($A37="","",IF(INDEX(Households!$AA$5:$AA$154,$N37)&gt;0,INDEX(Households!$AA$5:$AA$154,$N37),""))</f>
        <v/>
      </c>
      <c r="H37" s="25" t="str">
        <f>IF($A37="","",IF(INDEX(Households!$AB$5:$AB$154,$N37)="Referral needed","Referral needed",""))</f>
        <v/>
      </c>
      <c r="I37" s="25" t="str">
        <f>IF($A37="","",INDEX(Households!$AC$5:$AC$154,$N37))</f>
        <v/>
      </c>
      <c r="J37" s="25" t="str">
        <f>IF($A37="","",INDEX(Households!$AD$5:$AD$154,$N37))</f>
        <v/>
      </c>
      <c r="K37" s="25" t="str">
        <f>IF($A37="","",INDEX(Households!$Y$5:$Y$154,$N37))</f>
        <v>Yes</v>
      </c>
      <c r="L37" s="26" t="str">
        <f t="shared" ref="L37:L68" si="3">IF($A37="","",SUBSTITUTE(IF(N(G37)&gt;0,"Chase overdue referral with the service provider; ","")&amp;IF(H37="Referral needed","Make the IYCF referral to the nutrition partner; ","")&amp;IF(I37="Yes","Confirm tent replacement with the shelter partner; ","")&amp;IF(J37="Yes","Check the household shelter repair; ","")&amp;IF(K37="Yes","Re-verify the household (new Kobo submission); ","")&amp;"|","; |",""))</f>
        <v>Re-verify the household (new Kobo submission)</v>
      </c>
      <c r="M37" s="27">
        <f>IF($A37="","",LARGE(Households!$AF$5:$AF$154,$A37))</f>
        <v>101976</v>
      </c>
      <c r="N37" s="24">
        <f>IF($A37="","",MATCH($M37,Households!$AF$5:$AF$154,0))</f>
        <v>24</v>
      </c>
    </row>
    <row r="38" spans="1:14" x14ac:dyDescent="0.3">
      <c r="A38" s="24">
        <f t="shared" si="2"/>
        <v>34</v>
      </c>
      <c r="B38" s="24" t="str">
        <f>IF($A38="","",INDEX(Households!$A$5:$A$154,$N38))</f>
        <v>HH-061</v>
      </c>
      <c r="C38" s="24" t="str">
        <f>IF($A38="","",INDEX(Households!$B$5:$B$154,$N38))</f>
        <v>Site B – School Shelter</v>
      </c>
      <c r="D38" s="24" t="str">
        <f>IF($A38="","",INDEX(Households!$C$5:$C$154,$N38)&amp;" – "&amp;INDEX(Households!$D$5:$D$154,$N38))</f>
        <v>Classroom – Damaged</v>
      </c>
      <c r="E38" s="25" t="str">
        <f>IF($A38="","",INDEX(Households!$X$5:$X$154,$N38))</f>
        <v>Low</v>
      </c>
      <c r="F38" s="24">
        <f>IF($A38="","",INDEX(Households!$AE$5:$AE$154,$N38))</f>
        <v>1</v>
      </c>
      <c r="G38" s="24" t="str">
        <f>IF($A38="","",IF(INDEX(Households!$AA$5:$AA$154,$N38)&gt;0,INDEX(Households!$AA$5:$AA$154,$N38),""))</f>
        <v/>
      </c>
      <c r="H38" s="25" t="str">
        <f>IF($A38="","",IF(INDEX(Households!$AB$5:$AB$154,$N38)="Referral needed","Referral needed",""))</f>
        <v/>
      </c>
      <c r="I38" s="25" t="str">
        <f>IF($A38="","",INDEX(Households!$AC$5:$AC$154,$N38))</f>
        <v/>
      </c>
      <c r="J38" s="25" t="str">
        <f>IF($A38="","",INDEX(Households!$AD$5:$AD$154,$N38))</f>
        <v/>
      </c>
      <c r="K38" s="25" t="str">
        <f>IF($A38="","",INDEX(Households!$Y$5:$Y$154,$N38))</f>
        <v>Yes</v>
      </c>
      <c r="L38" s="26" t="str">
        <f t="shared" si="3"/>
        <v>Re-verify the household (new Kobo submission)</v>
      </c>
      <c r="M38" s="27">
        <f>IF($A38="","",LARGE(Households!$AF$5:$AF$154,$A38))</f>
        <v>101939</v>
      </c>
      <c r="N38" s="24">
        <f>IF($A38="","",MATCH($M38,Households!$AF$5:$AF$154,0))</f>
        <v>61</v>
      </c>
    </row>
    <row r="39" spans="1:14" x14ac:dyDescent="0.3">
      <c r="A39" s="24">
        <f t="shared" si="2"/>
        <v>35</v>
      </c>
      <c r="B39" s="24" t="str">
        <f>IF($A39="","",INDEX(Households!$A$5:$A$154,$N39))</f>
        <v>HH-065</v>
      </c>
      <c r="C39" s="24" t="str">
        <f>IF($A39="","",INDEX(Households!$B$5:$B$154,$N39))</f>
        <v>Site C – Informal Tent Area</v>
      </c>
      <c r="D39" s="24" t="str">
        <f>IF($A39="","",INDEX(Households!$C$5:$C$154,$N39)&amp;" – "&amp;INDEX(Households!$D$5:$D$154,$N39))</f>
        <v>Tent – Damaged</v>
      </c>
      <c r="E39" s="25" t="str">
        <f>IF($A39="","",INDEX(Households!$X$5:$X$154,$N39))</f>
        <v>Low</v>
      </c>
      <c r="F39" s="24">
        <f>IF($A39="","",INDEX(Households!$AE$5:$AE$154,$N39))</f>
        <v>1</v>
      </c>
      <c r="G39" s="24" t="str">
        <f>IF($A39="","",IF(INDEX(Households!$AA$5:$AA$154,$N39)&gt;0,INDEX(Households!$AA$5:$AA$154,$N39),""))</f>
        <v/>
      </c>
      <c r="H39" s="25" t="str">
        <f>IF($A39="","",IF(INDEX(Households!$AB$5:$AB$154,$N39)="Referral needed","Referral needed",""))</f>
        <v/>
      </c>
      <c r="I39" s="25" t="str">
        <f>IF($A39="","",INDEX(Households!$AC$5:$AC$154,$N39))</f>
        <v/>
      </c>
      <c r="J39" s="25" t="str">
        <f>IF($A39="","",INDEX(Households!$AD$5:$AD$154,$N39))</f>
        <v/>
      </c>
      <c r="K39" s="25" t="str">
        <f>IF($A39="","",INDEX(Households!$Y$5:$Y$154,$N39))</f>
        <v>Yes</v>
      </c>
      <c r="L39" s="26" t="str">
        <f t="shared" si="3"/>
        <v>Re-verify the household (new Kobo submission)</v>
      </c>
      <c r="M39" s="27">
        <f>IF($A39="","",LARGE(Households!$AF$5:$AF$154,$A39))</f>
        <v>101935</v>
      </c>
      <c r="N39" s="24">
        <f>IF($A39="","",MATCH($M39,Households!$AF$5:$AF$154,0))</f>
        <v>65</v>
      </c>
    </row>
    <row r="40" spans="1:14" x14ac:dyDescent="0.3">
      <c r="A40" s="24">
        <f t="shared" si="2"/>
        <v>36</v>
      </c>
      <c r="B40" s="24" t="str">
        <f>IF($A40="","",INDEX(Households!$A$5:$A$154,$N40))</f>
        <v>HH-090</v>
      </c>
      <c r="C40" s="24" t="str">
        <f>IF($A40="","",INDEX(Households!$B$5:$B$154,$N40))</f>
        <v>Site C – Informal Tent Area</v>
      </c>
      <c r="D40" s="24" t="str">
        <f>IF($A40="","",INDEX(Households!$C$5:$C$154,$N40)&amp;" – "&amp;INDEX(Households!$D$5:$D$154,$N40))</f>
        <v>Makeshift shelter – Adequate</v>
      </c>
      <c r="E40" s="25" t="str">
        <f>IF($A40="","",INDEX(Households!$X$5:$X$154,$N40))</f>
        <v>Low</v>
      </c>
      <c r="F40" s="24">
        <f>IF($A40="","",INDEX(Households!$AE$5:$AE$154,$N40))</f>
        <v>1</v>
      </c>
      <c r="G40" s="24" t="str">
        <f>IF($A40="","",IF(INDEX(Households!$AA$5:$AA$154,$N40)&gt;0,INDEX(Households!$AA$5:$AA$154,$N40),""))</f>
        <v/>
      </c>
      <c r="H40" s="25" t="str">
        <f>IF($A40="","",IF(INDEX(Households!$AB$5:$AB$154,$N40)="Referral needed","Referral needed",""))</f>
        <v/>
      </c>
      <c r="I40" s="25" t="str">
        <f>IF($A40="","",INDEX(Households!$AC$5:$AC$154,$N40))</f>
        <v/>
      </c>
      <c r="J40" s="25" t="str">
        <f>IF($A40="","",INDEX(Households!$AD$5:$AD$154,$N40))</f>
        <v/>
      </c>
      <c r="K40" s="25" t="str">
        <f>IF($A40="","",INDEX(Households!$Y$5:$Y$154,$N40))</f>
        <v>Yes</v>
      </c>
      <c r="L40" s="26" t="str">
        <f t="shared" si="3"/>
        <v>Re-verify the household (new Kobo submission)</v>
      </c>
      <c r="M40" s="27">
        <f>IF($A40="","",LARGE(Households!$AF$5:$AF$154,$A40))</f>
        <v>100910</v>
      </c>
      <c r="N40" s="24">
        <f>IF($A40="","",MATCH($M40,Households!$AF$5:$AF$154,0))</f>
        <v>90</v>
      </c>
    </row>
    <row r="41" spans="1:14" x14ac:dyDescent="0.3">
      <c r="A41" s="24">
        <f t="shared" si="2"/>
        <v>37</v>
      </c>
      <c r="B41" s="24" t="str">
        <f>IF($A41="","",INDEX(Households!$A$5:$A$154,$N41))</f>
        <v>HH-120</v>
      </c>
      <c r="C41" s="24" t="str">
        <f>IF($A41="","",INDEX(Households!$B$5:$B$154,$N41))</f>
        <v>Site D – Collective Centre</v>
      </c>
      <c r="D41" s="24" t="str">
        <f>IF($A41="","",INDEX(Households!$C$5:$C$154,$N41)&amp;" – "&amp;INDEX(Households!$D$5:$D$154,$N41))</f>
        <v>Collective room – Adequate</v>
      </c>
      <c r="E41" s="25" t="str">
        <f>IF($A41="","",INDEX(Households!$X$5:$X$154,$N41))</f>
        <v>Low</v>
      </c>
      <c r="F41" s="24">
        <f>IF($A41="","",INDEX(Households!$AE$5:$AE$154,$N41))</f>
        <v>1</v>
      </c>
      <c r="G41" s="24" t="str">
        <f>IF($A41="","",IF(INDEX(Households!$AA$5:$AA$154,$N41)&gt;0,INDEX(Households!$AA$5:$AA$154,$N41),""))</f>
        <v/>
      </c>
      <c r="H41" s="25" t="str">
        <f>IF($A41="","",IF(INDEX(Households!$AB$5:$AB$154,$N41)="Referral needed","Referral needed",""))</f>
        <v/>
      </c>
      <c r="I41" s="25" t="str">
        <f>IF($A41="","",INDEX(Households!$AC$5:$AC$154,$N41))</f>
        <v/>
      </c>
      <c r="J41" s="25" t="str">
        <f>IF($A41="","",INDEX(Households!$AD$5:$AD$154,$N41))</f>
        <v/>
      </c>
      <c r="K41" s="25" t="str">
        <f>IF($A41="","",INDEX(Households!$Y$5:$Y$154,$N41))</f>
        <v>Yes</v>
      </c>
      <c r="L41" s="26" t="str">
        <f t="shared" si="3"/>
        <v>Re-verify the household (new Kobo submission)</v>
      </c>
      <c r="M41" s="27">
        <f>IF($A41="","",LARGE(Households!$AF$5:$AF$154,$A41))</f>
        <v>100880</v>
      </c>
      <c r="N41" s="24">
        <f>IF($A41="","",MATCH($M41,Households!$AF$5:$AF$154,0))</f>
        <v>120</v>
      </c>
    </row>
    <row r="42" spans="1:14" x14ac:dyDescent="0.3">
      <c r="A42" s="24" t="str">
        <f t="shared" si="2"/>
        <v/>
      </c>
      <c r="B42" s="24" t="str">
        <f>IF($A42="","",INDEX(Households!$A$5:$A$154,$N42))</f>
        <v/>
      </c>
      <c r="C42" s="24" t="str">
        <f>IF($A42="","",INDEX(Households!$B$5:$B$154,$N42))</f>
        <v/>
      </c>
      <c r="D42" s="24" t="str">
        <f>IF($A42="","",INDEX(Households!$C$5:$C$154,$N42)&amp;" – "&amp;INDEX(Households!$D$5:$D$154,$N42))</f>
        <v/>
      </c>
      <c r="E42" s="25" t="str">
        <f>IF($A42="","",INDEX(Households!$X$5:$X$154,$N42))</f>
        <v/>
      </c>
      <c r="F42" s="24" t="str">
        <f>IF($A42="","",INDEX(Households!$AE$5:$AE$154,$N42))</f>
        <v/>
      </c>
      <c r="G42" s="24" t="str">
        <f>IF($A42="","",IF(INDEX(Households!$AA$5:$AA$154,$N42)&gt;0,INDEX(Households!$AA$5:$AA$154,$N42),""))</f>
        <v/>
      </c>
      <c r="H42" s="25" t="str">
        <f>IF($A42="","",IF(INDEX(Households!$AB$5:$AB$154,$N42)="Referral needed","Referral needed",""))</f>
        <v/>
      </c>
      <c r="I42" s="25" t="str">
        <f>IF($A42="","",INDEX(Households!$AC$5:$AC$154,$N42))</f>
        <v/>
      </c>
      <c r="J42" s="25" t="str">
        <f>IF($A42="","",INDEX(Households!$AD$5:$AD$154,$N42))</f>
        <v/>
      </c>
      <c r="K42" s="25" t="str">
        <f>IF($A42="","",INDEX(Households!$Y$5:$Y$154,$N42))</f>
        <v/>
      </c>
      <c r="L42" s="26" t="str">
        <f t="shared" si="3"/>
        <v/>
      </c>
      <c r="M42" s="27" t="str">
        <f>IF($A42="","",LARGE(Households!$AF$5:$AF$154,$A42))</f>
        <v/>
      </c>
      <c r="N42" s="24" t="str">
        <f>IF($A42="","",MATCH($M42,Households!$AF$5:$AF$154,0))</f>
        <v/>
      </c>
    </row>
    <row r="43" spans="1:14" x14ac:dyDescent="0.3">
      <c r="A43" s="24" t="str">
        <f t="shared" si="2"/>
        <v/>
      </c>
      <c r="B43" s="24" t="str">
        <f>IF($A43="","",INDEX(Households!$A$5:$A$154,$N43))</f>
        <v/>
      </c>
      <c r="C43" s="24" t="str">
        <f>IF($A43="","",INDEX(Households!$B$5:$B$154,$N43))</f>
        <v/>
      </c>
      <c r="D43" s="24" t="str">
        <f>IF($A43="","",INDEX(Households!$C$5:$C$154,$N43)&amp;" – "&amp;INDEX(Households!$D$5:$D$154,$N43))</f>
        <v/>
      </c>
      <c r="E43" s="25" t="str">
        <f>IF($A43="","",INDEX(Households!$X$5:$X$154,$N43))</f>
        <v/>
      </c>
      <c r="F43" s="24" t="str">
        <f>IF($A43="","",INDEX(Households!$AE$5:$AE$154,$N43))</f>
        <v/>
      </c>
      <c r="G43" s="24" t="str">
        <f>IF($A43="","",IF(INDEX(Households!$AA$5:$AA$154,$N43)&gt;0,INDEX(Households!$AA$5:$AA$154,$N43),""))</f>
        <v/>
      </c>
      <c r="H43" s="25" t="str">
        <f>IF($A43="","",IF(INDEX(Households!$AB$5:$AB$154,$N43)="Referral needed","Referral needed",""))</f>
        <v/>
      </c>
      <c r="I43" s="25" t="str">
        <f>IF($A43="","",INDEX(Households!$AC$5:$AC$154,$N43))</f>
        <v/>
      </c>
      <c r="J43" s="25" t="str">
        <f>IF($A43="","",INDEX(Households!$AD$5:$AD$154,$N43))</f>
        <v/>
      </c>
      <c r="K43" s="25" t="str">
        <f>IF($A43="","",INDEX(Households!$Y$5:$Y$154,$N43))</f>
        <v/>
      </c>
      <c r="L43" s="26" t="str">
        <f t="shared" si="3"/>
        <v/>
      </c>
      <c r="M43" s="27" t="str">
        <f>IF($A43="","",LARGE(Households!$AF$5:$AF$154,$A43))</f>
        <v/>
      </c>
      <c r="N43" s="24" t="str">
        <f>IF($A43="","",MATCH($M43,Households!$AF$5:$AF$154,0))</f>
        <v/>
      </c>
    </row>
    <row r="44" spans="1:14" x14ac:dyDescent="0.3">
      <c r="A44" s="24" t="str">
        <f t="shared" si="2"/>
        <v/>
      </c>
      <c r="B44" s="24" t="str">
        <f>IF($A44="","",INDEX(Households!$A$5:$A$154,$N44))</f>
        <v/>
      </c>
      <c r="C44" s="24" t="str">
        <f>IF($A44="","",INDEX(Households!$B$5:$B$154,$N44))</f>
        <v/>
      </c>
      <c r="D44" s="24" t="str">
        <f>IF($A44="","",INDEX(Households!$C$5:$C$154,$N44)&amp;" – "&amp;INDEX(Households!$D$5:$D$154,$N44))</f>
        <v/>
      </c>
      <c r="E44" s="25" t="str">
        <f>IF($A44="","",INDEX(Households!$X$5:$X$154,$N44))</f>
        <v/>
      </c>
      <c r="F44" s="24" t="str">
        <f>IF($A44="","",INDEX(Households!$AE$5:$AE$154,$N44))</f>
        <v/>
      </c>
      <c r="G44" s="24" t="str">
        <f>IF($A44="","",IF(INDEX(Households!$AA$5:$AA$154,$N44)&gt;0,INDEX(Households!$AA$5:$AA$154,$N44),""))</f>
        <v/>
      </c>
      <c r="H44" s="25" t="str">
        <f>IF($A44="","",IF(INDEX(Households!$AB$5:$AB$154,$N44)="Referral needed","Referral needed",""))</f>
        <v/>
      </c>
      <c r="I44" s="25" t="str">
        <f>IF($A44="","",INDEX(Households!$AC$5:$AC$154,$N44))</f>
        <v/>
      </c>
      <c r="J44" s="25" t="str">
        <f>IF($A44="","",INDEX(Households!$AD$5:$AD$154,$N44))</f>
        <v/>
      </c>
      <c r="K44" s="25" t="str">
        <f>IF($A44="","",INDEX(Households!$Y$5:$Y$154,$N44))</f>
        <v/>
      </c>
      <c r="L44" s="26" t="str">
        <f t="shared" si="3"/>
        <v/>
      </c>
      <c r="M44" s="27" t="str">
        <f>IF($A44="","",LARGE(Households!$AF$5:$AF$154,$A44))</f>
        <v/>
      </c>
      <c r="N44" s="24" t="str">
        <f>IF($A44="","",MATCH($M44,Households!$AF$5:$AF$154,0))</f>
        <v/>
      </c>
    </row>
    <row r="45" spans="1:14" x14ac:dyDescent="0.3">
      <c r="A45" s="24" t="str">
        <f t="shared" si="2"/>
        <v/>
      </c>
      <c r="B45" s="24" t="str">
        <f>IF($A45="","",INDEX(Households!$A$5:$A$154,$N45))</f>
        <v/>
      </c>
      <c r="C45" s="24" t="str">
        <f>IF($A45="","",INDEX(Households!$B$5:$B$154,$N45))</f>
        <v/>
      </c>
      <c r="D45" s="24" t="str">
        <f>IF($A45="","",INDEX(Households!$C$5:$C$154,$N45)&amp;" – "&amp;INDEX(Households!$D$5:$D$154,$N45))</f>
        <v/>
      </c>
      <c r="E45" s="25" t="str">
        <f>IF($A45="","",INDEX(Households!$X$5:$X$154,$N45))</f>
        <v/>
      </c>
      <c r="F45" s="24" t="str">
        <f>IF($A45="","",INDEX(Households!$AE$5:$AE$154,$N45))</f>
        <v/>
      </c>
      <c r="G45" s="24" t="str">
        <f>IF($A45="","",IF(INDEX(Households!$AA$5:$AA$154,$N45)&gt;0,INDEX(Households!$AA$5:$AA$154,$N45),""))</f>
        <v/>
      </c>
      <c r="H45" s="25" t="str">
        <f>IF($A45="","",IF(INDEX(Households!$AB$5:$AB$154,$N45)="Referral needed","Referral needed",""))</f>
        <v/>
      </c>
      <c r="I45" s="25" t="str">
        <f>IF($A45="","",INDEX(Households!$AC$5:$AC$154,$N45))</f>
        <v/>
      </c>
      <c r="J45" s="25" t="str">
        <f>IF($A45="","",INDEX(Households!$AD$5:$AD$154,$N45))</f>
        <v/>
      </c>
      <c r="K45" s="25" t="str">
        <f>IF($A45="","",INDEX(Households!$Y$5:$Y$154,$N45))</f>
        <v/>
      </c>
      <c r="L45" s="26" t="str">
        <f t="shared" si="3"/>
        <v/>
      </c>
      <c r="M45" s="27" t="str">
        <f>IF($A45="","",LARGE(Households!$AF$5:$AF$154,$A45))</f>
        <v/>
      </c>
      <c r="N45" s="24" t="str">
        <f>IF($A45="","",MATCH($M45,Households!$AF$5:$AF$154,0))</f>
        <v/>
      </c>
    </row>
    <row r="46" spans="1:14" x14ac:dyDescent="0.3">
      <c r="A46" s="24" t="str">
        <f t="shared" si="2"/>
        <v/>
      </c>
      <c r="B46" s="24" t="str">
        <f>IF($A46="","",INDEX(Households!$A$5:$A$154,$N46))</f>
        <v/>
      </c>
      <c r="C46" s="24" t="str">
        <f>IF($A46="","",INDEX(Households!$B$5:$B$154,$N46))</f>
        <v/>
      </c>
      <c r="D46" s="24" t="str">
        <f>IF($A46="","",INDEX(Households!$C$5:$C$154,$N46)&amp;" – "&amp;INDEX(Households!$D$5:$D$154,$N46))</f>
        <v/>
      </c>
      <c r="E46" s="25" t="str">
        <f>IF($A46="","",INDEX(Households!$X$5:$X$154,$N46))</f>
        <v/>
      </c>
      <c r="F46" s="24" t="str">
        <f>IF($A46="","",INDEX(Households!$AE$5:$AE$154,$N46))</f>
        <v/>
      </c>
      <c r="G46" s="24" t="str">
        <f>IF($A46="","",IF(INDEX(Households!$AA$5:$AA$154,$N46)&gt;0,INDEX(Households!$AA$5:$AA$154,$N46),""))</f>
        <v/>
      </c>
      <c r="H46" s="25" t="str">
        <f>IF($A46="","",IF(INDEX(Households!$AB$5:$AB$154,$N46)="Referral needed","Referral needed",""))</f>
        <v/>
      </c>
      <c r="I46" s="25" t="str">
        <f>IF($A46="","",INDEX(Households!$AC$5:$AC$154,$N46))</f>
        <v/>
      </c>
      <c r="J46" s="25" t="str">
        <f>IF($A46="","",INDEX(Households!$AD$5:$AD$154,$N46))</f>
        <v/>
      </c>
      <c r="K46" s="25" t="str">
        <f>IF($A46="","",INDEX(Households!$Y$5:$Y$154,$N46))</f>
        <v/>
      </c>
      <c r="L46" s="26" t="str">
        <f t="shared" si="3"/>
        <v/>
      </c>
      <c r="M46" s="27" t="str">
        <f>IF($A46="","",LARGE(Households!$AF$5:$AF$154,$A46))</f>
        <v/>
      </c>
      <c r="N46" s="24" t="str">
        <f>IF($A46="","",MATCH($M46,Households!$AF$5:$AF$154,0))</f>
        <v/>
      </c>
    </row>
    <row r="47" spans="1:14" x14ac:dyDescent="0.3">
      <c r="A47" s="24" t="str">
        <f t="shared" si="2"/>
        <v/>
      </c>
      <c r="B47" s="24" t="str">
        <f>IF($A47="","",INDEX(Households!$A$5:$A$154,$N47))</f>
        <v/>
      </c>
      <c r="C47" s="24" t="str">
        <f>IF($A47="","",INDEX(Households!$B$5:$B$154,$N47))</f>
        <v/>
      </c>
      <c r="D47" s="24" t="str">
        <f>IF($A47="","",INDEX(Households!$C$5:$C$154,$N47)&amp;" – "&amp;INDEX(Households!$D$5:$D$154,$N47))</f>
        <v/>
      </c>
      <c r="E47" s="25" t="str">
        <f>IF($A47="","",INDEX(Households!$X$5:$X$154,$N47))</f>
        <v/>
      </c>
      <c r="F47" s="24" t="str">
        <f>IF($A47="","",INDEX(Households!$AE$5:$AE$154,$N47))</f>
        <v/>
      </c>
      <c r="G47" s="24" t="str">
        <f>IF($A47="","",IF(INDEX(Households!$AA$5:$AA$154,$N47)&gt;0,INDEX(Households!$AA$5:$AA$154,$N47),""))</f>
        <v/>
      </c>
      <c r="H47" s="25" t="str">
        <f>IF($A47="","",IF(INDEX(Households!$AB$5:$AB$154,$N47)="Referral needed","Referral needed",""))</f>
        <v/>
      </c>
      <c r="I47" s="25" t="str">
        <f>IF($A47="","",INDEX(Households!$AC$5:$AC$154,$N47))</f>
        <v/>
      </c>
      <c r="J47" s="25" t="str">
        <f>IF($A47="","",INDEX(Households!$AD$5:$AD$154,$N47))</f>
        <v/>
      </c>
      <c r="K47" s="25" t="str">
        <f>IF($A47="","",INDEX(Households!$Y$5:$Y$154,$N47))</f>
        <v/>
      </c>
      <c r="L47" s="26" t="str">
        <f t="shared" si="3"/>
        <v/>
      </c>
      <c r="M47" s="27" t="str">
        <f>IF($A47="","",LARGE(Households!$AF$5:$AF$154,$A47))</f>
        <v/>
      </c>
      <c r="N47" s="24" t="str">
        <f>IF($A47="","",MATCH($M47,Households!$AF$5:$AF$154,0))</f>
        <v/>
      </c>
    </row>
    <row r="48" spans="1:14" x14ac:dyDescent="0.3">
      <c r="A48" s="24" t="str">
        <f t="shared" si="2"/>
        <v/>
      </c>
      <c r="B48" s="24" t="str">
        <f>IF($A48="","",INDEX(Households!$A$5:$A$154,$N48))</f>
        <v/>
      </c>
      <c r="C48" s="24" t="str">
        <f>IF($A48="","",INDEX(Households!$B$5:$B$154,$N48))</f>
        <v/>
      </c>
      <c r="D48" s="24" t="str">
        <f>IF($A48="","",INDEX(Households!$C$5:$C$154,$N48)&amp;" – "&amp;INDEX(Households!$D$5:$D$154,$N48))</f>
        <v/>
      </c>
      <c r="E48" s="25" t="str">
        <f>IF($A48="","",INDEX(Households!$X$5:$X$154,$N48))</f>
        <v/>
      </c>
      <c r="F48" s="24" t="str">
        <f>IF($A48="","",INDEX(Households!$AE$5:$AE$154,$N48))</f>
        <v/>
      </c>
      <c r="G48" s="24" t="str">
        <f>IF($A48="","",IF(INDEX(Households!$AA$5:$AA$154,$N48)&gt;0,INDEX(Households!$AA$5:$AA$154,$N48),""))</f>
        <v/>
      </c>
      <c r="H48" s="25" t="str">
        <f>IF($A48="","",IF(INDEX(Households!$AB$5:$AB$154,$N48)="Referral needed","Referral needed",""))</f>
        <v/>
      </c>
      <c r="I48" s="25" t="str">
        <f>IF($A48="","",INDEX(Households!$AC$5:$AC$154,$N48))</f>
        <v/>
      </c>
      <c r="J48" s="25" t="str">
        <f>IF($A48="","",INDEX(Households!$AD$5:$AD$154,$N48))</f>
        <v/>
      </c>
      <c r="K48" s="25" t="str">
        <f>IF($A48="","",INDEX(Households!$Y$5:$Y$154,$N48))</f>
        <v/>
      </c>
      <c r="L48" s="26" t="str">
        <f t="shared" si="3"/>
        <v/>
      </c>
      <c r="M48" s="27" t="str">
        <f>IF($A48="","",LARGE(Households!$AF$5:$AF$154,$A48))</f>
        <v/>
      </c>
      <c r="N48" s="24" t="str">
        <f>IF($A48="","",MATCH($M48,Households!$AF$5:$AF$154,0))</f>
        <v/>
      </c>
    </row>
    <row r="49" spans="1:14" x14ac:dyDescent="0.3">
      <c r="A49" s="24" t="str">
        <f t="shared" si="2"/>
        <v/>
      </c>
      <c r="B49" s="24" t="str">
        <f>IF($A49="","",INDEX(Households!$A$5:$A$154,$N49))</f>
        <v/>
      </c>
      <c r="C49" s="24" t="str">
        <f>IF($A49="","",INDEX(Households!$B$5:$B$154,$N49))</f>
        <v/>
      </c>
      <c r="D49" s="24" t="str">
        <f>IF($A49="","",INDEX(Households!$C$5:$C$154,$N49)&amp;" – "&amp;INDEX(Households!$D$5:$D$154,$N49))</f>
        <v/>
      </c>
      <c r="E49" s="25" t="str">
        <f>IF($A49="","",INDEX(Households!$X$5:$X$154,$N49))</f>
        <v/>
      </c>
      <c r="F49" s="24" t="str">
        <f>IF($A49="","",INDEX(Households!$AE$5:$AE$154,$N49))</f>
        <v/>
      </c>
      <c r="G49" s="24" t="str">
        <f>IF($A49="","",IF(INDEX(Households!$AA$5:$AA$154,$N49)&gt;0,INDEX(Households!$AA$5:$AA$154,$N49),""))</f>
        <v/>
      </c>
      <c r="H49" s="25" t="str">
        <f>IF($A49="","",IF(INDEX(Households!$AB$5:$AB$154,$N49)="Referral needed","Referral needed",""))</f>
        <v/>
      </c>
      <c r="I49" s="25" t="str">
        <f>IF($A49="","",INDEX(Households!$AC$5:$AC$154,$N49))</f>
        <v/>
      </c>
      <c r="J49" s="25" t="str">
        <f>IF($A49="","",INDEX(Households!$AD$5:$AD$154,$N49))</f>
        <v/>
      </c>
      <c r="K49" s="25" t="str">
        <f>IF($A49="","",INDEX(Households!$Y$5:$Y$154,$N49))</f>
        <v/>
      </c>
      <c r="L49" s="26" t="str">
        <f t="shared" si="3"/>
        <v/>
      </c>
      <c r="M49" s="27" t="str">
        <f>IF($A49="","",LARGE(Households!$AF$5:$AF$154,$A49))</f>
        <v/>
      </c>
      <c r="N49" s="24" t="str">
        <f>IF($A49="","",MATCH($M49,Households!$AF$5:$AF$154,0))</f>
        <v/>
      </c>
    </row>
    <row r="50" spans="1:14" x14ac:dyDescent="0.3">
      <c r="A50" s="24" t="str">
        <f t="shared" si="2"/>
        <v/>
      </c>
      <c r="B50" s="24" t="str">
        <f>IF($A50="","",INDEX(Households!$A$5:$A$154,$N50))</f>
        <v/>
      </c>
      <c r="C50" s="24" t="str">
        <f>IF($A50="","",INDEX(Households!$B$5:$B$154,$N50))</f>
        <v/>
      </c>
      <c r="D50" s="24" t="str">
        <f>IF($A50="","",INDEX(Households!$C$5:$C$154,$N50)&amp;" – "&amp;INDEX(Households!$D$5:$D$154,$N50))</f>
        <v/>
      </c>
      <c r="E50" s="25" t="str">
        <f>IF($A50="","",INDEX(Households!$X$5:$X$154,$N50))</f>
        <v/>
      </c>
      <c r="F50" s="24" t="str">
        <f>IF($A50="","",INDEX(Households!$AE$5:$AE$154,$N50))</f>
        <v/>
      </c>
      <c r="G50" s="24" t="str">
        <f>IF($A50="","",IF(INDEX(Households!$AA$5:$AA$154,$N50)&gt;0,INDEX(Households!$AA$5:$AA$154,$N50),""))</f>
        <v/>
      </c>
      <c r="H50" s="25" t="str">
        <f>IF($A50="","",IF(INDEX(Households!$AB$5:$AB$154,$N50)="Referral needed","Referral needed",""))</f>
        <v/>
      </c>
      <c r="I50" s="25" t="str">
        <f>IF($A50="","",INDEX(Households!$AC$5:$AC$154,$N50))</f>
        <v/>
      </c>
      <c r="J50" s="25" t="str">
        <f>IF($A50="","",INDEX(Households!$AD$5:$AD$154,$N50))</f>
        <v/>
      </c>
      <c r="K50" s="25" t="str">
        <f>IF($A50="","",INDEX(Households!$Y$5:$Y$154,$N50))</f>
        <v/>
      </c>
      <c r="L50" s="26" t="str">
        <f t="shared" si="3"/>
        <v/>
      </c>
      <c r="M50" s="27" t="str">
        <f>IF($A50="","",LARGE(Households!$AF$5:$AF$154,$A50))</f>
        <v/>
      </c>
      <c r="N50" s="24" t="str">
        <f>IF($A50="","",MATCH($M50,Households!$AF$5:$AF$154,0))</f>
        <v/>
      </c>
    </row>
    <row r="51" spans="1:14" x14ac:dyDescent="0.3">
      <c r="A51" s="24" t="str">
        <f t="shared" si="2"/>
        <v/>
      </c>
      <c r="B51" s="24" t="str">
        <f>IF($A51="","",INDEX(Households!$A$5:$A$154,$N51))</f>
        <v/>
      </c>
      <c r="C51" s="24" t="str">
        <f>IF($A51="","",INDEX(Households!$B$5:$B$154,$N51))</f>
        <v/>
      </c>
      <c r="D51" s="24" t="str">
        <f>IF($A51="","",INDEX(Households!$C$5:$C$154,$N51)&amp;" – "&amp;INDEX(Households!$D$5:$D$154,$N51))</f>
        <v/>
      </c>
      <c r="E51" s="25" t="str">
        <f>IF($A51="","",INDEX(Households!$X$5:$X$154,$N51))</f>
        <v/>
      </c>
      <c r="F51" s="24" t="str">
        <f>IF($A51="","",INDEX(Households!$AE$5:$AE$154,$N51))</f>
        <v/>
      </c>
      <c r="G51" s="24" t="str">
        <f>IF($A51="","",IF(INDEX(Households!$AA$5:$AA$154,$N51)&gt;0,INDEX(Households!$AA$5:$AA$154,$N51),""))</f>
        <v/>
      </c>
      <c r="H51" s="25" t="str">
        <f>IF($A51="","",IF(INDEX(Households!$AB$5:$AB$154,$N51)="Referral needed","Referral needed",""))</f>
        <v/>
      </c>
      <c r="I51" s="25" t="str">
        <f>IF($A51="","",INDEX(Households!$AC$5:$AC$154,$N51))</f>
        <v/>
      </c>
      <c r="J51" s="25" t="str">
        <f>IF($A51="","",INDEX(Households!$AD$5:$AD$154,$N51))</f>
        <v/>
      </c>
      <c r="K51" s="25" t="str">
        <f>IF($A51="","",INDEX(Households!$Y$5:$Y$154,$N51))</f>
        <v/>
      </c>
      <c r="L51" s="26" t="str">
        <f t="shared" si="3"/>
        <v/>
      </c>
      <c r="M51" s="27" t="str">
        <f>IF($A51="","",LARGE(Households!$AF$5:$AF$154,$A51))</f>
        <v/>
      </c>
      <c r="N51" s="24" t="str">
        <f>IF($A51="","",MATCH($M51,Households!$AF$5:$AF$154,0))</f>
        <v/>
      </c>
    </row>
    <row r="52" spans="1:14" x14ac:dyDescent="0.3">
      <c r="A52" s="24" t="str">
        <f t="shared" si="2"/>
        <v/>
      </c>
      <c r="B52" s="24" t="str">
        <f>IF($A52="","",INDEX(Households!$A$5:$A$154,$N52))</f>
        <v/>
      </c>
      <c r="C52" s="24" t="str">
        <f>IF($A52="","",INDEX(Households!$B$5:$B$154,$N52))</f>
        <v/>
      </c>
      <c r="D52" s="24" t="str">
        <f>IF($A52="","",INDEX(Households!$C$5:$C$154,$N52)&amp;" – "&amp;INDEX(Households!$D$5:$D$154,$N52))</f>
        <v/>
      </c>
      <c r="E52" s="25" t="str">
        <f>IF($A52="","",INDEX(Households!$X$5:$X$154,$N52))</f>
        <v/>
      </c>
      <c r="F52" s="24" t="str">
        <f>IF($A52="","",INDEX(Households!$AE$5:$AE$154,$N52))</f>
        <v/>
      </c>
      <c r="G52" s="24" t="str">
        <f>IF($A52="","",IF(INDEX(Households!$AA$5:$AA$154,$N52)&gt;0,INDEX(Households!$AA$5:$AA$154,$N52),""))</f>
        <v/>
      </c>
      <c r="H52" s="25" t="str">
        <f>IF($A52="","",IF(INDEX(Households!$AB$5:$AB$154,$N52)="Referral needed","Referral needed",""))</f>
        <v/>
      </c>
      <c r="I52" s="25" t="str">
        <f>IF($A52="","",INDEX(Households!$AC$5:$AC$154,$N52))</f>
        <v/>
      </c>
      <c r="J52" s="25" t="str">
        <f>IF($A52="","",INDEX(Households!$AD$5:$AD$154,$N52))</f>
        <v/>
      </c>
      <c r="K52" s="25" t="str">
        <f>IF($A52="","",INDEX(Households!$Y$5:$Y$154,$N52))</f>
        <v/>
      </c>
      <c r="L52" s="26" t="str">
        <f t="shared" si="3"/>
        <v/>
      </c>
      <c r="M52" s="27" t="str">
        <f>IF($A52="","",LARGE(Households!$AF$5:$AF$154,$A52))</f>
        <v/>
      </c>
      <c r="N52" s="24" t="str">
        <f>IF($A52="","",MATCH($M52,Households!$AF$5:$AF$154,0))</f>
        <v/>
      </c>
    </row>
    <row r="53" spans="1:14" x14ac:dyDescent="0.3">
      <c r="A53" s="24" t="str">
        <f t="shared" si="2"/>
        <v/>
      </c>
      <c r="B53" s="24" t="str">
        <f>IF($A53="","",INDEX(Households!$A$5:$A$154,$N53))</f>
        <v/>
      </c>
      <c r="C53" s="24" t="str">
        <f>IF($A53="","",INDEX(Households!$B$5:$B$154,$N53))</f>
        <v/>
      </c>
      <c r="D53" s="24" t="str">
        <f>IF($A53="","",INDEX(Households!$C$5:$C$154,$N53)&amp;" – "&amp;INDEX(Households!$D$5:$D$154,$N53))</f>
        <v/>
      </c>
      <c r="E53" s="25" t="str">
        <f>IF($A53="","",INDEX(Households!$X$5:$X$154,$N53))</f>
        <v/>
      </c>
      <c r="F53" s="24" t="str">
        <f>IF($A53="","",INDEX(Households!$AE$5:$AE$154,$N53))</f>
        <v/>
      </c>
      <c r="G53" s="24" t="str">
        <f>IF($A53="","",IF(INDEX(Households!$AA$5:$AA$154,$N53)&gt;0,INDEX(Households!$AA$5:$AA$154,$N53),""))</f>
        <v/>
      </c>
      <c r="H53" s="25" t="str">
        <f>IF($A53="","",IF(INDEX(Households!$AB$5:$AB$154,$N53)="Referral needed","Referral needed",""))</f>
        <v/>
      </c>
      <c r="I53" s="25" t="str">
        <f>IF($A53="","",INDEX(Households!$AC$5:$AC$154,$N53))</f>
        <v/>
      </c>
      <c r="J53" s="25" t="str">
        <f>IF($A53="","",INDEX(Households!$AD$5:$AD$154,$N53))</f>
        <v/>
      </c>
      <c r="K53" s="25" t="str">
        <f>IF($A53="","",INDEX(Households!$Y$5:$Y$154,$N53))</f>
        <v/>
      </c>
      <c r="L53" s="26" t="str">
        <f t="shared" si="3"/>
        <v/>
      </c>
      <c r="M53" s="27" t="str">
        <f>IF($A53="","",LARGE(Households!$AF$5:$AF$154,$A53))</f>
        <v/>
      </c>
      <c r="N53" s="24" t="str">
        <f>IF($A53="","",MATCH($M53,Households!$AF$5:$AF$154,0))</f>
        <v/>
      </c>
    </row>
    <row r="54" spans="1:14" x14ac:dyDescent="0.3">
      <c r="A54" s="24" t="str">
        <f t="shared" si="2"/>
        <v/>
      </c>
      <c r="B54" s="24" t="str">
        <f>IF($A54="","",INDEX(Households!$A$5:$A$154,$N54))</f>
        <v/>
      </c>
      <c r="C54" s="24" t="str">
        <f>IF($A54="","",INDEX(Households!$B$5:$B$154,$N54))</f>
        <v/>
      </c>
      <c r="D54" s="24" t="str">
        <f>IF($A54="","",INDEX(Households!$C$5:$C$154,$N54)&amp;" – "&amp;INDEX(Households!$D$5:$D$154,$N54))</f>
        <v/>
      </c>
      <c r="E54" s="25" t="str">
        <f>IF($A54="","",INDEX(Households!$X$5:$X$154,$N54))</f>
        <v/>
      </c>
      <c r="F54" s="24" t="str">
        <f>IF($A54="","",INDEX(Households!$AE$5:$AE$154,$N54))</f>
        <v/>
      </c>
      <c r="G54" s="24" t="str">
        <f>IF($A54="","",IF(INDEX(Households!$AA$5:$AA$154,$N54)&gt;0,INDEX(Households!$AA$5:$AA$154,$N54),""))</f>
        <v/>
      </c>
      <c r="H54" s="25" t="str">
        <f>IF($A54="","",IF(INDEX(Households!$AB$5:$AB$154,$N54)="Referral needed","Referral needed",""))</f>
        <v/>
      </c>
      <c r="I54" s="25" t="str">
        <f>IF($A54="","",INDEX(Households!$AC$5:$AC$154,$N54))</f>
        <v/>
      </c>
      <c r="J54" s="25" t="str">
        <f>IF($A54="","",INDEX(Households!$AD$5:$AD$154,$N54))</f>
        <v/>
      </c>
      <c r="K54" s="25" t="str">
        <f>IF($A54="","",INDEX(Households!$Y$5:$Y$154,$N54))</f>
        <v/>
      </c>
      <c r="L54" s="26" t="str">
        <f t="shared" si="3"/>
        <v/>
      </c>
      <c r="M54" s="27" t="str">
        <f>IF($A54="","",LARGE(Households!$AF$5:$AF$154,$A54))</f>
        <v/>
      </c>
      <c r="N54" s="24" t="str">
        <f>IF($A54="","",MATCH($M54,Households!$AF$5:$AF$154,0))</f>
        <v/>
      </c>
    </row>
    <row r="55" spans="1:14" x14ac:dyDescent="0.3">
      <c r="A55" s="24" t="str">
        <f t="shared" si="2"/>
        <v/>
      </c>
      <c r="B55" s="24" t="str">
        <f>IF($A55="","",INDEX(Households!$A$5:$A$154,$N55))</f>
        <v/>
      </c>
      <c r="C55" s="24" t="str">
        <f>IF($A55="","",INDEX(Households!$B$5:$B$154,$N55))</f>
        <v/>
      </c>
      <c r="D55" s="24" t="str">
        <f>IF($A55="","",INDEX(Households!$C$5:$C$154,$N55)&amp;" – "&amp;INDEX(Households!$D$5:$D$154,$N55))</f>
        <v/>
      </c>
      <c r="E55" s="25" t="str">
        <f>IF($A55="","",INDEX(Households!$X$5:$X$154,$N55))</f>
        <v/>
      </c>
      <c r="F55" s="24" t="str">
        <f>IF($A55="","",INDEX(Households!$AE$5:$AE$154,$N55))</f>
        <v/>
      </c>
      <c r="G55" s="24" t="str">
        <f>IF($A55="","",IF(INDEX(Households!$AA$5:$AA$154,$N55)&gt;0,INDEX(Households!$AA$5:$AA$154,$N55),""))</f>
        <v/>
      </c>
      <c r="H55" s="25" t="str">
        <f>IF($A55="","",IF(INDEX(Households!$AB$5:$AB$154,$N55)="Referral needed","Referral needed",""))</f>
        <v/>
      </c>
      <c r="I55" s="25" t="str">
        <f>IF($A55="","",INDEX(Households!$AC$5:$AC$154,$N55))</f>
        <v/>
      </c>
      <c r="J55" s="25" t="str">
        <f>IF($A55="","",INDEX(Households!$AD$5:$AD$154,$N55))</f>
        <v/>
      </c>
      <c r="K55" s="25" t="str">
        <f>IF($A55="","",INDEX(Households!$Y$5:$Y$154,$N55))</f>
        <v/>
      </c>
      <c r="L55" s="26" t="str">
        <f t="shared" si="3"/>
        <v/>
      </c>
      <c r="M55" s="27" t="str">
        <f>IF($A55="","",LARGE(Households!$AF$5:$AF$154,$A55))</f>
        <v/>
      </c>
      <c r="N55" s="24" t="str">
        <f>IF($A55="","",MATCH($M55,Households!$AF$5:$AF$154,0))</f>
        <v/>
      </c>
    </row>
    <row r="56" spans="1:14" x14ac:dyDescent="0.3">
      <c r="A56" s="24" t="str">
        <f t="shared" si="2"/>
        <v/>
      </c>
      <c r="B56" s="24" t="str">
        <f>IF($A56="","",INDEX(Households!$A$5:$A$154,$N56))</f>
        <v/>
      </c>
      <c r="C56" s="24" t="str">
        <f>IF($A56="","",INDEX(Households!$B$5:$B$154,$N56))</f>
        <v/>
      </c>
      <c r="D56" s="24" t="str">
        <f>IF($A56="","",INDEX(Households!$C$5:$C$154,$N56)&amp;" – "&amp;INDEX(Households!$D$5:$D$154,$N56))</f>
        <v/>
      </c>
      <c r="E56" s="25" t="str">
        <f>IF($A56="","",INDEX(Households!$X$5:$X$154,$N56))</f>
        <v/>
      </c>
      <c r="F56" s="24" t="str">
        <f>IF($A56="","",INDEX(Households!$AE$5:$AE$154,$N56))</f>
        <v/>
      </c>
      <c r="G56" s="24" t="str">
        <f>IF($A56="","",IF(INDEX(Households!$AA$5:$AA$154,$N56)&gt;0,INDEX(Households!$AA$5:$AA$154,$N56),""))</f>
        <v/>
      </c>
      <c r="H56" s="25" t="str">
        <f>IF($A56="","",IF(INDEX(Households!$AB$5:$AB$154,$N56)="Referral needed","Referral needed",""))</f>
        <v/>
      </c>
      <c r="I56" s="25" t="str">
        <f>IF($A56="","",INDEX(Households!$AC$5:$AC$154,$N56))</f>
        <v/>
      </c>
      <c r="J56" s="25" t="str">
        <f>IF($A56="","",INDEX(Households!$AD$5:$AD$154,$N56))</f>
        <v/>
      </c>
      <c r="K56" s="25" t="str">
        <f>IF($A56="","",INDEX(Households!$Y$5:$Y$154,$N56))</f>
        <v/>
      </c>
      <c r="L56" s="26" t="str">
        <f t="shared" si="3"/>
        <v/>
      </c>
      <c r="M56" s="27" t="str">
        <f>IF($A56="","",LARGE(Households!$AF$5:$AF$154,$A56))</f>
        <v/>
      </c>
      <c r="N56" s="24" t="str">
        <f>IF($A56="","",MATCH($M56,Households!$AF$5:$AF$154,0))</f>
        <v/>
      </c>
    </row>
    <row r="57" spans="1:14" x14ac:dyDescent="0.3">
      <c r="A57" s="24" t="str">
        <f t="shared" si="2"/>
        <v/>
      </c>
      <c r="B57" s="24" t="str">
        <f>IF($A57="","",INDEX(Households!$A$5:$A$154,$N57))</f>
        <v/>
      </c>
      <c r="C57" s="24" t="str">
        <f>IF($A57="","",INDEX(Households!$B$5:$B$154,$N57))</f>
        <v/>
      </c>
      <c r="D57" s="24" t="str">
        <f>IF($A57="","",INDEX(Households!$C$5:$C$154,$N57)&amp;" – "&amp;INDEX(Households!$D$5:$D$154,$N57))</f>
        <v/>
      </c>
      <c r="E57" s="25" t="str">
        <f>IF($A57="","",INDEX(Households!$X$5:$X$154,$N57))</f>
        <v/>
      </c>
      <c r="F57" s="24" t="str">
        <f>IF($A57="","",INDEX(Households!$AE$5:$AE$154,$N57))</f>
        <v/>
      </c>
      <c r="G57" s="24" t="str">
        <f>IF($A57="","",IF(INDEX(Households!$AA$5:$AA$154,$N57)&gt;0,INDEX(Households!$AA$5:$AA$154,$N57),""))</f>
        <v/>
      </c>
      <c r="H57" s="25" t="str">
        <f>IF($A57="","",IF(INDEX(Households!$AB$5:$AB$154,$N57)="Referral needed","Referral needed",""))</f>
        <v/>
      </c>
      <c r="I57" s="25" t="str">
        <f>IF($A57="","",INDEX(Households!$AC$5:$AC$154,$N57))</f>
        <v/>
      </c>
      <c r="J57" s="25" t="str">
        <f>IF($A57="","",INDEX(Households!$AD$5:$AD$154,$N57))</f>
        <v/>
      </c>
      <c r="K57" s="25" t="str">
        <f>IF($A57="","",INDEX(Households!$Y$5:$Y$154,$N57))</f>
        <v/>
      </c>
      <c r="L57" s="26" t="str">
        <f t="shared" si="3"/>
        <v/>
      </c>
      <c r="M57" s="27" t="str">
        <f>IF($A57="","",LARGE(Households!$AF$5:$AF$154,$A57))</f>
        <v/>
      </c>
      <c r="N57" s="24" t="str">
        <f>IF($A57="","",MATCH($M57,Households!$AF$5:$AF$154,0))</f>
        <v/>
      </c>
    </row>
    <row r="58" spans="1:14" x14ac:dyDescent="0.3">
      <c r="A58" s="24" t="str">
        <f t="shared" si="2"/>
        <v/>
      </c>
      <c r="B58" s="24" t="str">
        <f>IF($A58="","",INDEX(Households!$A$5:$A$154,$N58))</f>
        <v/>
      </c>
      <c r="C58" s="24" t="str">
        <f>IF($A58="","",INDEX(Households!$B$5:$B$154,$N58))</f>
        <v/>
      </c>
      <c r="D58" s="24" t="str">
        <f>IF($A58="","",INDEX(Households!$C$5:$C$154,$N58)&amp;" – "&amp;INDEX(Households!$D$5:$D$154,$N58))</f>
        <v/>
      </c>
      <c r="E58" s="25" t="str">
        <f>IF($A58="","",INDEX(Households!$X$5:$X$154,$N58))</f>
        <v/>
      </c>
      <c r="F58" s="24" t="str">
        <f>IF($A58="","",INDEX(Households!$AE$5:$AE$154,$N58))</f>
        <v/>
      </c>
      <c r="G58" s="24" t="str">
        <f>IF($A58="","",IF(INDEX(Households!$AA$5:$AA$154,$N58)&gt;0,INDEX(Households!$AA$5:$AA$154,$N58),""))</f>
        <v/>
      </c>
      <c r="H58" s="25" t="str">
        <f>IF($A58="","",IF(INDEX(Households!$AB$5:$AB$154,$N58)="Referral needed","Referral needed",""))</f>
        <v/>
      </c>
      <c r="I58" s="25" t="str">
        <f>IF($A58="","",INDEX(Households!$AC$5:$AC$154,$N58))</f>
        <v/>
      </c>
      <c r="J58" s="25" t="str">
        <f>IF($A58="","",INDEX(Households!$AD$5:$AD$154,$N58))</f>
        <v/>
      </c>
      <c r="K58" s="25" t="str">
        <f>IF($A58="","",INDEX(Households!$Y$5:$Y$154,$N58))</f>
        <v/>
      </c>
      <c r="L58" s="26" t="str">
        <f t="shared" si="3"/>
        <v/>
      </c>
      <c r="M58" s="27" t="str">
        <f>IF($A58="","",LARGE(Households!$AF$5:$AF$154,$A58))</f>
        <v/>
      </c>
      <c r="N58" s="24" t="str">
        <f>IF($A58="","",MATCH($M58,Households!$AF$5:$AF$154,0))</f>
        <v/>
      </c>
    </row>
    <row r="59" spans="1:14" x14ac:dyDescent="0.3">
      <c r="A59" s="24" t="str">
        <f t="shared" si="2"/>
        <v/>
      </c>
      <c r="B59" s="24" t="str">
        <f>IF($A59="","",INDEX(Households!$A$5:$A$154,$N59))</f>
        <v/>
      </c>
      <c r="C59" s="24" t="str">
        <f>IF($A59="","",INDEX(Households!$B$5:$B$154,$N59))</f>
        <v/>
      </c>
      <c r="D59" s="24" t="str">
        <f>IF($A59="","",INDEX(Households!$C$5:$C$154,$N59)&amp;" – "&amp;INDEX(Households!$D$5:$D$154,$N59))</f>
        <v/>
      </c>
      <c r="E59" s="25" t="str">
        <f>IF($A59="","",INDEX(Households!$X$5:$X$154,$N59))</f>
        <v/>
      </c>
      <c r="F59" s="24" t="str">
        <f>IF($A59="","",INDEX(Households!$AE$5:$AE$154,$N59))</f>
        <v/>
      </c>
      <c r="G59" s="24" t="str">
        <f>IF($A59="","",IF(INDEX(Households!$AA$5:$AA$154,$N59)&gt;0,INDEX(Households!$AA$5:$AA$154,$N59),""))</f>
        <v/>
      </c>
      <c r="H59" s="25" t="str">
        <f>IF($A59="","",IF(INDEX(Households!$AB$5:$AB$154,$N59)="Referral needed","Referral needed",""))</f>
        <v/>
      </c>
      <c r="I59" s="25" t="str">
        <f>IF($A59="","",INDEX(Households!$AC$5:$AC$154,$N59))</f>
        <v/>
      </c>
      <c r="J59" s="25" t="str">
        <f>IF($A59="","",INDEX(Households!$AD$5:$AD$154,$N59))</f>
        <v/>
      </c>
      <c r="K59" s="25" t="str">
        <f>IF($A59="","",INDEX(Households!$Y$5:$Y$154,$N59))</f>
        <v/>
      </c>
      <c r="L59" s="26" t="str">
        <f t="shared" si="3"/>
        <v/>
      </c>
      <c r="M59" s="27" t="str">
        <f>IF($A59="","",LARGE(Households!$AF$5:$AF$154,$A59))</f>
        <v/>
      </c>
      <c r="N59" s="24" t="str">
        <f>IF($A59="","",MATCH($M59,Households!$AF$5:$AF$154,0))</f>
        <v/>
      </c>
    </row>
    <row r="60" spans="1:14" x14ac:dyDescent="0.3">
      <c r="A60" s="24" t="str">
        <f t="shared" si="2"/>
        <v/>
      </c>
      <c r="B60" s="24" t="str">
        <f>IF($A60="","",INDEX(Households!$A$5:$A$154,$N60))</f>
        <v/>
      </c>
      <c r="C60" s="24" t="str">
        <f>IF($A60="","",INDEX(Households!$B$5:$B$154,$N60))</f>
        <v/>
      </c>
      <c r="D60" s="24" t="str">
        <f>IF($A60="","",INDEX(Households!$C$5:$C$154,$N60)&amp;" – "&amp;INDEX(Households!$D$5:$D$154,$N60))</f>
        <v/>
      </c>
      <c r="E60" s="25" t="str">
        <f>IF($A60="","",INDEX(Households!$X$5:$X$154,$N60))</f>
        <v/>
      </c>
      <c r="F60" s="24" t="str">
        <f>IF($A60="","",INDEX(Households!$AE$5:$AE$154,$N60))</f>
        <v/>
      </c>
      <c r="G60" s="24" t="str">
        <f>IF($A60="","",IF(INDEX(Households!$AA$5:$AA$154,$N60)&gt;0,INDEX(Households!$AA$5:$AA$154,$N60),""))</f>
        <v/>
      </c>
      <c r="H60" s="25" t="str">
        <f>IF($A60="","",IF(INDEX(Households!$AB$5:$AB$154,$N60)="Referral needed","Referral needed",""))</f>
        <v/>
      </c>
      <c r="I60" s="25" t="str">
        <f>IF($A60="","",INDEX(Households!$AC$5:$AC$154,$N60))</f>
        <v/>
      </c>
      <c r="J60" s="25" t="str">
        <f>IF($A60="","",INDEX(Households!$AD$5:$AD$154,$N60))</f>
        <v/>
      </c>
      <c r="K60" s="25" t="str">
        <f>IF($A60="","",INDEX(Households!$Y$5:$Y$154,$N60))</f>
        <v/>
      </c>
      <c r="L60" s="26" t="str">
        <f t="shared" si="3"/>
        <v/>
      </c>
      <c r="M60" s="27" t="str">
        <f>IF($A60="","",LARGE(Households!$AF$5:$AF$154,$A60))</f>
        <v/>
      </c>
      <c r="N60" s="24" t="str">
        <f>IF($A60="","",MATCH($M60,Households!$AF$5:$AF$154,0))</f>
        <v/>
      </c>
    </row>
    <row r="61" spans="1:14" x14ac:dyDescent="0.3">
      <c r="A61" s="24" t="str">
        <f t="shared" si="2"/>
        <v/>
      </c>
      <c r="B61" s="24" t="str">
        <f>IF($A61="","",INDEX(Households!$A$5:$A$154,$N61))</f>
        <v/>
      </c>
      <c r="C61" s="24" t="str">
        <f>IF($A61="","",INDEX(Households!$B$5:$B$154,$N61))</f>
        <v/>
      </c>
      <c r="D61" s="24" t="str">
        <f>IF($A61="","",INDEX(Households!$C$5:$C$154,$N61)&amp;" – "&amp;INDEX(Households!$D$5:$D$154,$N61))</f>
        <v/>
      </c>
      <c r="E61" s="25" t="str">
        <f>IF($A61="","",INDEX(Households!$X$5:$X$154,$N61))</f>
        <v/>
      </c>
      <c r="F61" s="24" t="str">
        <f>IF($A61="","",INDEX(Households!$AE$5:$AE$154,$N61))</f>
        <v/>
      </c>
      <c r="G61" s="24" t="str">
        <f>IF($A61="","",IF(INDEX(Households!$AA$5:$AA$154,$N61)&gt;0,INDEX(Households!$AA$5:$AA$154,$N61),""))</f>
        <v/>
      </c>
      <c r="H61" s="25" t="str">
        <f>IF($A61="","",IF(INDEX(Households!$AB$5:$AB$154,$N61)="Referral needed","Referral needed",""))</f>
        <v/>
      </c>
      <c r="I61" s="25" t="str">
        <f>IF($A61="","",INDEX(Households!$AC$5:$AC$154,$N61))</f>
        <v/>
      </c>
      <c r="J61" s="25" t="str">
        <f>IF($A61="","",INDEX(Households!$AD$5:$AD$154,$N61))</f>
        <v/>
      </c>
      <c r="K61" s="25" t="str">
        <f>IF($A61="","",INDEX(Households!$Y$5:$Y$154,$N61))</f>
        <v/>
      </c>
      <c r="L61" s="26" t="str">
        <f t="shared" si="3"/>
        <v/>
      </c>
      <c r="M61" s="27" t="str">
        <f>IF($A61="","",LARGE(Households!$AF$5:$AF$154,$A61))</f>
        <v/>
      </c>
      <c r="N61" s="24" t="str">
        <f>IF($A61="","",MATCH($M61,Households!$AF$5:$AF$154,0))</f>
        <v/>
      </c>
    </row>
    <row r="62" spans="1:14" x14ac:dyDescent="0.3">
      <c r="A62" s="24" t="str">
        <f t="shared" si="2"/>
        <v/>
      </c>
      <c r="B62" s="24" t="str">
        <f>IF($A62="","",INDEX(Households!$A$5:$A$154,$N62))</f>
        <v/>
      </c>
      <c r="C62" s="24" t="str">
        <f>IF($A62="","",INDEX(Households!$B$5:$B$154,$N62))</f>
        <v/>
      </c>
      <c r="D62" s="24" t="str">
        <f>IF($A62="","",INDEX(Households!$C$5:$C$154,$N62)&amp;" – "&amp;INDEX(Households!$D$5:$D$154,$N62))</f>
        <v/>
      </c>
      <c r="E62" s="25" t="str">
        <f>IF($A62="","",INDEX(Households!$X$5:$X$154,$N62))</f>
        <v/>
      </c>
      <c r="F62" s="24" t="str">
        <f>IF($A62="","",INDEX(Households!$AE$5:$AE$154,$N62))</f>
        <v/>
      </c>
      <c r="G62" s="24" t="str">
        <f>IF($A62="","",IF(INDEX(Households!$AA$5:$AA$154,$N62)&gt;0,INDEX(Households!$AA$5:$AA$154,$N62),""))</f>
        <v/>
      </c>
      <c r="H62" s="25" t="str">
        <f>IF($A62="","",IF(INDEX(Households!$AB$5:$AB$154,$N62)="Referral needed","Referral needed",""))</f>
        <v/>
      </c>
      <c r="I62" s="25" t="str">
        <f>IF($A62="","",INDEX(Households!$AC$5:$AC$154,$N62))</f>
        <v/>
      </c>
      <c r="J62" s="25" t="str">
        <f>IF($A62="","",INDEX(Households!$AD$5:$AD$154,$N62))</f>
        <v/>
      </c>
      <c r="K62" s="25" t="str">
        <f>IF($A62="","",INDEX(Households!$Y$5:$Y$154,$N62))</f>
        <v/>
      </c>
      <c r="L62" s="26" t="str">
        <f t="shared" si="3"/>
        <v/>
      </c>
      <c r="M62" s="27" t="str">
        <f>IF($A62="","",LARGE(Households!$AF$5:$AF$154,$A62))</f>
        <v/>
      </c>
      <c r="N62" s="24" t="str">
        <f>IF($A62="","",MATCH($M62,Households!$AF$5:$AF$154,0))</f>
        <v/>
      </c>
    </row>
    <row r="63" spans="1:14" x14ac:dyDescent="0.3">
      <c r="A63" s="24" t="str">
        <f t="shared" si="2"/>
        <v/>
      </c>
      <c r="B63" s="24" t="str">
        <f>IF($A63="","",INDEX(Households!$A$5:$A$154,$N63))</f>
        <v/>
      </c>
      <c r="C63" s="24" t="str">
        <f>IF($A63="","",INDEX(Households!$B$5:$B$154,$N63))</f>
        <v/>
      </c>
      <c r="D63" s="24" t="str">
        <f>IF($A63="","",INDEX(Households!$C$5:$C$154,$N63)&amp;" – "&amp;INDEX(Households!$D$5:$D$154,$N63))</f>
        <v/>
      </c>
      <c r="E63" s="25" t="str">
        <f>IF($A63="","",INDEX(Households!$X$5:$X$154,$N63))</f>
        <v/>
      </c>
      <c r="F63" s="24" t="str">
        <f>IF($A63="","",INDEX(Households!$AE$5:$AE$154,$N63))</f>
        <v/>
      </c>
      <c r="G63" s="24" t="str">
        <f>IF($A63="","",IF(INDEX(Households!$AA$5:$AA$154,$N63)&gt;0,INDEX(Households!$AA$5:$AA$154,$N63),""))</f>
        <v/>
      </c>
      <c r="H63" s="25" t="str">
        <f>IF($A63="","",IF(INDEX(Households!$AB$5:$AB$154,$N63)="Referral needed","Referral needed",""))</f>
        <v/>
      </c>
      <c r="I63" s="25" t="str">
        <f>IF($A63="","",INDEX(Households!$AC$5:$AC$154,$N63))</f>
        <v/>
      </c>
      <c r="J63" s="25" t="str">
        <f>IF($A63="","",INDEX(Households!$AD$5:$AD$154,$N63))</f>
        <v/>
      </c>
      <c r="K63" s="25" t="str">
        <f>IF($A63="","",INDEX(Households!$Y$5:$Y$154,$N63))</f>
        <v/>
      </c>
      <c r="L63" s="26" t="str">
        <f t="shared" si="3"/>
        <v/>
      </c>
      <c r="M63" s="27" t="str">
        <f>IF($A63="","",LARGE(Households!$AF$5:$AF$154,$A63))</f>
        <v/>
      </c>
      <c r="N63" s="24" t="str">
        <f>IF($A63="","",MATCH($M63,Households!$AF$5:$AF$154,0))</f>
        <v/>
      </c>
    </row>
    <row r="64" spans="1:14" x14ac:dyDescent="0.3">
      <c r="A64" s="24" t="str">
        <f t="shared" si="2"/>
        <v/>
      </c>
      <c r="B64" s="24" t="str">
        <f>IF($A64="","",INDEX(Households!$A$5:$A$154,$N64))</f>
        <v/>
      </c>
      <c r="C64" s="24" t="str">
        <f>IF($A64="","",INDEX(Households!$B$5:$B$154,$N64))</f>
        <v/>
      </c>
      <c r="D64" s="24" t="str">
        <f>IF($A64="","",INDEX(Households!$C$5:$C$154,$N64)&amp;" – "&amp;INDEX(Households!$D$5:$D$154,$N64))</f>
        <v/>
      </c>
      <c r="E64" s="25" t="str">
        <f>IF($A64="","",INDEX(Households!$X$5:$X$154,$N64))</f>
        <v/>
      </c>
      <c r="F64" s="24" t="str">
        <f>IF($A64="","",INDEX(Households!$AE$5:$AE$154,$N64))</f>
        <v/>
      </c>
      <c r="G64" s="24" t="str">
        <f>IF($A64="","",IF(INDEX(Households!$AA$5:$AA$154,$N64)&gt;0,INDEX(Households!$AA$5:$AA$154,$N64),""))</f>
        <v/>
      </c>
      <c r="H64" s="25" t="str">
        <f>IF($A64="","",IF(INDEX(Households!$AB$5:$AB$154,$N64)="Referral needed","Referral needed",""))</f>
        <v/>
      </c>
      <c r="I64" s="25" t="str">
        <f>IF($A64="","",INDEX(Households!$AC$5:$AC$154,$N64))</f>
        <v/>
      </c>
      <c r="J64" s="25" t="str">
        <f>IF($A64="","",INDEX(Households!$AD$5:$AD$154,$N64))</f>
        <v/>
      </c>
      <c r="K64" s="25" t="str">
        <f>IF($A64="","",INDEX(Households!$Y$5:$Y$154,$N64))</f>
        <v/>
      </c>
      <c r="L64" s="26" t="str">
        <f t="shared" si="3"/>
        <v/>
      </c>
      <c r="M64" s="27" t="str">
        <f>IF($A64="","",LARGE(Households!$AF$5:$AF$154,$A64))</f>
        <v/>
      </c>
      <c r="N64" s="24" t="str">
        <f>IF($A64="","",MATCH($M64,Households!$AF$5:$AF$154,0))</f>
        <v/>
      </c>
    </row>
    <row r="65" spans="1:14" x14ac:dyDescent="0.3">
      <c r="A65" s="24" t="str">
        <f t="shared" si="2"/>
        <v/>
      </c>
      <c r="B65" s="24" t="str">
        <f>IF($A65="","",INDEX(Households!$A$5:$A$154,$N65))</f>
        <v/>
      </c>
      <c r="C65" s="24" t="str">
        <f>IF($A65="","",INDEX(Households!$B$5:$B$154,$N65))</f>
        <v/>
      </c>
      <c r="D65" s="24" t="str">
        <f>IF($A65="","",INDEX(Households!$C$5:$C$154,$N65)&amp;" – "&amp;INDEX(Households!$D$5:$D$154,$N65))</f>
        <v/>
      </c>
      <c r="E65" s="25" t="str">
        <f>IF($A65="","",INDEX(Households!$X$5:$X$154,$N65))</f>
        <v/>
      </c>
      <c r="F65" s="24" t="str">
        <f>IF($A65="","",INDEX(Households!$AE$5:$AE$154,$N65))</f>
        <v/>
      </c>
      <c r="G65" s="24" t="str">
        <f>IF($A65="","",IF(INDEX(Households!$AA$5:$AA$154,$N65)&gt;0,INDEX(Households!$AA$5:$AA$154,$N65),""))</f>
        <v/>
      </c>
      <c r="H65" s="25" t="str">
        <f>IF($A65="","",IF(INDEX(Households!$AB$5:$AB$154,$N65)="Referral needed","Referral needed",""))</f>
        <v/>
      </c>
      <c r="I65" s="25" t="str">
        <f>IF($A65="","",INDEX(Households!$AC$5:$AC$154,$N65))</f>
        <v/>
      </c>
      <c r="J65" s="25" t="str">
        <f>IF($A65="","",INDEX(Households!$AD$5:$AD$154,$N65))</f>
        <v/>
      </c>
      <c r="K65" s="25" t="str">
        <f>IF($A65="","",INDEX(Households!$Y$5:$Y$154,$N65))</f>
        <v/>
      </c>
      <c r="L65" s="26" t="str">
        <f t="shared" si="3"/>
        <v/>
      </c>
      <c r="M65" s="27" t="str">
        <f>IF($A65="","",LARGE(Households!$AF$5:$AF$154,$A65))</f>
        <v/>
      </c>
      <c r="N65" s="24" t="str">
        <f>IF($A65="","",MATCH($M65,Households!$AF$5:$AF$154,0))</f>
        <v/>
      </c>
    </row>
    <row r="66" spans="1:14" x14ac:dyDescent="0.3">
      <c r="A66" s="24" t="str">
        <f t="shared" si="2"/>
        <v/>
      </c>
      <c r="B66" s="24" t="str">
        <f>IF($A66="","",INDEX(Households!$A$5:$A$154,$N66))</f>
        <v/>
      </c>
      <c r="C66" s="24" t="str">
        <f>IF($A66="","",INDEX(Households!$B$5:$B$154,$N66))</f>
        <v/>
      </c>
      <c r="D66" s="24" t="str">
        <f>IF($A66="","",INDEX(Households!$C$5:$C$154,$N66)&amp;" – "&amp;INDEX(Households!$D$5:$D$154,$N66))</f>
        <v/>
      </c>
      <c r="E66" s="25" t="str">
        <f>IF($A66="","",INDEX(Households!$X$5:$X$154,$N66))</f>
        <v/>
      </c>
      <c r="F66" s="24" t="str">
        <f>IF($A66="","",INDEX(Households!$AE$5:$AE$154,$N66))</f>
        <v/>
      </c>
      <c r="G66" s="24" t="str">
        <f>IF($A66="","",IF(INDEX(Households!$AA$5:$AA$154,$N66)&gt;0,INDEX(Households!$AA$5:$AA$154,$N66),""))</f>
        <v/>
      </c>
      <c r="H66" s="25" t="str">
        <f>IF($A66="","",IF(INDEX(Households!$AB$5:$AB$154,$N66)="Referral needed","Referral needed",""))</f>
        <v/>
      </c>
      <c r="I66" s="25" t="str">
        <f>IF($A66="","",INDEX(Households!$AC$5:$AC$154,$N66))</f>
        <v/>
      </c>
      <c r="J66" s="25" t="str">
        <f>IF($A66="","",INDEX(Households!$AD$5:$AD$154,$N66))</f>
        <v/>
      </c>
      <c r="K66" s="25" t="str">
        <f>IF($A66="","",INDEX(Households!$Y$5:$Y$154,$N66))</f>
        <v/>
      </c>
      <c r="L66" s="26" t="str">
        <f t="shared" si="3"/>
        <v/>
      </c>
      <c r="M66" s="27" t="str">
        <f>IF($A66="","",LARGE(Households!$AF$5:$AF$154,$A66))</f>
        <v/>
      </c>
      <c r="N66" s="24" t="str">
        <f>IF($A66="","",MATCH($M66,Households!$AF$5:$AF$154,0))</f>
        <v/>
      </c>
    </row>
    <row r="67" spans="1:14" x14ac:dyDescent="0.3">
      <c r="A67" s="24" t="str">
        <f t="shared" si="2"/>
        <v/>
      </c>
      <c r="B67" s="24" t="str">
        <f>IF($A67="","",INDEX(Households!$A$5:$A$154,$N67))</f>
        <v/>
      </c>
      <c r="C67" s="24" t="str">
        <f>IF($A67="","",INDEX(Households!$B$5:$B$154,$N67))</f>
        <v/>
      </c>
      <c r="D67" s="24" t="str">
        <f>IF($A67="","",INDEX(Households!$C$5:$C$154,$N67)&amp;" – "&amp;INDEX(Households!$D$5:$D$154,$N67))</f>
        <v/>
      </c>
      <c r="E67" s="25" t="str">
        <f>IF($A67="","",INDEX(Households!$X$5:$X$154,$N67))</f>
        <v/>
      </c>
      <c r="F67" s="24" t="str">
        <f>IF($A67="","",INDEX(Households!$AE$5:$AE$154,$N67))</f>
        <v/>
      </c>
      <c r="G67" s="24" t="str">
        <f>IF($A67="","",IF(INDEX(Households!$AA$5:$AA$154,$N67)&gt;0,INDEX(Households!$AA$5:$AA$154,$N67),""))</f>
        <v/>
      </c>
      <c r="H67" s="25" t="str">
        <f>IF($A67="","",IF(INDEX(Households!$AB$5:$AB$154,$N67)="Referral needed","Referral needed",""))</f>
        <v/>
      </c>
      <c r="I67" s="25" t="str">
        <f>IF($A67="","",INDEX(Households!$AC$5:$AC$154,$N67))</f>
        <v/>
      </c>
      <c r="J67" s="25" t="str">
        <f>IF($A67="","",INDEX(Households!$AD$5:$AD$154,$N67))</f>
        <v/>
      </c>
      <c r="K67" s="25" t="str">
        <f>IF($A67="","",INDEX(Households!$Y$5:$Y$154,$N67))</f>
        <v/>
      </c>
      <c r="L67" s="26" t="str">
        <f t="shared" si="3"/>
        <v/>
      </c>
      <c r="M67" s="27" t="str">
        <f>IF($A67="","",LARGE(Households!$AF$5:$AF$154,$A67))</f>
        <v/>
      </c>
      <c r="N67" s="24" t="str">
        <f>IF($A67="","",MATCH($M67,Households!$AF$5:$AF$154,0))</f>
        <v/>
      </c>
    </row>
    <row r="68" spans="1:14" x14ac:dyDescent="0.3">
      <c r="A68" s="24" t="str">
        <f t="shared" si="2"/>
        <v/>
      </c>
      <c r="B68" s="24" t="str">
        <f>IF($A68="","",INDEX(Households!$A$5:$A$154,$N68))</f>
        <v/>
      </c>
      <c r="C68" s="24" t="str">
        <f>IF($A68="","",INDEX(Households!$B$5:$B$154,$N68))</f>
        <v/>
      </c>
      <c r="D68" s="24" t="str">
        <f>IF($A68="","",INDEX(Households!$C$5:$C$154,$N68)&amp;" – "&amp;INDEX(Households!$D$5:$D$154,$N68))</f>
        <v/>
      </c>
      <c r="E68" s="25" t="str">
        <f>IF($A68="","",INDEX(Households!$X$5:$X$154,$N68))</f>
        <v/>
      </c>
      <c r="F68" s="24" t="str">
        <f>IF($A68="","",INDEX(Households!$AE$5:$AE$154,$N68))</f>
        <v/>
      </c>
      <c r="G68" s="24" t="str">
        <f>IF($A68="","",IF(INDEX(Households!$AA$5:$AA$154,$N68)&gt;0,INDEX(Households!$AA$5:$AA$154,$N68),""))</f>
        <v/>
      </c>
      <c r="H68" s="25" t="str">
        <f>IF($A68="","",IF(INDEX(Households!$AB$5:$AB$154,$N68)="Referral needed","Referral needed",""))</f>
        <v/>
      </c>
      <c r="I68" s="25" t="str">
        <f>IF($A68="","",INDEX(Households!$AC$5:$AC$154,$N68))</f>
        <v/>
      </c>
      <c r="J68" s="25" t="str">
        <f>IF($A68="","",INDEX(Households!$AD$5:$AD$154,$N68))</f>
        <v/>
      </c>
      <c r="K68" s="25" t="str">
        <f>IF($A68="","",INDEX(Households!$Y$5:$Y$154,$N68))</f>
        <v/>
      </c>
      <c r="L68" s="26" t="str">
        <f t="shared" si="3"/>
        <v/>
      </c>
      <c r="M68" s="27" t="str">
        <f>IF($A68="","",LARGE(Households!$AF$5:$AF$154,$A68))</f>
        <v/>
      </c>
      <c r="N68" s="24" t="str">
        <f>IF($A68="","",MATCH($M68,Households!$AF$5:$AF$154,0))</f>
        <v/>
      </c>
    </row>
    <row r="69" spans="1:14" x14ac:dyDescent="0.3">
      <c r="A69" s="24" t="str">
        <f t="shared" ref="A69:A100" si="4">IF(ROW()-4&lt;=$G$1,ROW()-4,"")</f>
        <v/>
      </c>
      <c r="B69" s="24" t="str">
        <f>IF($A69="","",INDEX(Households!$A$5:$A$154,$N69))</f>
        <v/>
      </c>
      <c r="C69" s="24" t="str">
        <f>IF($A69="","",INDEX(Households!$B$5:$B$154,$N69))</f>
        <v/>
      </c>
      <c r="D69" s="24" t="str">
        <f>IF($A69="","",INDEX(Households!$C$5:$C$154,$N69)&amp;" – "&amp;INDEX(Households!$D$5:$D$154,$N69))</f>
        <v/>
      </c>
      <c r="E69" s="25" t="str">
        <f>IF($A69="","",INDEX(Households!$X$5:$X$154,$N69))</f>
        <v/>
      </c>
      <c r="F69" s="24" t="str">
        <f>IF($A69="","",INDEX(Households!$AE$5:$AE$154,$N69))</f>
        <v/>
      </c>
      <c r="G69" s="24" t="str">
        <f>IF($A69="","",IF(INDEX(Households!$AA$5:$AA$154,$N69)&gt;0,INDEX(Households!$AA$5:$AA$154,$N69),""))</f>
        <v/>
      </c>
      <c r="H69" s="25" t="str">
        <f>IF($A69="","",IF(INDEX(Households!$AB$5:$AB$154,$N69)="Referral needed","Referral needed",""))</f>
        <v/>
      </c>
      <c r="I69" s="25" t="str">
        <f>IF($A69="","",INDEX(Households!$AC$5:$AC$154,$N69))</f>
        <v/>
      </c>
      <c r="J69" s="25" t="str">
        <f>IF($A69="","",INDEX(Households!$AD$5:$AD$154,$N69))</f>
        <v/>
      </c>
      <c r="K69" s="25" t="str">
        <f>IF($A69="","",INDEX(Households!$Y$5:$Y$154,$N69))</f>
        <v/>
      </c>
      <c r="L69" s="26" t="str">
        <f t="shared" ref="L69:L100" si="5">IF($A69="","",SUBSTITUTE(IF(N(G69)&gt;0,"Chase overdue referral with the service provider; ","")&amp;IF(H69="Referral needed","Make the IYCF referral to the nutrition partner; ","")&amp;IF(I69="Yes","Confirm tent replacement with the shelter partner; ","")&amp;IF(J69="Yes","Check the household shelter repair; ","")&amp;IF(K69="Yes","Re-verify the household (new Kobo submission); ","")&amp;"|","; |",""))</f>
        <v/>
      </c>
      <c r="M69" s="27" t="str">
        <f>IF($A69="","",LARGE(Households!$AF$5:$AF$154,$A69))</f>
        <v/>
      </c>
      <c r="N69" s="24" t="str">
        <f>IF($A69="","",MATCH($M69,Households!$AF$5:$AF$154,0))</f>
        <v/>
      </c>
    </row>
    <row r="70" spans="1:14" x14ac:dyDescent="0.3">
      <c r="A70" s="24" t="str">
        <f t="shared" si="4"/>
        <v/>
      </c>
      <c r="B70" s="24" t="str">
        <f>IF($A70="","",INDEX(Households!$A$5:$A$154,$N70))</f>
        <v/>
      </c>
      <c r="C70" s="24" t="str">
        <f>IF($A70="","",INDEX(Households!$B$5:$B$154,$N70))</f>
        <v/>
      </c>
      <c r="D70" s="24" t="str">
        <f>IF($A70="","",INDEX(Households!$C$5:$C$154,$N70)&amp;" – "&amp;INDEX(Households!$D$5:$D$154,$N70))</f>
        <v/>
      </c>
      <c r="E70" s="25" t="str">
        <f>IF($A70="","",INDEX(Households!$X$5:$X$154,$N70))</f>
        <v/>
      </c>
      <c r="F70" s="24" t="str">
        <f>IF($A70="","",INDEX(Households!$AE$5:$AE$154,$N70))</f>
        <v/>
      </c>
      <c r="G70" s="24" t="str">
        <f>IF($A70="","",IF(INDEX(Households!$AA$5:$AA$154,$N70)&gt;0,INDEX(Households!$AA$5:$AA$154,$N70),""))</f>
        <v/>
      </c>
      <c r="H70" s="25" t="str">
        <f>IF($A70="","",IF(INDEX(Households!$AB$5:$AB$154,$N70)="Referral needed","Referral needed",""))</f>
        <v/>
      </c>
      <c r="I70" s="25" t="str">
        <f>IF($A70="","",INDEX(Households!$AC$5:$AC$154,$N70))</f>
        <v/>
      </c>
      <c r="J70" s="25" t="str">
        <f>IF($A70="","",INDEX(Households!$AD$5:$AD$154,$N70))</f>
        <v/>
      </c>
      <c r="K70" s="25" t="str">
        <f>IF($A70="","",INDEX(Households!$Y$5:$Y$154,$N70))</f>
        <v/>
      </c>
      <c r="L70" s="26" t="str">
        <f t="shared" si="5"/>
        <v/>
      </c>
      <c r="M70" s="27" t="str">
        <f>IF($A70="","",LARGE(Households!$AF$5:$AF$154,$A70))</f>
        <v/>
      </c>
      <c r="N70" s="24" t="str">
        <f>IF($A70="","",MATCH($M70,Households!$AF$5:$AF$154,0))</f>
        <v/>
      </c>
    </row>
    <row r="71" spans="1:14" x14ac:dyDescent="0.3">
      <c r="A71" s="24" t="str">
        <f t="shared" si="4"/>
        <v/>
      </c>
      <c r="B71" s="24" t="str">
        <f>IF($A71="","",INDEX(Households!$A$5:$A$154,$N71))</f>
        <v/>
      </c>
      <c r="C71" s="24" t="str">
        <f>IF($A71="","",INDEX(Households!$B$5:$B$154,$N71))</f>
        <v/>
      </c>
      <c r="D71" s="24" t="str">
        <f>IF($A71="","",INDEX(Households!$C$5:$C$154,$N71)&amp;" – "&amp;INDEX(Households!$D$5:$D$154,$N71))</f>
        <v/>
      </c>
      <c r="E71" s="25" t="str">
        <f>IF($A71="","",INDEX(Households!$X$5:$X$154,$N71))</f>
        <v/>
      </c>
      <c r="F71" s="24" t="str">
        <f>IF($A71="","",INDEX(Households!$AE$5:$AE$154,$N71))</f>
        <v/>
      </c>
      <c r="G71" s="24" t="str">
        <f>IF($A71="","",IF(INDEX(Households!$AA$5:$AA$154,$N71)&gt;0,INDEX(Households!$AA$5:$AA$154,$N71),""))</f>
        <v/>
      </c>
      <c r="H71" s="25" t="str">
        <f>IF($A71="","",IF(INDEX(Households!$AB$5:$AB$154,$N71)="Referral needed","Referral needed",""))</f>
        <v/>
      </c>
      <c r="I71" s="25" t="str">
        <f>IF($A71="","",INDEX(Households!$AC$5:$AC$154,$N71))</f>
        <v/>
      </c>
      <c r="J71" s="25" t="str">
        <f>IF($A71="","",INDEX(Households!$AD$5:$AD$154,$N71))</f>
        <v/>
      </c>
      <c r="K71" s="25" t="str">
        <f>IF($A71="","",INDEX(Households!$Y$5:$Y$154,$N71))</f>
        <v/>
      </c>
      <c r="L71" s="26" t="str">
        <f t="shared" si="5"/>
        <v/>
      </c>
      <c r="M71" s="27" t="str">
        <f>IF($A71="","",LARGE(Households!$AF$5:$AF$154,$A71))</f>
        <v/>
      </c>
      <c r="N71" s="24" t="str">
        <f>IF($A71="","",MATCH($M71,Households!$AF$5:$AF$154,0))</f>
        <v/>
      </c>
    </row>
    <row r="72" spans="1:14" x14ac:dyDescent="0.3">
      <c r="A72" s="24" t="str">
        <f t="shared" si="4"/>
        <v/>
      </c>
      <c r="B72" s="24" t="str">
        <f>IF($A72="","",INDEX(Households!$A$5:$A$154,$N72))</f>
        <v/>
      </c>
      <c r="C72" s="24" t="str">
        <f>IF($A72="","",INDEX(Households!$B$5:$B$154,$N72))</f>
        <v/>
      </c>
      <c r="D72" s="24" t="str">
        <f>IF($A72="","",INDEX(Households!$C$5:$C$154,$N72)&amp;" – "&amp;INDEX(Households!$D$5:$D$154,$N72))</f>
        <v/>
      </c>
      <c r="E72" s="25" t="str">
        <f>IF($A72="","",INDEX(Households!$X$5:$X$154,$N72))</f>
        <v/>
      </c>
      <c r="F72" s="24" t="str">
        <f>IF($A72="","",INDEX(Households!$AE$5:$AE$154,$N72))</f>
        <v/>
      </c>
      <c r="G72" s="24" t="str">
        <f>IF($A72="","",IF(INDEX(Households!$AA$5:$AA$154,$N72)&gt;0,INDEX(Households!$AA$5:$AA$154,$N72),""))</f>
        <v/>
      </c>
      <c r="H72" s="25" t="str">
        <f>IF($A72="","",IF(INDEX(Households!$AB$5:$AB$154,$N72)="Referral needed","Referral needed",""))</f>
        <v/>
      </c>
      <c r="I72" s="25" t="str">
        <f>IF($A72="","",INDEX(Households!$AC$5:$AC$154,$N72))</f>
        <v/>
      </c>
      <c r="J72" s="25" t="str">
        <f>IF($A72="","",INDEX(Households!$AD$5:$AD$154,$N72))</f>
        <v/>
      </c>
      <c r="K72" s="25" t="str">
        <f>IF($A72="","",INDEX(Households!$Y$5:$Y$154,$N72))</f>
        <v/>
      </c>
      <c r="L72" s="26" t="str">
        <f t="shared" si="5"/>
        <v/>
      </c>
      <c r="M72" s="27" t="str">
        <f>IF($A72="","",LARGE(Households!$AF$5:$AF$154,$A72))</f>
        <v/>
      </c>
      <c r="N72" s="24" t="str">
        <f>IF($A72="","",MATCH($M72,Households!$AF$5:$AF$154,0))</f>
        <v/>
      </c>
    </row>
    <row r="73" spans="1:14" x14ac:dyDescent="0.3">
      <c r="A73" s="24" t="str">
        <f t="shared" si="4"/>
        <v/>
      </c>
      <c r="B73" s="24" t="str">
        <f>IF($A73="","",INDEX(Households!$A$5:$A$154,$N73))</f>
        <v/>
      </c>
      <c r="C73" s="24" t="str">
        <f>IF($A73="","",INDEX(Households!$B$5:$B$154,$N73))</f>
        <v/>
      </c>
      <c r="D73" s="24" t="str">
        <f>IF($A73="","",INDEX(Households!$C$5:$C$154,$N73)&amp;" – "&amp;INDEX(Households!$D$5:$D$154,$N73))</f>
        <v/>
      </c>
      <c r="E73" s="25" t="str">
        <f>IF($A73="","",INDEX(Households!$X$5:$X$154,$N73))</f>
        <v/>
      </c>
      <c r="F73" s="24" t="str">
        <f>IF($A73="","",INDEX(Households!$AE$5:$AE$154,$N73))</f>
        <v/>
      </c>
      <c r="G73" s="24" t="str">
        <f>IF($A73="","",IF(INDEX(Households!$AA$5:$AA$154,$N73)&gt;0,INDEX(Households!$AA$5:$AA$154,$N73),""))</f>
        <v/>
      </c>
      <c r="H73" s="25" t="str">
        <f>IF($A73="","",IF(INDEX(Households!$AB$5:$AB$154,$N73)="Referral needed","Referral needed",""))</f>
        <v/>
      </c>
      <c r="I73" s="25" t="str">
        <f>IF($A73="","",INDEX(Households!$AC$5:$AC$154,$N73))</f>
        <v/>
      </c>
      <c r="J73" s="25" t="str">
        <f>IF($A73="","",INDEX(Households!$AD$5:$AD$154,$N73))</f>
        <v/>
      </c>
      <c r="K73" s="25" t="str">
        <f>IF($A73="","",INDEX(Households!$Y$5:$Y$154,$N73))</f>
        <v/>
      </c>
      <c r="L73" s="26" t="str">
        <f t="shared" si="5"/>
        <v/>
      </c>
      <c r="M73" s="27" t="str">
        <f>IF($A73="","",LARGE(Households!$AF$5:$AF$154,$A73))</f>
        <v/>
      </c>
      <c r="N73" s="24" t="str">
        <f>IF($A73="","",MATCH($M73,Households!$AF$5:$AF$154,0))</f>
        <v/>
      </c>
    </row>
    <row r="74" spans="1:14" x14ac:dyDescent="0.3">
      <c r="A74" s="24" t="str">
        <f t="shared" si="4"/>
        <v/>
      </c>
      <c r="B74" s="24" t="str">
        <f>IF($A74="","",INDEX(Households!$A$5:$A$154,$N74))</f>
        <v/>
      </c>
      <c r="C74" s="24" t="str">
        <f>IF($A74="","",INDEX(Households!$B$5:$B$154,$N74))</f>
        <v/>
      </c>
      <c r="D74" s="24" t="str">
        <f>IF($A74="","",INDEX(Households!$C$5:$C$154,$N74)&amp;" – "&amp;INDEX(Households!$D$5:$D$154,$N74))</f>
        <v/>
      </c>
      <c r="E74" s="25" t="str">
        <f>IF($A74="","",INDEX(Households!$X$5:$X$154,$N74))</f>
        <v/>
      </c>
      <c r="F74" s="24" t="str">
        <f>IF($A74="","",INDEX(Households!$AE$5:$AE$154,$N74))</f>
        <v/>
      </c>
      <c r="G74" s="24" t="str">
        <f>IF($A74="","",IF(INDEX(Households!$AA$5:$AA$154,$N74)&gt;0,INDEX(Households!$AA$5:$AA$154,$N74),""))</f>
        <v/>
      </c>
      <c r="H74" s="25" t="str">
        <f>IF($A74="","",IF(INDEX(Households!$AB$5:$AB$154,$N74)="Referral needed","Referral needed",""))</f>
        <v/>
      </c>
      <c r="I74" s="25" t="str">
        <f>IF($A74="","",INDEX(Households!$AC$5:$AC$154,$N74))</f>
        <v/>
      </c>
      <c r="J74" s="25" t="str">
        <f>IF($A74="","",INDEX(Households!$AD$5:$AD$154,$N74))</f>
        <v/>
      </c>
      <c r="K74" s="25" t="str">
        <f>IF($A74="","",INDEX(Households!$Y$5:$Y$154,$N74))</f>
        <v/>
      </c>
      <c r="L74" s="26" t="str">
        <f t="shared" si="5"/>
        <v/>
      </c>
      <c r="M74" s="27" t="str">
        <f>IF($A74="","",LARGE(Households!$AF$5:$AF$154,$A74))</f>
        <v/>
      </c>
      <c r="N74" s="24" t="str">
        <f>IF($A74="","",MATCH($M74,Households!$AF$5:$AF$154,0))</f>
        <v/>
      </c>
    </row>
    <row r="75" spans="1:14" x14ac:dyDescent="0.3">
      <c r="A75" s="24" t="str">
        <f t="shared" si="4"/>
        <v/>
      </c>
      <c r="B75" s="24" t="str">
        <f>IF($A75="","",INDEX(Households!$A$5:$A$154,$N75))</f>
        <v/>
      </c>
      <c r="C75" s="24" t="str">
        <f>IF($A75="","",INDEX(Households!$B$5:$B$154,$N75))</f>
        <v/>
      </c>
      <c r="D75" s="24" t="str">
        <f>IF($A75="","",INDEX(Households!$C$5:$C$154,$N75)&amp;" – "&amp;INDEX(Households!$D$5:$D$154,$N75))</f>
        <v/>
      </c>
      <c r="E75" s="25" t="str">
        <f>IF($A75="","",INDEX(Households!$X$5:$X$154,$N75))</f>
        <v/>
      </c>
      <c r="F75" s="24" t="str">
        <f>IF($A75="","",INDEX(Households!$AE$5:$AE$154,$N75))</f>
        <v/>
      </c>
      <c r="G75" s="24" t="str">
        <f>IF($A75="","",IF(INDEX(Households!$AA$5:$AA$154,$N75)&gt;0,INDEX(Households!$AA$5:$AA$154,$N75),""))</f>
        <v/>
      </c>
      <c r="H75" s="25" t="str">
        <f>IF($A75="","",IF(INDEX(Households!$AB$5:$AB$154,$N75)="Referral needed","Referral needed",""))</f>
        <v/>
      </c>
      <c r="I75" s="25" t="str">
        <f>IF($A75="","",INDEX(Households!$AC$5:$AC$154,$N75))</f>
        <v/>
      </c>
      <c r="J75" s="25" t="str">
        <f>IF($A75="","",INDEX(Households!$AD$5:$AD$154,$N75))</f>
        <v/>
      </c>
      <c r="K75" s="25" t="str">
        <f>IF($A75="","",INDEX(Households!$Y$5:$Y$154,$N75))</f>
        <v/>
      </c>
      <c r="L75" s="26" t="str">
        <f t="shared" si="5"/>
        <v/>
      </c>
      <c r="M75" s="27" t="str">
        <f>IF($A75="","",LARGE(Households!$AF$5:$AF$154,$A75))</f>
        <v/>
      </c>
      <c r="N75" s="24" t="str">
        <f>IF($A75="","",MATCH($M75,Households!$AF$5:$AF$154,0))</f>
        <v/>
      </c>
    </row>
    <row r="76" spans="1:14" x14ac:dyDescent="0.3">
      <c r="A76" s="24" t="str">
        <f t="shared" si="4"/>
        <v/>
      </c>
      <c r="B76" s="24" t="str">
        <f>IF($A76="","",INDEX(Households!$A$5:$A$154,$N76))</f>
        <v/>
      </c>
      <c r="C76" s="24" t="str">
        <f>IF($A76="","",INDEX(Households!$B$5:$B$154,$N76))</f>
        <v/>
      </c>
      <c r="D76" s="24" t="str">
        <f>IF($A76="","",INDEX(Households!$C$5:$C$154,$N76)&amp;" – "&amp;INDEX(Households!$D$5:$D$154,$N76))</f>
        <v/>
      </c>
      <c r="E76" s="25" t="str">
        <f>IF($A76="","",INDEX(Households!$X$5:$X$154,$N76))</f>
        <v/>
      </c>
      <c r="F76" s="24" t="str">
        <f>IF($A76="","",INDEX(Households!$AE$5:$AE$154,$N76))</f>
        <v/>
      </c>
      <c r="G76" s="24" t="str">
        <f>IF($A76="","",IF(INDEX(Households!$AA$5:$AA$154,$N76)&gt;0,INDEX(Households!$AA$5:$AA$154,$N76),""))</f>
        <v/>
      </c>
      <c r="H76" s="25" t="str">
        <f>IF($A76="","",IF(INDEX(Households!$AB$5:$AB$154,$N76)="Referral needed","Referral needed",""))</f>
        <v/>
      </c>
      <c r="I76" s="25" t="str">
        <f>IF($A76="","",INDEX(Households!$AC$5:$AC$154,$N76))</f>
        <v/>
      </c>
      <c r="J76" s="25" t="str">
        <f>IF($A76="","",INDEX(Households!$AD$5:$AD$154,$N76))</f>
        <v/>
      </c>
      <c r="K76" s="25" t="str">
        <f>IF($A76="","",INDEX(Households!$Y$5:$Y$154,$N76))</f>
        <v/>
      </c>
      <c r="L76" s="26" t="str">
        <f t="shared" si="5"/>
        <v/>
      </c>
      <c r="M76" s="27" t="str">
        <f>IF($A76="","",LARGE(Households!$AF$5:$AF$154,$A76))</f>
        <v/>
      </c>
      <c r="N76" s="24" t="str">
        <f>IF($A76="","",MATCH($M76,Households!$AF$5:$AF$154,0))</f>
        <v/>
      </c>
    </row>
    <row r="77" spans="1:14" x14ac:dyDescent="0.3">
      <c r="A77" s="24" t="str">
        <f t="shared" si="4"/>
        <v/>
      </c>
      <c r="B77" s="24" t="str">
        <f>IF($A77="","",INDEX(Households!$A$5:$A$154,$N77))</f>
        <v/>
      </c>
      <c r="C77" s="24" t="str">
        <f>IF($A77="","",INDEX(Households!$B$5:$B$154,$N77))</f>
        <v/>
      </c>
      <c r="D77" s="24" t="str">
        <f>IF($A77="","",INDEX(Households!$C$5:$C$154,$N77)&amp;" – "&amp;INDEX(Households!$D$5:$D$154,$N77))</f>
        <v/>
      </c>
      <c r="E77" s="25" t="str">
        <f>IF($A77="","",INDEX(Households!$X$5:$X$154,$N77))</f>
        <v/>
      </c>
      <c r="F77" s="24" t="str">
        <f>IF($A77="","",INDEX(Households!$AE$5:$AE$154,$N77))</f>
        <v/>
      </c>
      <c r="G77" s="24" t="str">
        <f>IF($A77="","",IF(INDEX(Households!$AA$5:$AA$154,$N77)&gt;0,INDEX(Households!$AA$5:$AA$154,$N77),""))</f>
        <v/>
      </c>
      <c r="H77" s="25" t="str">
        <f>IF($A77="","",IF(INDEX(Households!$AB$5:$AB$154,$N77)="Referral needed","Referral needed",""))</f>
        <v/>
      </c>
      <c r="I77" s="25" t="str">
        <f>IF($A77="","",INDEX(Households!$AC$5:$AC$154,$N77))</f>
        <v/>
      </c>
      <c r="J77" s="25" t="str">
        <f>IF($A77="","",INDEX(Households!$AD$5:$AD$154,$N77))</f>
        <v/>
      </c>
      <c r="K77" s="25" t="str">
        <f>IF($A77="","",INDEX(Households!$Y$5:$Y$154,$N77))</f>
        <v/>
      </c>
      <c r="L77" s="26" t="str">
        <f t="shared" si="5"/>
        <v/>
      </c>
      <c r="M77" s="27" t="str">
        <f>IF($A77="","",LARGE(Households!$AF$5:$AF$154,$A77))</f>
        <v/>
      </c>
      <c r="N77" s="24" t="str">
        <f>IF($A77="","",MATCH($M77,Households!$AF$5:$AF$154,0))</f>
        <v/>
      </c>
    </row>
    <row r="78" spans="1:14" x14ac:dyDescent="0.3">
      <c r="A78" s="24" t="str">
        <f t="shared" si="4"/>
        <v/>
      </c>
      <c r="B78" s="24" t="str">
        <f>IF($A78="","",INDEX(Households!$A$5:$A$154,$N78))</f>
        <v/>
      </c>
      <c r="C78" s="24" t="str">
        <f>IF($A78="","",INDEX(Households!$B$5:$B$154,$N78))</f>
        <v/>
      </c>
      <c r="D78" s="24" t="str">
        <f>IF($A78="","",INDEX(Households!$C$5:$C$154,$N78)&amp;" – "&amp;INDEX(Households!$D$5:$D$154,$N78))</f>
        <v/>
      </c>
      <c r="E78" s="25" t="str">
        <f>IF($A78="","",INDEX(Households!$X$5:$X$154,$N78))</f>
        <v/>
      </c>
      <c r="F78" s="24" t="str">
        <f>IF($A78="","",INDEX(Households!$AE$5:$AE$154,$N78))</f>
        <v/>
      </c>
      <c r="G78" s="24" t="str">
        <f>IF($A78="","",IF(INDEX(Households!$AA$5:$AA$154,$N78)&gt;0,INDEX(Households!$AA$5:$AA$154,$N78),""))</f>
        <v/>
      </c>
      <c r="H78" s="25" t="str">
        <f>IF($A78="","",IF(INDEX(Households!$AB$5:$AB$154,$N78)="Referral needed","Referral needed",""))</f>
        <v/>
      </c>
      <c r="I78" s="25" t="str">
        <f>IF($A78="","",INDEX(Households!$AC$5:$AC$154,$N78))</f>
        <v/>
      </c>
      <c r="J78" s="25" t="str">
        <f>IF($A78="","",INDEX(Households!$AD$5:$AD$154,$N78))</f>
        <v/>
      </c>
      <c r="K78" s="25" t="str">
        <f>IF($A78="","",INDEX(Households!$Y$5:$Y$154,$N78))</f>
        <v/>
      </c>
      <c r="L78" s="26" t="str">
        <f t="shared" si="5"/>
        <v/>
      </c>
      <c r="M78" s="27" t="str">
        <f>IF($A78="","",LARGE(Households!$AF$5:$AF$154,$A78))</f>
        <v/>
      </c>
      <c r="N78" s="24" t="str">
        <f>IF($A78="","",MATCH($M78,Households!$AF$5:$AF$154,0))</f>
        <v/>
      </c>
    </row>
    <row r="79" spans="1:14" x14ac:dyDescent="0.3">
      <c r="A79" s="24" t="str">
        <f t="shared" si="4"/>
        <v/>
      </c>
      <c r="B79" s="24" t="str">
        <f>IF($A79="","",INDEX(Households!$A$5:$A$154,$N79))</f>
        <v/>
      </c>
      <c r="C79" s="24" t="str">
        <f>IF($A79="","",INDEX(Households!$B$5:$B$154,$N79))</f>
        <v/>
      </c>
      <c r="D79" s="24" t="str">
        <f>IF($A79="","",INDEX(Households!$C$5:$C$154,$N79)&amp;" – "&amp;INDEX(Households!$D$5:$D$154,$N79))</f>
        <v/>
      </c>
      <c r="E79" s="25" t="str">
        <f>IF($A79="","",INDEX(Households!$X$5:$X$154,$N79))</f>
        <v/>
      </c>
      <c r="F79" s="24" t="str">
        <f>IF($A79="","",INDEX(Households!$AE$5:$AE$154,$N79))</f>
        <v/>
      </c>
      <c r="G79" s="24" t="str">
        <f>IF($A79="","",IF(INDEX(Households!$AA$5:$AA$154,$N79)&gt;0,INDEX(Households!$AA$5:$AA$154,$N79),""))</f>
        <v/>
      </c>
      <c r="H79" s="25" t="str">
        <f>IF($A79="","",IF(INDEX(Households!$AB$5:$AB$154,$N79)="Referral needed","Referral needed",""))</f>
        <v/>
      </c>
      <c r="I79" s="25" t="str">
        <f>IF($A79="","",INDEX(Households!$AC$5:$AC$154,$N79))</f>
        <v/>
      </c>
      <c r="J79" s="25" t="str">
        <f>IF($A79="","",INDEX(Households!$AD$5:$AD$154,$N79))</f>
        <v/>
      </c>
      <c r="K79" s="25" t="str">
        <f>IF($A79="","",INDEX(Households!$Y$5:$Y$154,$N79))</f>
        <v/>
      </c>
      <c r="L79" s="26" t="str">
        <f t="shared" si="5"/>
        <v/>
      </c>
      <c r="M79" s="27" t="str">
        <f>IF($A79="","",LARGE(Households!$AF$5:$AF$154,$A79))</f>
        <v/>
      </c>
      <c r="N79" s="24" t="str">
        <f>IF($A79="","",MATCH($M79,Households!$AF$5:$AF$154,0))</f>
        <v/>
      </c>
    </row>
    <row r="80" spans="1:14" x14ac:dyDescent="0.3">
      <c r="A80" s="24" t="str">
        <f t="shared" si="4"/>
        <v/>
      </c>
      <c r="B80" s="24" t="str">
        <f>IF($A80="","",INDEX(Households!$A$5:$A$154,$N80))</f>
        <v/>
      </c>
      <c r="C80" s="24" t="str">
        <f>IF($A80="","",INDEX(Households!$B$5:$B$154,$N80))</f>
        <v/>
      </c>
      <c r="D80" s="24" t="str">
        <f>IF($A80="","",INDEX(Households!$C$5:$C$154,$N80)&amp;" – "&amp;INDEX(Households!$D$5:$D$154,$N80))</f>
        <v/>
      </c>
      <c r="E80" s="25" t="str">
        <f>IF($A80="","",INDEX(Households!$X$5:$X$154,$N80))</f>
        <v/>
      </c>
      <c r="F80" s="24" t="str">
        <f>IF($A80="","",INDEX(Households!$AE$5:$AE$154,$N80))</f>
        <v/>
      </c>
      <c r="G80" s="24" t="str">
        <f>IF($A80="","",IF(INDEX(Households!$AA$5:$AA$154,$N80)&gt;0,INDEX(Households!$AA$5:$AA$154,$N80),""))</f>
        <v/>
      </c>
      <c r="H80" s="25" t="str">
        <f>IF($A80="","",IF(INDEX(Households!$AB$5:$AB$154,$N80)="Referral needed","Referral needed",""))</f>
        <v/>
      </c>
      <c r="I80" s="25" t="str">
        <f>IF($A80="","",INDEX(Households!$AC$5:$AC$154,$N80))</f>
        <v/>
      </c>
      <c r="J80" s="25" t="str">
        <f>IF($A80="","",INDEX(Households!$AD$5:$AD$154,$N80))</f>
        <v/>
      </c>
      <c r="K80" s="25" t="str">
        <f>IF($A80="","",INDEX(Households!$Y$5:$Y$154,$N80))</f>
        <v/>
      </c>
      <c r="L80" s="26" t="str">
        <f t="shared" si="5"/>
        <v/>
      </c>
      <c r="M80" s="27" t="str">
        <f>IF($A80="","",LARGE(Households!$AF$5:$AF$154,$A80))</f>
        <v/>
      </c>
      <c r="N80" s="24" t="str">
        <f>IF($A80="","",MATCH($M80,Households!$AF$5:$AF$154,0))</f>
        <v/>
      </c>
    </row>
    <row r="81" spans="1:14" x14ac:dyDescent="0.3">
      <c r="A81" s="24" t="str">
        <f t="shared" si="4"/>
        <v/>
      </c>
      <c r="B81" s="24" t="str">
        <f>IF($A81="","",INDEX(Households!$A$5:$A$154,$N81))</f>
        <v/>
      </c>
      <c r="C81" s="24" t="str">
        <f>IF($A81="","",INDEX(Households!$B$5:$B$154,$N81))</f>
        <v/>
      </c>
      <c r="D81" s="24" t="str">
        <f>IF($A81="","",INDEX(Households!$C$5:$C$154,$N81)&amp;" – "&amp;INDEX(Households!$D$5:$D$154,$N81))</f>
        <v/>
      </c>
      <c r="E81" s="25" t="str">
        <f>IF($A81="","",INDEX(Households!$X$5:$X$154,$N81))</f>
        <v/>
      </c>
      <c r="F81" s="24" t="str">
        <f>IF($A81="","",INDEX(Households!$AE$5:$AE$154,$N81))</f>
        <v/>
      </c>
      <c r="G81" s="24" t="str">
        <f>IF($A81="","",IF(INDEX(Households!$AA$5:$AA$154,$N81)&gt;0,INDEX(Households!$AA$5:$AA$154,$N81),""))</f>
        <v/>
      </c>
      <c r="H81" s="25" t="str">
        <f>IF($A81="","",IF(INDEX(Households!$AB$5:$AB$154,$N81)="Referral needed","Referral needed",""))</f>
        <v/>
      </c>
      <c r="I81" s="25" t="str">
        <f>IF($A81="","",INDEX(Households!$AC$5:$AC$154,$N81))</f>
        <v/>
      </c>
      <c r="J81" s="25" t="str">
        <f>IF($A81="","",INDEX(Households!$AD$5:$AD$154,$N81))</f>
        <v/>
      </c>
      <c r="K81" s="25" t="str">
        <f>IF($A81="","",INDEX(Households!$Y$5:$Y$154,$N81))</f>
        <v/>
      </c>
      <c r="L81" s="26" t="str">
        <f t="shared" si="5"/>
        <v/>
      </c>
      <c r="M81" s="27" t="str">
        <f>IF($A81="","",LARGE(Households!$AF$5:$AF$154,$A81))</f>
        <v/>
      </c>
      <c r="N81" s="24" t="str">
        <f>IF($A81="","",MATCH($M81,Households!$AF$5:$AF$154,0))</f>
        <v/>
      </c>
    </row>
    <row r="82" spans="1:14" x14ac:dyDescent="0.3">
      <c r="A82" s="24" t="str">
        <f t="shared" si="4"/>
        <v/>
      </c>
      <c r="B82" s="24" t="str">
        <f>IF($A82="","",INDEX(Households!$A$5:$A$154,$N82))</f>
        <v/>
      </c>
      <c r="C82" s="24" t="str">
        <f>IF($A82="","",INDEX(Households!$B$5:$B$154,$N82))</f>
        <v/>
      </c>
      <c r="D82" s="24" t="str">
        <f>IF($A82="","",INDEX(Households!$C$5:$C$154,$N82)&amp;" – "&amp;INDEX(Households!$D$5:$D$154,$N82))</f>
        <v/>
      </c>
      <c r="E82" s="25" t="str">
        <f>IF($A82="","",INDEX(Households!$X$5:$X$154,$N82))</f>
        <v/>
      </c>
      <c r="F82" s="24" t="str">
        <f>IF($A82="","",INDEX(Households!$AE$5:$AE$154,$N82))</f>
        <v/>
      </c>
      <c r="G82" s="24" t="str">
        <f>IF($A82="","",IF(INDEX(Households!$AA$5:$AA$154,$N82)&gt;0,INDEX(Households!$AA$5:$AA$154,$N82),""))</f>
        <v/>
      </c>
      <c r="H82" s="25" t="str">
        <f>IF($A82="","",IF(INDEX(Households!$AB$5:$AB$154,$N82)="Referral needed","Referral needed",""))</f>
        <v/>
      </c>
      <c r="I82" s="25" t="str">
        <f>IF($A82="","",INDEX(Households!$AC$5:$AC$154,$N82))</f>
        <v/>
      </c>
      <c r="J82" s="25" t="str">
        <f>IF($A82="","",INDEX(Households!$AD$5:$AD$154,$N82))</f>
        <v/>
      </c>
      <c r="K82" s="25" t="str">
        <f>IF($A82="","",INDEX(Households!$Y$5:$Y$154,$N82))</f>
        <v/>
      </c>
      <c r="L82" s="26" t="str">
        <f t="shared" si="5"/>
        <v/>
      </c>
      <c r="M82" s="27" t="str">
        <f>IF($A82="","",LARGE(Households!$AF$5:$AF$154,$A82))</f>
        <v/>
      </c>
      <c r="N82" s="24" t="str">
        <f>IF($A82="","",MATCH($M82,Households!$AF$5:$AF$154,0))</f>
        <v/>
      </c>
    </row>
    <row r="83" spans="1:14" x14ac:dyDescent="0.3">
      <c r="A83" s="24" t="str">
        <f t="shared" si="4"/>
        <v/>
      </c>
      <c r="B83" s="24" t="str">
        <f>IF($A83="","",INDEX(Households!$A$5:$A$154,$N83))</f>
        <v/>
      </c>
      <c r="C83" s="24" t="str">
        <f>IF($A83="","",INDEX(Households!$B$5:$B$154,$N83))</f>
        <v/>
      </c>
      <c r="D83" s="24" t="str">
        <f>IF($A83="","",INDEX(Households!$C$5:$C$154,$N83)&amp;" – "&amp;INDEX(Households!$D$5:$D$154,$N83))</f>
        <v/>
      </c>
      <c r="E83" s="25" t="str">
        <f>IF($A83="","",INDEX(Households!$X$5:$X$154,$N83))</f>
        <v/>
      </c>
      <c r="F83" s="24" t="str">
        <f>IF($A83="","",INDEX(Households!$AE$5:$AE$154,$N83))</f>
        <v/>
      </c>
      <c r="G83" s="24" t="str">
        <f>IF($A83="","",IF(INDEX(Households!$AA$5:$AA$154,$N83)&gt;0,INDEX(Households!$AA$5:$AA$154,$N83),""))</f>
        <v/>
      </c>
      <c r="H83" s="25" t="str">
        <f>IF($A83="","",IF(INDEX(Households!$AB$5:$AB$154,$N83)="Referral needed","Referral needed",""))</f>
        <v/>
      </c>
      <c r="I83" s="25" t="str">
        <f>IF($A83="","",INDEX(Households!$AC$5:$AC$154,$N83))</f>
        <v/>
      </c>
      <c r="J83" s="25" t="str">
        <f>IF($A83="","",INDEX(Households!$AD$5:$AD$154,$N83))</f>
        <v/>
      </c>
      <c r="K83" s="25" t="str">
        <f>IF($A83="","",INDEX(Households!$Y$5:$Y$154,$N83))</f>
        <v/>
      </c>
      <c r="L83" s="26" t="str">
        <f t="shared" si="5"/>
        <v/>
      </c>
      <c r="M83" s="27" t="str">
        <f>IF($A83="","",LARGE(Households!$AF$5:$AF$154,$A83))</f>
        <v/>
      </c>
      <c r="N83" s="24" t="str">
        <f>IF($A83="","",MATCH($M83,Households!$AF$5:$AF$154,0))</f>
        <v/>
      </c>
    </row>
    <row r="84" spans="1:14" x14ac:dyDescent="0.3">
      <c r="A84" s="24" t="str">
        <f t="shared" si="4"/>
        <v/>
      </c>
      <c r="B84" s="24" t="str">
        <f>IF($A84="","",INDEX(Households!$A$5:$A$154,$N84))</f>
        <v/>
      </c>
      <c r="C84" s="24" t="str">
        <f>IF($A84="","",INDEX(Households!$B$5:$B$154,$N84))</f>
        <v/>
      </c>
      <c r="D84" s="24" t="str">
        <f>IF($A84="","",INDEX(Households!$C$5:$C$154,$N84)&amp;" – "&amp;INDEX(Households!$D$5:$D$154,$N84))</f>
        <v/>
      </c>
      <c r="E84" s="25" t="str">
        <f>IF($A84="","",INDEX(Households!$X$5:$X$154,$N84))</f>
        <v/>
      </c>
      <c r="F84" s="24" t="str">
        <f>IF($A84="","",INDEX(Households!$AE$5:$AE$154,$N84))</f>
        <v/>
      </c>
      <c r="G84" s="24" t="str">
        <f>IF($A84="","",IF(INDEX(Households!$AA$5:$AA$154,$N84)&gt;0,INDEX(Households!$AA$5:$AA$154,$N84),""))</f>
        <v/>
      </c>
      <c r="H84" s="25" t="str">
        <f>IF($A84="","",IF(INDEX(Households!$AB$5:$AB$154,$N84)="Referral needed","Referral needed",""))</f>
        <v/>
      </c>
      <c r="I84" s="25" t="str">
        <f>IF($A84="","",INDEX(Households!$AC$5:$AC$154,$N84))</f>
        <v/>
      </c>
      <c r="J84" s="25" t="str">
        <f>IF($A84="","",INDEX(Households!$AD$5:$AD$154,$N84))</f>
        <v/>
      </c>
      <c r="K84" s="25" t="str">
        <f>IF($A84="","",INDEX(Households!$Y$5:$Y$154,$N84))</f>
        <v/>
      </c>
      <c r="L84" s="26" t="str">
        <f t="shared" si="5"/>
        <v/>
      </c>
      <c r="M84" s="27" t="str">
        <f>IF($A84="","",LARGE(Households!$AF$5:$AF$154,$A84))</f>
        <v/>
      </c>
      <c r="N84" s="24" t="str">
        <f>IF($A84="","",MATCH($M84,Households!$AF$5:$AF$154,0))</f>
        <v/>
      </c>
    </row>
    <row r="85" spans="1:14" x14ac:dyDescent="0.3">
      <c r="A85" s="24" t="str">
        <f t="shared" si="4"/>
        <v/>
      </c>
      <c r="B85" s="24" t="str">
        <f>IF($A85="","",INDEX(Households!$A$5:$A$154,$N85))</f>
        <v/>
      </c>
      <c r="C85" s="24" t="str">
        <f>IF($A85="","",INDEX(Households!$B$5:$B$154,$N85))</f>
        <v/>
      </c>
      <c r="D85" s="24" t="str">
        <f>IF($A85="","",INDEX(Households!$C$5:$C$154,$N85)&amp;" – "&amp;INDEX(Households!$D$5:$D$154,$N85))</f>
        <v/>
      </c>
      <c r="E85" s="25" t="str">
        <f>IF($A85="","",INDEX(Households!$X$5:$X$154,$N85))</f>
        <v/>
      </c>
      <c r="F85" s="24" t="str">
        <f>IF($A85="","",INDEX(Households!$AE$5:$AE$154,$N85))</f>
        <v/>
      </c>
      <c r="G85" s="24" t="str">
        <f>IF($A85="","",IF(INDEX(Households!$AA$5:$AA$154,$N85)&gt;0,INDEX(Households!$AA$5:$AA$154,$N85),""))</f>
        <v/>
      </c>
      <c r="H85" s="25" t="str">
        <f>IF($A85="","",IF(INDEX(Households!$AB$5:$AB$154,$N85)="Referral needed","Referral needed",""))</f>
        <v/>
      </c>
      <c r="I85" s="25" t="str">
        <f>IF($A85="","",INDEX(Households!$AC$5:$AC$154,$N85))</f>
        <v/>
      </c>
      <c r="J85" s="25" t="str">
        <f>IF($A85="","",INDEX(Households!$AD$5:$AD$154,$N85))</f>
        <v/>
      </c>
      <c r="K85" s="25" t="str">
        <f>IF($A85="","",INDEX(Households!$Y$5:$Y$154,$N85))</f>
        <v/>
      </c>
      <c r="L85" s="26" t="str">
        <f t="shared" si="5"/>
        <v/>
      </c>
      <c r="M85" s="27" t="str">
        <f>IF($A85="","",LARGE(Households!$AF$5:$AF$154,$A85))</f>
        <v/>
      </c>
      <c r="N85" s="24" t="str">
        <f>IF($A85="","",MATCH($M85,Households!$AF$5:$AF$154,0))</f>
        <v/>
      </c>
    </row>
    <row r="86" spans="1:14" x14ac:dyDescent="0.3">
      <c r="A86" s="24" t="str">
        <f t="shared" si="4"/>
        <v/>
      </c>
      <c r="B86" s="24" t="str">
        <f>IF($A86="","",INDEX(Households!$A$5:$A$154,$N86))</f>
        <v/>
      </c>
      <c r="C86" s="24" t="str">
        <f>IF($A86="","",INDEX(Households!$B$5:$B$154,$N86))</f>
        <v/>
      </c>
      <c r="D86" s="24" t="str">
        <f>IF($A86="","",INDEX(Households!$C$5:$C$154,$N86)&amp;" – "&amp;INDEX(Households!$D$5:$D$154,$N86))</f>
        <v/>
      </c>
      <c r="E86" s="25" t="str">
        <f>IF($A86="","",INDEX(Households!$X$5:$X$154,$N86))</f>
        <v/>
      </c>
      <c r="F86" s="24" t="str">
        <f>IF($A86="","",INDEX(Households!$AE$5:$AE$154,$N86))</f>
        <v/>
      </c>
      <c r="G86" s="24" t="str">
        <f>IF($A86="","",IF(INDEX(Households!$AA$5:$AA$154,$N86)&gt;0,INDEX(Households!$AA$5:$AA$154,$N86),""))</f>
        <v/>
      </c>
      <c r="H86" s="25" t="str">
        <f>IF($A86="","",IF(INDEX(Households!$AB$5:$AB$154,$N86)="Referral needed","Referral needed",""))</f>
        <v/>
      </c>
      <c r="I86" s="25" t="str">
        <f>IF($A86="","",INDEX(Households!$AC$5:$AC$154,$N86))</f>
        <v/>
      </c>
      <c r="J86" s="25" t="str">
        <f>IF($A86="","",INDEX(Households!$AD$5:$AD$154,$N86))</f>
        <v/>
      </c>
      <c r="K86" s="25" t="str">
        <f>IF($A86="","",INDEX(Households!$Y$5:$Y$154,$N86))</f>
        <v/>
      </c>
      <c r="L86" s="26" t="str">
        <f t="shared" si="5"/>
        <v/>
      </c>
      <c r="M86" s="27" t="str">
        <f>IF($A86="","",LARGE(Households!$AF$5:$AF$154,$A86))</f>
        <v/>
      </c>
      <c r="N86" s="24" t="str">
        <f>IF($A86="","",MATCH($M86,Households!$AF$5:$AF$154,0))</f>
        <v/>
      </c>
    </row>
    <row r="87" spans="1:14" x14ac:dyDescent="0.3">
      <c r="A87" s="24" t="str">
        <f t="shared" si="4"/>
        <v/>
      </c>
      <c r="B87" s="24" t="str">
        <f>IF($A87="","",INDEX(Households!$A$5:$A$154,$N87))</f>
        <v/>
      </c>
      <c r="C87" s="24" t="str">
        <f>IF($A87="","",INDEX(Households!$B$5:$B$154,$N87))</f>
        <v/>
      </c>
      <c r="D87" s="24" t="str">
        <f>IF($A87="","",INDEX(Households!$C$5:$C$154,$N87)&amp;" – "&amp;INDEX(Households!$D$5:$D$154,$N87))</f>
        <v/>
      </c>
      <c r="E87" s="25" t="str">
        <f>IF($A87="","",INDEX(Households!$X$5:$X$154,$N87))</f>
        <v/>
      </c>
      <c r="F87" s="24" t="str">
        <f>IF($A87="","",INDEX(Households!$AE$5:$AE$154,$N87))</f>
        <v/>
      </c>
      <c r="G87" s="24" t="str">
        <f>IF($A87="","",IF(INDEX(Households!$AA$5:$AA$154,$N87)&gt;0,INDEX(Households!$AA$5:$AA$154,$N87),""))</f>
        <v/>
      </c>
      <c r="H87" s="25" t="str">
        <f>IF($A87="","",IF(INDEX(Households!$AB$5:$AB$154,$N87)="Referral needed","Referral needed",""))</f>
        <v/>
      </c>
      <c r="I87" s="25" t="str">
        <f>IF($A87="","",INDEX(Households!$AC$5:$AC$154,$N87))</f>
        <v/>
      </c>
      <c r="J87" s="25" t="str">
        <f>IF($A87="","",INDEX(Households!$AD$5:$AD$154,$N87))</f>
        <v/>
      </c>
      <c r="K87" s="25" t="str">
        <f>IF($A87="","",INDEX(Households!$Y$5:$Y$154,$N87))</f>
        <v/>
      </c>
      <c r="L87" s="26" t="str">
        <f t="shared" si="5"/>
        <v/>
      </c>
      <c r="M87" s="27" t="str">
        <f>IF($A87="","",LARGE(Households!$AF$5:$AF$154,$A87))</f>
        <v/>
      </c>
      <c r="N87" s="24" t="str">
        <f>IF($A87="","",MATCH($M87,Households!$AF$5:$AF$154,0))</f>
        <v/>
      </c>
    </row>
    <row r="88" spans="1:14" x14ac:dyDescent="0.3">
      <c r="A88" s="24" t="str">
        <f t="shared" si="4"/>
        <v/>
      </c>
      <c r="B88" s="24" t="str">
        <f>IF($A88="","",INDEX(Households!$A$5:$A$154,$N88))</f>
        <v/>
      </c>
      <c r="C88" s="24" t="str">
        <f>IF($A88="","",INDEX(Households!$B$5:$B$154,$N88))</f>
        <v/>
      </c>
      <c r="D88" s="24" t="str">
        <f>IF($A88="","",INDEX(Households!$C$5:$C$154,$N88)&amp;" – "&amp;INDEX(Households!$D$5:$D$154,$N88))</f>
        <v/>
      </c>
      <c r="E88" s="25" t="str">
        <f>IF($A88="","",INDEX(Households!$X$5:$X$154,$N88))</f>
        <v/>
      </c>
      <c r="F88" s="24" t="str">
        <f>IF($A88="","",INDEX(Households!$AE$5:$AE$154,$N88))</f>
        <v/>
      </c>
      <c r="G88" s="24" t="str">
        <f>IF($A88="","",IF(INDEX(Households!$AA$5:$AA$154,$N88)&gt;0,INDEX(Households!$AA$5:$AA$154,$N88),""))</f>
        <v/>
      </c>
      <c r="H88" s="25" t="str">
        <f>IF($A88="","",IF(INDEX(Households!$AB$5:$AB$154,$N88)="Referral needed","Referral needed",""))</f>
        <v/>
      </c>
      <c r="I88" s="25" t="str">
        <f>IF($A88="","",INDEX(Households!$AC$5:$AC$154,$N88))</f>
        <v/>
      </c>
      <c r="J88" s="25" t="str">
        <f>IF($A88="","",INDEX(Households!$AD$5:$AD$154,$N88))</f>
        <v/>
      </c>
      <c r="K88" s="25" t="str">
        <f>IF($A88="","",INDEX(Households!$Y$5:$Y$154,$N88))</f>
        <v/>
      </c>
      <c r="L88" s="26" t="str">
        <f t="shared" si="5"/>
        <v/>
      </c>
      <c r="M88" s="27" t="str">
        <f>IF($A88="","",LARGE(Households!$AF$5:$AF$154,$A88))</f>
        <v/>
      </c>
      <c r="N88" s="24" t="str">
        <f>IF($A88="","",MATCH($M88,Households!$AF$5:$AF$154,0))</f>
        <v/>
      </c>
    </row>
    <row r="89" spans="1:14" x14ac:dyDescent="0.3">
      <c r="A89" s="24" t="str">
        <f t="shared" si="4"/>
        <v/>
      </c>
      <c r="B89" s="24" t="str">
        <f>IF($A89="","",INDEX(Households!$A$5:$A$154,$N89))</f>
        <v/>
      </c>
      <c r="C89" s="24" t="str">
        <f>IF($A89="","",INDEX(Households!$B$5:$B$154,$N89))</f>
        <v/>
      </c>
      <c r="D89" s="24" t="str">
        <f>IF($A89="","",INDEX(Households!$C$5:$C$154,$N89)&amp;" – "&amp;INDEX(Households!$D$5:$D$154,$N89))</f>
        <v/>
      </c>
      <c r="E89" s="25" t="str">
        <f>IF($A89="","",INDEX(Households!$X$5:$X$154,$N89))</f>
        <v/>
      </c>
      <c r="F89" s="24" t="str">
        <f>IF($A89="","",INDEX(Households!$AE$5:$AE$154,$N89))</f>
        <v/>
      </c>
      <c r="G89" s="24" t="str">
        <f>IF($A89="","",IF(INDEX(Households!$AA$5:$AA$154,$N89)&gt;0,INDEX(Households!$AA$5:$AA$154,$N89),""))</f>
        <v/>
      </c>
      <c r="H89" s="25" t="str">
        <f>IF($A89="","",IF(INDEX(Households!$AB$5:$AB$154,$N89)="Referral needed","Referral needed",""))</f>
        <v/>
      </c>
      <c r="I89" s="25" t="str">
        <f>IF($A89="","",INDEX(Households!$AC$5:$AC$154,$N89))</f>
        <v/>
      </c>
      <c r="J89" s="25" t="str">
        <f>IF($A89="","",INDEX(Households!$AD$5:$AD$154,$N89))</f>
        <v/>
      </c>
      <c r="K89" s="25" t="str">
        <f>IF($A89="","",INDEX(Households!$Y$5:$Y$154,$N89))</f>
        <v/>
      </c>
      <c r="L89" s="26" t="str">
        <f t="shared" si="5"/>
        <v/>
      </c>
      <c r="M89" s="27" t="str">
        <f>IF($A89="","",LARGE(Households!$AF$5:$AF$154,$A89))</f>
        <v/>
      </c>
      <c r="N89" s="24" t="str">
        <f>IF($A89="","",MATCH($M89,Households!$AF$5:$AF$154,0))</f>
        <v/>
      </c>
    </row>
    <row r="90" spans="1:14" x14ac:dyDescent="0.3">
      <c r="A90" s="24" t="str">
        <f t="shared" si="4"/>
        <v/>
      </c>
      <c r="B90" s="24" t="str">
        <f>IF($A90="","",INDEX(Households!$A$5:$A$154,$N90))</f>
        <v/>
      </c>
      <c r="C90" s="24" t="str">
        <f>IF($A90="","",INDEX(Households!$B$5:$B$154,$N90))</f>
        <v/>
      </c>
      <c r="D90" s="24" t="str">
        <f>IF($A90="","",INDEX(Households!$C$5:$C$154,$N90)&amp;" – "&amp;INDEX(Households!$D$5:$D$154,$N90))</f>
        <v/>
      </c>
      <c r="E90" s="25" t="str">
        <f>IF($A90="","",INDEX(Households!$X$5:$X$154,$N90))</f>
        <v/>
      </c>
      <c r="F90" s="24" t="str">
        <f>IF($A90="","",INDEX(Households!$AE$5:$AE$154,$N90))</f>
        <v/>
      </c>
      <c r="G90" s="24" t="str">
        <f>IF($A90="","",IF(INDEX(Households!$AA$5:$AA$154,$N90)&gt;0,INDEX(Households!$AA$5:$AA$154,$N90),""))</f>
        <v/>
      </c>
      <c r="H90" s="25" t="str">
        <f>IF($A90="","",IF(INDEX(Households!$AB$5:$AB$154,$N90)="Referral needed","Referral needed",""))</f>
        <v/>
      </c>
      <c r="I90" s="25" t="str">
        <f>IF($A90="","",INDEX(Households!$AC$5:$AC$154,$N90))</f>
        <v/>
      </c>
      <c r="J90" s="25" t="str">
        <f>IF($A90="","",INDEX(Households!$AD$5:$AD$154,$N90))</f>
        <v/>
      </c>
      <c r="K90" s="25" t="str">
        <f>IF($A90="","",INDEX(Households!$Y$5:$Y$154,$N90))</f>
        <v/>
      </c>
      <c r="L90" s="26" t="str">
        <f t="shared" si="5"/>
        <v/>
      </c>
      <c r="M90" s="27" t="str">
        <f>IF($A90="","",LARGE(Households!$AF$5:$AF$154,$A90))</f>
        <v/>
      </c>
      <c r="N90" s="24" t="str">
        <f>IF($A90="","",MATCH($M90,Households!$AF$5:$AF$154,0))</f>
        <v/>
      </c>
    </row>
    <row r="91" spans="1:14" x14ac:dyDescent="0.3">
      <c r="A91" s="24" t="str">
        <f t="shared" si="4"/>
        <v/>
      </c>
      <c r="B91" s="24" t="str">
        <f>IF($A91="","",INDEX(Households!$A$5:$A$154,$N91))</f>
        <v/>
      </c>
      <c r="C91" s="24" t="str">
        <f>IF($A91="","",INDEX(Households!$B$5:$B$154,$N91))</f>
        <v/>
      </c>
      <c r="D91" s="24" t="str">
        <f>IF($A91="","",INDEX(Households!$C$5:$C$154,$N91)&amp;" – "&amp;INDEX(Households!$D$5:$D$154,$N91))</f>
        <v/>
      </c>
      <c r="E91" s="25" t="str">
        <f>IF($A91="","",INDEX(Households!$X$5:$X$154,$N91))</f>
        <v/>
      </c>
      <c r="F91" s="24" t="str">
        <f>IF($A91="","",INDEX(Households!$AE$5:$AE$154,$N91))</f>
        <v/>
      </c>
      <c r="G91" s="24" t="str">
        <f>IF($A91="","",IF(INDEX(Households!$AA$5:$AA$154,$N91)&gt;0,INDEX(Households!$AA$5:$AA$154,$N91),""))</f>
        <v/>
      </c>
      <c r="H91" s="25" t="str">
        <f>IF($A91="","",IF(INDEX(Households!$AB$5:$AB$154,$N91)="Referral needed","Referral needed",""))</f>
        <v/>
      </c>
      <c r="I91" s="25" t="str">
        <f>IF($A91="","",INDEX(Households!$AC$5:$AC$154,$N91))</f>
        <v/>
      </c>
      <c r="J91" s="25" t="str">
        <f>IF($A91="","",INDEX(Households!$AD$5:$AD$154,$N91))</f>
        <v/>
      </c>
      <c r="K91" s="25" t="str">
        <f>IF($A91="","",INDEX(Households!$Y$5:$Y$154,$N91))</f>
        <v/>
      </c>
      <c r="L91" s="26" t="str">
        <f t="shared" si="5"/>
        <v/>
      </c>
      <c r="M91" s="27" t="str">
        <f>IF($A91="","",LARGE(Households!$AF$5:$AF$154,$A91))</f>
        <v/>
      </c>
      <c r="N91" s="24" t="str">
        <f>IF($A91="","",MATCH($M91,Households!$AF$5:$AF$154,0))</f>
        <v/>
      </c>
    </row>
    <row r="92" spans="1:14" x14ac:dyDescent="0.3">
      <c r="A92" s="24" t="str">
        <f t="shared" si="4"/>
        <v/>
      </c>
      <c r="B92" s="24" t="str">
        <f>IF($A92="","",INDEX(Households!$A$5:$A$154,$N92))</f>
        <v/>
      </c>
      <c r="C92" s="24" t="str">
        <f>IF($A92="","",INDEX(Households!$B$5:$B$154,$N92))</f>
        <v/>
      </c>
      <c r="D92" s="24" t="str">
        <f>IF($A92="","",INDEX(Households!$C$5:$C$154,$N92)&amp;" – "&amp;INDEX(Households!$D$5:$D$154,$N92))</f>
        <v/>
      </c>
      <c r="E92" s="25" t="str">
        <f>IF($A92="","",INDEX(Households!$X$5:$X$154,$N92))</f>
        <v/>
      </c>
      <c r="F92" s="24" t="str">
        <f>IF($A92="","",INDEX(Households!$AE$5:$AE$154,$N92))</f>
        <v/>
      </c>
      <c r="G92" s="24" t="str">
        <f>IF($A92="","",IF(INDEX(Households!$AA$5:$AA$154,$N92)&gt;0,INDEX(Households!$AA$5:$AA$154,$N92),""))</f>
        <v/>
      </c>
      <c r="H92" s="25" t="str">
        <f>IF($A92="","",IF(INDEX(Households!$AB$5:$AB$154,$N92)="Referral needed","Referral needed",""))</f>
        <v/>
      </c>
      <c r="I92" s="25" t="str">
        <f>IF($A92="","",INDEX(Households!$AC$5:$AC$154,$N92))</f>
        <v/>
      </c>
      <c r="J92" s="25" t="str">
        <f>IF($A92="","",INDEX(Households!$AD$5:$AD$154,$N92))</f>
        <v/>
      </c>
      <c r="K92" s="25" t="str">
        <f>IF($A92="","",INDEX(Households!$Y$5:$Y$154,$N92))</f>
        <v/>
      </c>
      <c r="L92" s="26" t="str">
        <f t="shared" si="5"/>
        <v/>
      </c>
      <c r="M92" s="27" t="str">
        <f>IF($A92="","",LARGE(Households!$AF$5:$AF$154,$A92))</f>
        <v/>
      </c>
      <c r="N92" s="24" t="str">
        <f>IF($A92="","",MATCH($M92,Households!$AF$5:$AF$154,0))</f>
        <v/>
      </c>
    </row>
    <row r="93" spans="1:14" x14ac:dyDescent="0.3">
      <c r="A93" s="24" t="str">
        <f t="shared" si="4"/>
        <v/>
      </c>
      <c r="B93" s="24" t="str">
        <f>IF($A93="","",INDEX(Households!$A$5:$A$154,$N93))</f>
        <v/>
      </c>
      <c r="C93" s="24" t="str">
        <f>IF($A93="","",INDEX(Households!$B$5:$B$154,$N93))</f>
        <v/>
      </c>
      <c r="D93" s="24" t="str">
        <f>IF($A93="","",INDEX(Households!$C$5:$C$154,$N93)&amp;" – "&amp;INDEX(Households!$D$5:$D$154,$N93))</f>
        <v/>
      </c>
      <c r="E93" s="25" t="str">
        <f>IF($A93="","",INDEX(Households!$X$5:$X$154,$N93))</f>
        <v/>
      </c>
      <c r="F93" s="24" t="str">
        <f>IF($A93="","",INDEX(Households!$AE$5:$AE$154,$N93))</f>
        <v/>
      </c>
      <c r="G93" s="24" t="str">
        <f>IF($A93="","",IF(INDEX(Households!$AA$5:$AA$154,$N93)&gt;0,INDEX(Households!$AA$5:$AA$154,$N93),""))</f>
        <v/>
      </c>
      <c r="H93" s="25" t="str">
        <f>IF($A93="","",IF(INDEX(Households!$AB$5:$AB$154,$N93)="Referral needed","Referral needed",""))</f>
        <v/>
      </c>
      <c r="I93" s="25" t="str">
        <f>IF($A93="","",INDEX(Households!$AC$5:$AC$154,$N93))</f>
        <v/>
      </c>
      <c r="J93" s="25" t="str">
        <f>IF($A93="","",INDEX(Households!$AD$5:$AD$154,$N93))</f>
        <v/>
      </c>
      <c r="K93" s="25" t="str">
        <f>IF($A93="","",INDEX(Households!$Y$5:$Y$154,$N93))</f>
        <v/>
      </c>
      <c r="L93" s="26" t="str">
        <f t="shared" si="5"/>
        <v/>
      </c>
      <c r="M93" s="27" t="str">
        <f>IF($A93="","",LARGE(Households!$AF$5:$AF$154,$A93))</f>
        <v/>
      </c>
      <c r="N93" s="24" t="str">
        <f>IF($A93="","",MATCH($M93,Households!$AF$5:$AF$154,0))</f>
        <v/>
      </c>
    </row>
    <row r="94" spans="1:14" x14ac:dyDescent="0.3">
      <c r="A94" s="24" t="str">
        <f t="shared" si="4"/>
        <v/>
      </c>
      <c r="B94" s="24" t="str">
        <f>IF($A94="","",INDEX(Households!$A$5:$A$154,$N94))</f>
        <v/>
      </c>
      <c r="C94" s="24" t="str">
        <f>IF($A94="","",INDEX(Households!$B$5:$B$154,$N94))</f>
        <v/>
      </c>
      <c r="D94" s="24" t="str">
        <f>IF($A94="","",INDEX(Households!$C$5:$C$154,$N94)&amp;" – "&amp;INDEX(Households!$D$5:$D$154,$N94))</f>
        <v/>
      </c>
      <c r="E94" s="25" t="str">
        <f>IF($A94="","",INDEX(Households!$X$5:$X$154,$N94))</f>
        <v/>
      </c>
      <c r="F94" s="24" t="str">
        <f>IF($A94="","",INDEX(Households!$AE$5:$AE$154,$N94))</f>
        <v/>
      </c>
      <c r="G94" s="24" t="str">
        <f>IF($A94="","",IF(INDEX(Households!$AA$5:$AA$154,$N94)&gt;0,INDEX(Households!$AA$5:$AA$154,$N94),""))</f>
        <v/>
      </c>
      <c r="H94" s="25" t="str">
        <f>IF($A94="","",IF(INDEX(Households!$AB$5:$AB$154,$N94)="Referral needed","Referral needed",""))</f>
        <v/>
      </c>
      <c r="I94" s="25" t="str">
        <f>IF($A94="","",INDEX(Households!$AC$5:$AC$154,$N94))</f>
        <v/>
      </c>
      <c r="J94" s="25" t="str">
        <f>IF($A94="","",INDEX(Households!$AD$5:$AD$154,$N94))</f>
        <v/>
      </c>
      <c r="K94" s="25" t="str">
        <f>IF($A94="","",INDEX(Households!$Y$5:$Y$154,$N94))</f>
        <v/>
      </c>
      <c r="L94" s="26" t="str">
        <f t="shared" si="5"/>
        <v/>
      </c>
      <c r="M94" s="27" t="str">
        <f>IF($A94="","",LARGE(Households!$AF$5:$AF$154,$A94))</f>
        <v/>
      </c>
      <c r="N94" s="24" t="str">
        <f>IF($A94="","",MATCH($M94,Households!$AF$5:$AF$154,0))</f>
        <v/>
      </c>
    </row>
    <row r="95" spans="1:14" x14ac:dyDescent="0.3">
      <c r="A95" s="24" t="str">
        <f t="shared" si="4"/>
        <v/>
      </c>
      <c r="B95" s="24" t="str">
        <f>IF($A95="","",INDEX(Households!$A$5:$A$154,$N95))</f>
        <v/>
      </c>
      <c r="C95" s="24" t="str">
        <f>IF($A95="","",INDEX(Households!$B$5:$B$154,$N95))</f>
        <v/>
      </c>
      <c r="D95" s="24" t="str">
        <f>IF($A95="","",INDEX(Households!$C$5:$C$154,$N95)&amp;" – "&amp;INDEX(Households!$D$5:$D$154,$N95))</f>
        <v/>
      </c>
      <c r="E95" s="25" t="str">
        <f>IF($A95="","",INDEX(Households!$X$5:$X$154,$N95))</f>
        <v/>
      </c>
      <c r="F95" s="24" t="str">
        <f>IF($A95="","",INDEX(Households!$AE$5:$AE$154,$N95))</f>
        <v/>
      </c>
      <c r="G95" s="24" t="str">
        <f>IF($A95="","",IF(INDEX(Households!$AA$5:$AA$154,$N95)&gt;0,INDEX(Households!$AA$5:$AA$154,$N95),""))</f>
        <v/>
      </c>
      <c r="H95" s="25" t="str">
        <f>IF($A95="","",IF(INDEX(Households!$AB$5:$AB$154,$N95)="Referral needed","Referral needed",""))</f>
        <v/>
      </c>
      <c r="I95" s="25" t="str">
        <f>IF($A95="","",INDEX(Households!$AC$5:$AC$154,$N95))</f>
        <v/>
      </c>
      <c r="J95" s="25" t="str">
        <f>IF($A95="","",INDEX(Households!$AD$5:$AD$154,$N95))</f>
        <v/>
      </c>
      <c r="K95" s="25" t="str">
        <f>IF($A95="","",INDEX(Households!$Y$5:$Y$154,$N95))</f>
        <v/>
      </c>
      <c r="L95" s="26" t="str">
        <f t="shared" si="5"/>
        <v/>
      </c>
      <c r="M95" s="27" t="str">
        <f>IF($A95="","",LARGE(Households!$AF$5:$AF$154,$A95))</f>
        <v/>
      </c>
      <c r="N95" s="24" t="str">
        <f>IF($A95="","",MATCH($M95,Households!$AF$5:$AF$154,0))</f>
        <v/>
      </c>
    </row>
    <row r="96" spans="1:14" x14ac:dyDescent="0.3">
      <c r="A96" s="24" t="str">
        <f t="shared" si="4"/>
        <v/>
      </c>
      <c r="B96" s="24" t="str">
        <f>IF($A96="","",INDEX(Households!$A$5:$A$154,$N96))</f>
        <v/>
      </c>
      <c r="C96" s="24" t="str">
        <f>IF($A96="","",INDEX(Households!$B$5:$B$154,$N96))</f>
        <v/>
      </c>
      <c r="D96" s="24" t="str">
        <f>IF($A96="","",INDEX(Households!$C$5:$C$154,$N96)&amp;" – "&amp;INDEX(Households!$D$5:$D$154,$N96))</f>
        <v/>
      </c>
      <c r="E96" s="25" t="str">
        <f>IF($A96="","",INDEX(Households!$X$5:$X$154,$N96))</f>
        <v/>
      </c>
      <c r="F96" s="24" t="str">
        <f>IF($A96="","",INDEX(Households!$AE$5:$AE$154,$N96))</f>
        <v/>
      </c>
      <c r="G96" s="24" t="str">
        <f>IF($A96="","",IF(INDEX(Households!$AA$5:$AA$154,$N96)&gt;0,INDEX(Households!$AA$5:$AA$154,$N96),""))</f>
        <v/>
      </c>
      <c r="H96" s="25" t="str">
        <f>IF($A96="","",IF(INDEX(Households!$AB$5:$AB$154,$N96)="Referral needed","Referral needed",""))</f>
        <v/>
      </c>
      <c r="I96" s="25" t="str">
        <f>IF($A96="","",INDEX(Households!$AC$5:$AC$154,$N96))</f>
        <v/>
      </c>
      <c r="J96" s="25" t="str">
        <f>IF($A96="","",INDEX(Households!$AD$5:$AD$154,$N96))</f>
        <v/>
      </c>
      <c r="K96" s="25" t="str">
        <f>IF($A96="","",INDEX(Households!$Y$5:$Y$154,$N96))</f>
        <v/>
      </c>
      <c r="L96" s="26" t="str">
        <f t="shared" si="5"/>
        <v/>
      </c>
      <c r="M96" s="27" t="str">
        <f>IF($A96="","",LARGE(Households!$AF$5:$AF$154,$A96))</f>
        <v/>
      </c>
      <c r="N96" s="24" t="str">
        <f>IF($A96="","",MATCH($M96,Households!$AF$5:$AF$154,0))</f>
        <v/>
      </c>
    </row>
    <row r="97" spans="1:14" x14ac:dyDescent="0.3">
      <c r="A97" s="24" t="str">
        <f t="shared" si="4"/>
        <v/>
      </c>
      <c r="B97" s="24" t="str">
        <f>IF($A97="","",INDEX(Households!$A$5:$A$154,$N97))</f>
        <v/>
      </c>
      <c r="C97" s="24" t="str">
        <f>IF($A97="","",INDEX(Households!$B$5:$B$154,$N97))</f>
        <v/>
      </c>
      <c r="D97" s="24" t="str">
        <f>IF($A97="","",INDEX(Households!$C$5:$C$154,$N97)&amp;" – "&amp;INDEX(Households!$D$5:$D$154,$N97))</f>
        <v/>
      </c>
      <c r="E97" s="25" t="str">
        <f>IF($A97="","",INDEX(Households!$X$5:$X$154,$N97))</f>
        <v/>
      </c>
      <c r="F97" s="24" t="str">
        <f>IF($A97="","",INDEX(Households!$AE$5:$AE$154,$N97))</f>
        <v/>
      </c>
      <c r="G97" s="24" t="str">
        <f>IF($A97="","",IF(INDEX(Households!$AA$5:$AA$154,$N97)&gt;0,INDEX(Households!$AA$5:$AA$154,$N97),""))</f>
        <v/>
      </c>
      <c r="H97" s="25" t="str">
        <f>IF($A97="","",IF(INDEX(Households!$AB$5:$AB$154,$N97)="Referral needed","Referral needed",""))</f>
        <v/>
      </c>
      <c r="I97" s="25" t="str">
        <f>IF($A97="","",INDEX(Households!$AC$5:$AC$154,$N97))</f>
        <v/>
      </c>
      <c r="J97" s="25" t="str">
        <f>IF($A97="","",INDEX(Households!$AD$5:$AD$154,$N97))</f>
        <v/>
      </c>
      <c r="K97" s="25" t="str">
        <f>IF($A97="","",INDEX(Households!$Y$5:$Y$154,$N97))</f>
        <v/>
      </c>
      <c r="L97" s="26" t="str">
        <f t="shared" si="5"/>
        <v/>
      </c>
      <c r="M97" s="27" t="str">
        <f>IF($A97="","",LARGE(Households!$AF$5:$AF$154,$A97))</f>
        <v/>
      </c>
      <c r="N97" s="24" t="str">
        <f>IF($A97="","",MATCH($M97,Households!$AF$5:$AF$154,0))</f>
        <v/>
      </c>
    </row>
    <row r="98" spans="1:14" x14ac:dyDescent="0.3">
      <c r="A98" s="24" t="str">
        <f t="shared" si="4"/>
        <v/>
      </c>
      <c r="B98" s="24" t="str">
        <f>IF($A98="","",INDEX(Households!$A$5:$A$154,$N98))</f>
        <v/>
      </c>
      <c r="C98" s="24" t="str">
        <f>IF($A98="","",INDEX(Households!$B$5:$B$154,$N98))</f>
        <v/>
      </c>
      <c r="D98" s="24" t="str">
        <f>IF($A98="","",INDEX(Households!$C$5:$C$154,$N98)&amp;" – "&amp;INDEX(Households!$D$5:$D$154,$N98))</f>
        <v/>
      </c>
      <c r="E98" s="25" t="str">
        <f>IF($A98="","",INDEX(Households!$X$5:$X$154,$N98))</f>
        <v/>
      </c>
      <c r="F98" s="24" t="str">
        <f>IF($A98="","",INDEX(Households!$AE$5:$AE$154,$N98))</f>
        <v/>
      </c>
      <c r="G98" s="24" t="str">
        <f>IF($A98="","",IF(INDEX(Households!$AA$5:$AA$154,$N98)&gt;0,INDEX(Households!$AA$5:$AA$154,$N98),""))</f>
        <v/>
      </c>
      <c r="H98" s="25" t="str">
        <f>IF($A98="","",IF(INDEX(Households!$AB$5:$AB$154,$N98)="Referral needed","Referral needed",""))</f>
        <v/>
      </c>
      <c r="I98" s="25" t="str">
        <f>IF($A98="","",INDEX(Households!$AC$5:$AC$154,$N98))</f>
        <v/>
      </c>
      <c r="J98" s="25" t="str">
        <f>IF($A98="","",INDEX(Households!$AD$5:$AD$154,$N98))</f>
        <v/>
      </c>
      <c r="K98" s="25" t="str">
        <f>IF($A98="","",INDEX(Households!$Y$5:$Y$154,$N98))</f>
        <v/>
      </c>
      <c r="L98" s="26" t="str">
        <f t="shared" si="5"/>
        <v/>
      </c>
      <c r="M98" s="27" t="str">
        <f>IF($A98="","",LARGE(Households!$AF$5:$AF$154,$A98))</f>
        <v/>
      </c>
      <c r="N98" s="24" t="str">
        <f>IF($A98="","",MATCH($M98,Households!$AF$5:$AF$154,0))</f>
        <v/>
      </c>
    </row>
    <row r="99" spans="1:14" x14ac:dyDescent="0.3">
      <c r="A99" s="24" t="str">
        <f t="shared" si="4"/>
        <v/>
      </c>
      <c r="B99" s="24" t="str">
        <f>IF($A99="","",INDEX(Households!$A$5:$A$154,$N99))</f>
        <v/>
      </c>
      <c r="C99" s="24" t="str">
        <f>IF($A99="","",INDEX(Households!$B$5:$B$154,$N99))</f>
        <v/>
      </c>
      <c r="D99" s="24" t="str">
        <f>IF($A99="","",INDEX(Households!$C$5:$C$154,$N99)&amp;" – "&amp;INDEX(Households!$D$5:$D$154,$N99))</f>
        <v/>
      </c>
      <c r="E99" s="25" t="str">
        <f>IF($A99="","",INDEX(Households!$X$5:$X$154,$N99))</f>
        <v/>
      </c>
      <c r="F99" s="24" t="str">
        <f>IF($A99="","",INDEX(Households!$AE$5:$AE$154,$N99))</f>
        <v/>
      </c>
      <c r="G99" s="24" t="str">
        <f>IF($A99="","",IF(INDEX(Households!$AA$5:$AA$154,$N99)&gt;0,INDEX(Households!$AA$5:$AA$154,$N99),""))</f>
        <v/>
      </c>
      <c r="H99" s="25" t="str">
        <f>IF($A99="","",IF(INDEX(Households!$AB$5:$AB$154,$N99)="Referral needed","Referral needed",""))</f>
        <v/>
      </c>
      <c r="I99" s="25" t="str">
        <f>IF($A99="","",INDEX(Households!$AC$5:$AC$154,$N99))</f>
        <v/>
      </c>
      <c r="J99" s="25" t="str">
        <f>IF($A99="","",INDEX(Households!$AD$5:$AD$154,$N99))</f>
        <v/>
      </c>
      <c r="K99" s="25" t="str">
        <f>IF($A99="","",INDEX(Households!$Y$5:$Y$154,$N99))</f>
        <v/>
      </c>
      <c r="L99" s="26" t="str">
        <f t="shared" si="5"/>
        <v/>
      </c>
      <c r="M99" s="27" t="str">
        <f>IF($A99="","",LARGE(Households!$AF$5:$AF$154,$A99))</f>
        <v/>
      </c>
      <c r="N99" s="24" t="str">
        <f>IF($A99="","",MATCH($M99,Households!$AF$5:$AF$154,0))</f>
        <v/>
      </c>
    </row>
    <row r="100" spans="1:14" x14ac:dyDescent="0.3">
      <c r="A100" s="24" t="str">
        <f t="shared" si="4"/>
        <v/>
      </c>
      <c r="B100" s="24" t="str">
        <f>IF($A100="","",INDEX(Households!$A$5:$A$154,$N100))</f>
        <v/>
      </c>
      <c r="C100" s="24" t="str">
        <f>IF($A100="","",INDEX(Households!$B$5:$B$154,$N100))</f>
        <v/>
      </c>
      <c r="D100" s="24" t="str">
        <f>IF($A100="","",INDEX(Households!$C$5:$C$154,$N100)&amp;" – "&amp;INDEX(Households!$D$5:$D$154,$N100))</f>
        <v/>
      </c>
      <c r="E100" s="25" t="str">
        <f>IF($A100="","",INDEX(Households!$X$5:$X$154,$N100))</f>
        <v/>
      </c>
      <c r="F100" s="24" t="str">
        <f>IF($A100="","",INDEX(Households!$AE$5:$AE$154,$N100))</f>
        <v/>
      </c>
      <c r="G100" s="24" t="str">
        <f>IF($A100="","",IF(INDEX(Households!$AA$5:$AA$154,$N100)&gt;0,INDEX(Households!$AA$5:$AA$154,$N100),""))</f>
        <v/>
      </c>
      <c r="H100" s="25" t="str">
        <f>IF($A100="","",IF(INDEX(Households!$AB$5:$AB$154,$N100)="Referral needed","Referral needed",""))</f>
        <v/>
      </c>
      <c r="I100" s="25" t="str">
        <f>IF($A100="","",INDEX(Households!$AC$5:$AC$154,$N100))</f>
        <v/>
      </c>
      <c r="J100" s="25" t="str">
        <f>IF($A100="","",INDEX(Households!$AD$5:$AD$154,$N100))</f>
        <v/>
      </c>
      <c r="K100" s="25" t="str">
        <f>IF($A100="","",INDEX(Households!$Y$5:$Y$154,$N100))</f>
        <v/>
      </c>
      <c r="L100" s="26" t="str">
        <f t="shared" si="5"/>
        <v/>
      </c>
      <c r="M100" s="27" t="str">
        <f>IF($A100="","",LARGE(Households!$AF$5:$AF$154,$A100))</f>
        <v/>
      </c>
      <c r="N100" s="24" t="str">
        <f>IF($A100="","",MATCH($M100,Households!$AF$5:$AF$154,0))</f>
        <v/>
      </c>
    </row>
    <row r="101" spans="1:14" x14ac:dyDescent="0.3">
      <c r="A101" s="24" t="str">
        <f t="shared" ref="A101:A132" si="6">IF(ROW()-4&lt;=$G$1,ROW()-4,"")</f>
        <v/>
      </c>
      <c r="B101" s="24" t="str">
        <f>IF($A101="","",INDEX(Households!$A$5:$A$154,$N101))</f>
        <v/>
      </c>
      <c r="C101" s="24" t="str">
        <f>IF($A101="","",INDEX(Households!$B$5:$B$154,$N101))</f>
        <v/>
      </c>
      <c r="D101" s="24" t="str">
        <f>IF($A101="","",INDEX(Households!$C$5:$C$154,$N101)&amp;" – "&amp;INDEX(Households!$D$5:$D$154,$N101))</f>
        <v/>
      </c>
      <c r="E101" s="25" t="str">
        <f>IF($A101="","",INDEX(Households!$X$5:$X$154,$N101))</f>
        <v/>
      </c>
      <c r="F101" s="24" t="str">
        <f>IF($A101="","",INDEX(Households!$AE$5:$AE$154,$N101))</f>
        <v/>
      </c>
      <c r="G101" s="24" t="str">
        <f>IF($A101="","",IF(INDEX(Households!$AA$5:$AA$154,$N101)&gt;0,INDEX(Households!$AA$5:$AA$154,$N101),""))</f>
        <v/>
      </c>
      <c r="H101" s="25" t="str">
        <f>IF($A101="","",IF(INDEX(Households!$AB$5:$AB$154,$N101)="Referral needed","Referral needed",""))</f>
        <v/>
      </c>
      <c r="I101" s="25" t="str">
        <f>IF($A101="","",INDEX(Households!$AC$5:$AC$154,$N101))</f>
        <v/>
      </c>
      <c r="J101" s="25" t="str">
        <f>IF($A101="","",INDEX(Households!$AD$5:$AD$154,$N101))</f>
        <v/>
      </c>
      <c r="K101" s="25" t="str">
        <f>IF($A101="","",INDEX(Households!$Y$5:$Y$154,$N101))</f>
        <v/>
      </c>
      <c r="L101" s="26" t="str">
        <f t="shared" ref="L101:L132" si="7">IF($A101="","",SUBSTITUTE(IF(N(G101)&gt;0,"Chase overdue referral with the service provider; ","")&amp;IF(H101="Referral needed","Make the IYCF referral to the nutrition partner; ","")&amp;IF(I101="Yes","Confirm tent replacement with the shelter partner; ","")&amp;IF(J101="Yes","Check the household shelter repair; ","")&amp;IF(K101="Yes","Re-verify the household (new Kobo submission); ","")&amp;"|","; |",""))</f>
        <v/>
      </c>
      <c r="M101" s="27" t="str">
        <f>IF($A101="","",LARGE(Households!$AF$5:$AF$154,$A101))</f>
        <v/>
      </c>
      <c r="N101" s="24" t="str">
        <f>IF($A101="","",MATCH($M101,Households!$AF$5:$AF$154,0))</f>
        <v/>
      </c>
    </row>
    <row r="102" spans="1:14" x14ac:dyDescent="0.3">
      <c r="A102" s="24" t="str">
        <f t="shared" si="6"/>
        <v/>
      </c>
      <c r="B102" s="24" t="str">
        <f>IF($A102="","",INDEX(Households!$A$5:$A$154,$N102))</f>
        <v/>
      </c>
      <c r="C102" s="24" t="str">
        <f>IF($A102="","",INDEX(Households!$B$5:$B$154,$N102))</f>
        <v/>
      </c>
      <c r="D102" s="24" t="str">
        <f>IF($A102="","",INDEX(Households!$C$5:$C$154,$N102)&amp;" – "&amp;INDEX(Households!$D$5:$D$154,$N102))</f>
        <v/>
      </c>
      <c r="E102" s="25" t="str">
        <f>IF($A102="","",INDEX(Households!$X$5:$X$154,$N102))</f>
        <v/>
      </c>
      <c r="F102" s="24" t="str">
        <f>IF($A102="","",INDEX(Households!$AE$5:$AE$154,$N102))</f>
        <v/>
      </c>
      <c r="G102" s="24" t="str">
        <f>IF($A102="","",IF(INDEX(Households!$AA$5:$AA$154,$N102)&gt;0,INDEX(Households!$AA$5:$AA$154,$N102),""))</f>
        <v/>
      </c>
      <c r="H102" s="25" t="str">
        <f>IF($A102="","",IF(INDEX(Households!$AB$5:$AB$154,$N102)="Referral needed","Referral needed",""))</f>
        <v/>
      </c>
      <c r="I102" s="25" t="str">
        <f>IF($A102="","",INDEX(Households!$AC$5:$AC$154,$N102))</f>
        <v/>
      </c>
      <c r="J102" s="25" t="str">
        <f>IF($A102="","",INDEX(Households!$AD$5:$AD$154,$N102))</f>
        <v/>
      </c>
      <c r="K102" s="25" t="str">
        <f>IF($A102="","",INDEX(Households!$Y$5:$Y$154,$N102))</f>
        <v/>
      </c>
      <c r="L102" s="26" t="str">
        <f t="shared" si="7"/>
        <v/>
      </c>
      <c r="M102" s="27" t="str">
        <f>IF($A102="","",LARGE(Households!$AF$5:$AF$154,$A102))</f>
        <v/>
      </c>
      <c r="N102" s="24" t="str">
        <f>IF($A102="","",MATCH($M102,Households!$AF$5:$AF$154,0))</f>
        <v/>
      </c>
    </row>
    <row r="103" spans="1:14" x14ac:dyDescent="0.3">
      <c r="A103" s="24" t="str">
        <f t="shared" si="6"/>
        <v/>
      </c>
      <c r="B103" s="24" t="str">
        <f>IF($A103="","",INDEX(Households!$A$5:$A$154,$N103))</f>
        <v/>
      </c>
      <c r="C103" s="24" t="str">
        <f>IF($A103="","",INDEX(Households!$B$5:$B$154,$N103))</f>
        <v/>
      </c>
      <c r="D103" s="24" t="str">
        <f>IF($A103="","",INDEX(Households!$C$5:$C$154,$N103)&amp;" – "&amp;INDEX(Households!$D$5:$D$154,$N103))</f>
        <v/>
      </c>
      <c r="E103" s="25" t="str">
        <f>IF($A103="","",INDEX(Households!$X$5:$X$154,$N103))</f>
        <v/>
      </c>
      <c r="F103" s="24" t="str">
        <f>IF($A103="","",INDEX(Households!$AE$5:$AE$154,$N103))</f>
        <v/>
      </c>
      <c r="G103" s="24" t="str">
        <f>IF($A103="","",IF(INDEX(Households!$AA$5:$AA$154,$N103)&gt;0,INDEX(Households!$AA$5:$AA$154,$N103),""))</f>
        <v/>
      </c>
      <c r="H103" s="25" t="str">
        <f>IF($A103="","",IF(INDEX(Households!$AB$5:$AB$154,$N103)="Referral needed","Referral needed",""))</f>
        <v/>
      </c>
      <c r="I103" s="25" t="str">
        <f>IF($A103="","",INDEX(Households!$AC$5:$AC$154,$N103))</f>
        <v/>
      </c>
      <c r="J103" s="25" t="str">
        <f>IF($A103="","",INDEX(Households!$AD$5:$AD$154,$N103))</f>
        <v/>
      </c>
      <c r="K103" s="25" t="str">
        <f>IF($A103="","",INDEX(Households!$Y$5:$Y$154,$N103))</f>
        <v/>
      </c>
      <c r="L103" s="26" t="str">
        <f t="shared" si="7"/>
        <v/>
      </c>
      <c r="M103" s="27" t="str">
        <f>IF($A103="","",LARGE(Households!$AF$5:$AF$154,$A103))</f>
        <v/>
      </c>
      <c r="N103" s="24" t="str">
        <f>IF($A103="","",MATCH($M103,Households!$AF$5:$AF$154,0))</f>
        <v/>
      </c>
    </row>
    <row r="104" spans="1:14" x14ac:dyDescent="0.3">
      <c r="A104" s="24" t="str">
        <f t="shared" si="6"/>
        <v/>
      </c>
      <c r="B104" s="24" t="str">
        <f>IF($A104="","",INDEX(Households!$A$5:$A$154,$N104))</f>
        <v/>
      </c>
      <c r="C104" s="24" t="str">
        <f>IF($A104="","",INDEX(Households!$B$5:$B$154,$N104))</f>
        <v/>
      </c>
      <c r="D104" s="24" t="str">
        <f>IF($A104="","",INDEX(Households!$C$5:$C$154,$N104)&amp;" – "&amp;INDEX(Households!$D$5:$D$154,$N104))</f>
        <v/>
      </c>
      <c r="E104" s="25" t="str">
        <f>IF($A104="","",INDEX(Households!$X$5:$X$154,$N104))</f>
        <v/>
      </c>
      <c r="F104" s="24" t="str">
        <f>IF($A104="","",INDEX(Households!$AE$5:$AE$154,$N104))</f>
        <v/>
      </c>
      <c r="G104" s="24" t="str">
        <f>IF($A104="","",IF(INDEX(Households!$AA$5:$AA$154,$N104)&gt;0,INDEX(Households!$AA$5:$AA$154,$N104),""))</f>
        <v/>
      </c>
      <c r="H104" s="25" t="str">
        <f>IF($A104="","",IF(INDEX(Households!$AB$5:$AB$154,$N104)="Referral needed","Referral needed",""))</f>
        <v/>
      </c>
      <c r="I104" s="25" t="str">
        <f>IF($A104="","",INDEX(Households!$AC$5:$AC$154,$N104))</f>
        <v/>
      </c>
      <c r="J104" s="25" t="str">
        <f>IF($A104="","",INDEX(Households!$AD$5:$AD$154,$N104))</f>
        <v/>
      </c>
      <c r="K104" s="25" t="str">
        <f>IF($A104="","",INDEX(Households!$Y$5:$Y$154,$N104))</f>
        <v/>
      </c>
      <c r="L104" s="26" t="str">
        <f t="shared" si="7"/>
        <v/>
      </c>
      <c r="M104" s="27" t="str">
        <f>IF($A104="","",LARGE(Households!$AF$5:$AF$154,$A104))</f>
        <v/>
      </c>
      <c r="N104" s="24" t="str">
        <f>IF($A104="","",MATCH($M104,Households!$AF$5:$AF$154,0))</f>
        <v/>
      </c>
    </row>
    <row r="105" spans="1:14" x14ac:dyDescent="0.3">
      <c r="A105" s="24" t="str">
        <f t="shared" si="6"/>
        <v/>
      </c>
      <c r="B105" s="24" t="str">
        <f>IF($A105="","",INDEX(Households!$A$5:$A$154,$N105))</f>
        <v/>
      </c>
      <c r="C105" s="24" t="str">
        <f>IF($A105="","",INDEX(Households!$B$5:$B$154,$N105))</f>
        <v/>
      </c>
      <c r="D105" s="24" t="str">
        <f>IF($A105="","",INDEX(Households!$C$5:$C$154,$N105)&amp;" – "&amp;INDEX(Households!$D$5:$D$154,$N105))</f>
        <v/>
      </c>
      <c r="E105" s="25" t="str">
        <f>IF($A105="","",INDEX(Households!$X$5:$X$154,$N105))</f>
        <v/>
      </c>
      <c r="F105" s="24" t="str">
        <f>IF($A105="","",INDEX(Households!$AE$5:$AE$154,$N105))</f>
        <v/>
      </c>
      <c r="G105" s="24" t="str">
        <f>IF($A105="","",IF(INDEX(Households!$AA$5:$AA$154,$N105)&gt;0,INDEX(Households!$AA$5:$AA$154,$N105),""))</f>
        <v/>
      </c>
      <c r="H105" s="25" t="str">
        <f>IF($A105="","",IF(INDEX(Households!$AB$5:$AB$154,$N105)="Referral needed","Referral needed",""))</f>
        <v/>
      </c>
      <c r="I105" s="25" t="str">
        <f>IF($A105="","",INDEX(Households!$AC$5:$AC$154,$N105))</f>
        <v/>
      </c>
      <c r="J105" s="25" t="str">
        <f>IF($A105="","",INDEX(Households!$AD$5:$AD$154,$N105))</f>
        <v/>
      </c>
      <c r="K105" s="25" t="str">
        <f>IF($A105="","",INDEX(Households!$Y$5:$Y$154,$N105))</f>
        <v/>
      </c>
      <c r="L105" s="26" t="str">
        <f t="shared" si="7"/>
        <v/>
      </c>
      <c r="M105" s="27" t="str">
        <f>IF($A105="","",LARGE(Households!$AF$5:$AF$154,$A105))</f>
        <v/>
      </c>
      <c r="N105" s="24" t="str">
        <f>IF($A105="","",MATCH($M105,Households!$AF$5:$AF$154,0))</f>
        <v/>
      </c>
    </row>
    <row r="106" spans="1:14" x14ac:dyDescent="0.3">
      <c r="A106" s="24" t="str">
        <f t="shared" si="6"/>
        <v/>
      </c>
      <c r="B106" s="24" t="str">
        <f>IF($A106="","",INDEX(Households!$A$5:$A$154,$N106))</f>
        <v/>
      </c>
      <c r="C106" s="24" t="str">
        <f>IF($A106="","",INDEX(Households!$B$5:$B$154,$N106))</f>
        <v/>
      </c>
      <c r="D106" s="24" t="str">
        <f>IF($A106="","",INDEX(Households!$C$5:$C$154,$N106)&amp;" – "&amp;INDEX(Households!$D$5:$D$154,$N106))</f>
        <v/>
      </c>
      <c r="E106" s="25" t="str">
        <f>IF($A106="","",INDEX(Households!$X$5:$X$154,$N106))</f>
        <v/>
      </c>
      <c r="F106" s="24" t="str">
        <f>IF($A106="","",INDEX(Households!$AE$5:$AE$154,$N106))</f>
        <v/>
      </c>
      <c r="G106" s="24" t="str">
        <f>IF($A106="","",IF(INDEX(Households!$AA$5:$AA$154,$N106)&gt;0,INDEX(Households!$AA$5:$AA$154,$N106),""))</f>
        <v/>
      </c>
      <c r="H106" s="25" t="str">
        <f>IF($A106="","",IF(INDEX(Households!$AB$5:$AB$154,$N106)="Referral needed","Referral needed",""))</f>
        <v/>
      </c>
      <c r="I106" s="25" t="str">
        <f>IF($A106="","",INDEX(Households!$AC$5:$AC$154,$N106))</f>
        <v/>
      </c>
      <c r="J106" s="25" t="str">
        <f>IF($A106="","",INDEX(Households!$AD$5:$AD$154,$N106))</f>
        <v/>
      </c>
      <c r="K106" s="25" t="str">
        <f>IF($A106="","",INDEX(Households!$Y$5:$Y$154,$N106))</f>
        <v/>
      </c>
      <c r="L106" s="26" t="str">
        <f t="shared" si="7"/>
        <v/>
      </c>
      <c r="M106" s="27" t="str">
        <f>IF($A106="","",LARGE(Households!$AF$5:$AF$154,$A106))</f>
        <v/>
      </c>
      <c r="N106" s="24" t="str">
        <f>IF($A106="","",MATCH($M106,Households!$AF$5:$AF$154,0))</f>
        <v/>
      </c>
    </row>
    <row r="107" spans="1:14" x14ac:dyDescent="0.3">
      <c r="A107" s="24" t="str">
        <f t="shared" si="6"/>
        <v/>
      </c>
      <c r="B107" s="24" t="str">
        <f>IF($A107="","",INDEX(Households!$A$5:$A$154,$N107))</f>
        <v/>
      </c>
      <c r="C107" s="24" t="str">
        <f>IF($A107="","",INDEX(Households!$B$5:$B$154,$N107))</f>
        <v/>
      </c>
      <c r="D107" s="24" t="str">
        <f>IF($A107="","",INDEX(Households!$C$5:$C$154,$N107)&amp;" – "&amp;INDEX(Households!$D$5:$D$154,$N107))</f>
        <v/>
      </c>
      <c r="E107" s="25" t="str">
        <f>IF($A107="","",INDEX(Households!$X$5:$X$154,$N107))</f>
        <v/>
      </c>
      <c r="F107" s="24" t="str">
        <f>IF($A107="","",INDEX(Households!$AE$5:$AE$154,$N107))</f>
        <v/>
      </c>
      <c r="G107" s="24" t="str">
        <f>IF($A107="","",IF(INDEX(Households!$AA$5:$AA$154,$N107)&gt;0,INDEX(Households!$AA$5:$AA$154,$N107),""))</f>
        <v/>
      </c>
      <c r="H107" s="25" t="str">
        <f>IF($A107="","",IF(INDEX(Households!$AB$5:$AB$154,$N107)="Referral needed","Referral needed",""))</f>
        <v/>
      </c>
      <c r="I107" s="25" t="str">
        <f>IF($A107="","",INDEX(Households!$AC$5:$AC$154,$N107))</f>
        <v/>
      </c>
      <c r="J107" s="25" t="str">
        <f>IF($A107="","",INDEX(Households!$AD$5:$AD$154,$N107))</f>
        <v/>
      </c>
      <c r="K107" s="25" t="str">
        <f>IF($A107="","",INDEX(Households!$Y$5:$Y$154,$N107))</f>
        <v/>
      </c>
      <c r="L107" s="26" t="str">
        <f t="shared" si="7"/>
        <v/>
      </c>
      <c r="M107" s="27" t="str">
        <f>IF($A107="","",LARGE(Households!$AF$5:$AF$154,$A107))</f>
        <v/>
      </c>
      <c r="N107" s="24" t="str">
        <f>IF($A107="","",MATCH($M107,Households!$AF$5:$AF$154,0))</f>
        <v/>
      </c>
    </row>
    <row r="108" spans="1:14" x14ac:dyDescent="0.3">
      <c r="A108" s="24" t="str">
        <f t="shared" si="6"/>
        <v/>
      </c>
      <c r="B108" s="24" t="str">
        <f>IF($A108="","",INDEX(Households!$A$5:$A$154,$N108))</f>
        <v/>
      </c>
      <c r="C108" s="24" t="str">
        <f>IF($A108="","",INDEX(Households!$B$5:$B$154,$N108))</f>
        <v/>
      </c>
      <c r="D108" s="24" t="str">
        <f>IF($A108="","",INDEX(Households!$C$5:$C$154,$N108)&amp;" – "&amp;INDEX(Households!$D$5:$D$154,$N108))</f>
        <v/>
      </c>
      <c r="E108" s="25" t="str">
        <f>IF($A108="","",INDEX(Households!$X$5:$X$154,$N108))</f>
        <v/>
      </c>
      <c r="F108" s="24" t="str">
        <f>IF($A108="","",INDEX(Households!$AE$5:$AE$154,$N108))</f>
        <v/>
      </c>
      <c r="G108" s="24" t="str">
        <f>IF($A108="","",IF(INDEX(Households!$AA$5:$AA$154,$N108)&gt;0,INDEX(Households!$AA$5:$AA$154,$N108),""))</f>
        <v/>
      </c>
      <c r="H108" s="25" t="str">
        <f>IF($A108="","",IF(INDEX(Households!$AB$5:$AB$154,$N108)="Referral needed","Referral needed",""))</f>
        <v/>
      </c>
      <c r="I108" s="25" t="str">
        <f>IF($A108="","",INDEX(Households!$AC$5:$AC$154,$N108))</f>
        <v/>
      </c>
      <c r="J108" s="25" t="str">
        <f>IF($A108="","",INDEX(Households!$AD$5:$AD$154,$N108))</f>
        <v/>
      </c>
      <c r="K108" s="25" t="str">
        <f>IF($A108="","",INDEX(Households!$Y$5:$Y$154,$N108))</f>
        <v/>
      </c>
      <c r="L108" s="26" t="str">
        <f t="shared" si="7"/>
        <v/>
      </c>
      <c r="M108" s="27" t="str">
        <f>IF($A108="","",LARGE(Households!$AF$5:$AF$154,$A108))</f>
        <v/>
      </c>
      <c r="N108" s="24" t="str">
        <f>IF($A108="","",MATCH($M108,Households!$AF$5:$AF$154,0))</f>
        <v/>
      </c>
    </row>
    <row r="109" spans="1:14" x14ac:dyDescent="0.3">
      <c r="A109" s="24" t="str">
        <f t="shared" si="6"/>
        <v/>
      </c>
      <c r="B109" s="24" t="str">
        <f>IF($A109="","",INDEX(Households!$A$5:$A$154,$N109))</f>
        <v/>
      </c>
      <c r="C109" s="24" t="str">
        <f>IF($A109="","",INDEX(Households!$B$5:$B$154,$N109))</f>
        <v/>
      </c>
      <c r="D109" s="24" t="str">
        <f>IF($A109="","",INDEX(Households!$C$5:$C$154,$N109)&amp;" – "&amp;INDEX(Households!$D$5:$D$154,$N109))</f>
        <v/>
      </c>
      <c r="E109" s="25" t="str">
        <f>IF($A109="","",INDEX(Households!$X$5:$X$154,$N109))</f>
        <v/>
      </c>
      <c r="F109" s="24" t="str">
        <f>IF($A109="","",INDEX(Households!$AE$5:$AE$154,$N109))</f>
        <v/>
      </c>
      <c r="G109" s="24" t="str">
        <f>IF($A109="","",IF(INDEX(Households!$AA$5:$AA$154,$N109)&gt;0,INDEX(Households!$AA$5:$AA$154,$N109),""))</f>
        <v/>
      </c>
      <c r="H109" s="25" t="str">
        <f>IF($A109="","",IF(INDEX(Households!$AB$5:$AB$154,$N109)="Referral needed","Referral needed",""))</f>
        <v/>
      </c>
      <c r="I109" s="25" t="str">
        <f>IF($A109="","",INDEX(Households!$AC$5:$AC$154,$N109))</f>
        <v/>
      </c>
      <c r="J109" s="25" t="str">
        <f>IF($A109="","",INDEX(Households!$AD$5:$AD$154,$N109))</f>
        <v/>
      </c>
      <c r="K109" s="25" t="str">
        <f>IF($A109="","",INDEX(Households!$Y$5:$Y$154,$N109))</f>
        <v/>
      </c>
      <c r="L109" s="26" t="str">
        <f t="shared" si="7"/>
        <v/>
      </c>
      <c r="M109" s="27" t="str">
        <f>IF($A109="","",LARGE(Households!$AF$5:$AF$154,$A109))</f>
        <v/>
      </c>
      <c r="N109" s="24" t="str">
        <f>IF($A109="","",MATCH($M109,Households!$AF$5:$AF$154,0))</f>
        <v/>
      </c>
    </row>
    <row r="110" spans="1:14" x14ac:dyDescent="0.3">
      <c r="A110" s="24" t="str">
        <f t="shared" si="6"/>
        <v/>
      </c>
      <c r="B110" s="24" t="str">
        <f>IF($A110="","",INDEX(Households!$A$5:$A$154,$N110))</f>
        <v/>
      </c>
      <c r="C110" s="24" t="str">
        <f>IF($A110="","",INDEX(Households!$B$5:$B$154,$N110))</f>
        <v/>
      </c>
      <c r="D110" s="24" t="str">
        <f>IF($A110="","",INDEX(Households!$C$5:$C$154,$N110)&amp;" – "&amp;INDEX(Households!$D$5:$D$154,$N110))</f>
        <v/>
      </c>
      <c r="E110" s="25" t="str">
        <f>IF($A110="","",INDEX(Households!$X$5:$X$154,$N110))</f>
        <v/>
      </c>
      <c r="F110" s="24" t="str">
        <f>IF($A110="","",INDEX(Households!$AE$5:$AE$154,$N110))</f>
        <v/>
      </c>
      <c r="G110" s="24" t="str">
        <f>IF($A110="","",IF(INDEX(Households!$AA$5:$AA$154,$N110)&gt;0,INDEX(Households!$AA$5:$AA$154,$N110),""))</f>
        <v/>
      </c>
      <c r="H110" s="25" t="str">
        <f>IF($A110="","",IF(INDEX(Households!$AB$5:$AB$154,$N110)="Referral needed","Referral needed",""))</f>
        <v/>
      </c>
      <c r="I110" s="25" t="str">
        <f>IF($A110="","",INDEX(Households!$AC$5:$AC$154,$N110))</f>
        <v/>
      </c>
      <c r="J110" s="25" t="str">
        <f>IF($A110="","",INDEX(Households!$AD$5:$AD$154,$N110))</f>
        <v/>
      </c>
      <c r="K110" s="25" t="str">
        <f>IF($A110="","",INDEX(Households!$Y$5:$Y$154,$N110))</f>
        <v/>
      </c>
      <c r="L110" s="26" t="str">
        <f t="shared" si="7"/>
        <v/>
      </c>
      <c r="M110" s="27" t="str">
        <f>IF($A110="","",LARGE(Households!$AF$5:$AF$154,$A110))</f>
        <v/>
      </c>
      <c r="N110" s="24" t="str">
        <f>IF($A110="","",MATCH($M110,Households!$AF$5:$AF$154,0))</f>
        <v/>
      </c>
    </row>
    <row r="111" spans="1:14" x14ac:dyDescent="0.3">
      <c r="A111" s="24" t="str">
        <f t="shared" si="6"/>
        <v/>
      </c>
      <c r="B111" s="24" t="str">
        <f>IF($A111="","",INDEX(Households!$A$5:$A$154,$N111))</f>
        <v/>
      </c>
      <c r="C111" s="24" t="str">
        <f>IF($A111="","",INDEX(Households!$B$5:$B$154,$N111))</f>
        <v/>
      </c>
      <c r="D111" s="24" t="str">
        <f>IF($A111="","",INDEX(Households!$C$5:$C$154,$N111)&amp;" – "&amp;INDEX(Households!$D$5:$D$154,$N111))</f>
        <v/>
      </c>
      <c r="E111" s="25" t="str">
        <f>IF($A111="","",INDEX(Households!$X$5:$X$154,$N111))</f>
        <v/>
      </c>
      <c r="F111" s="24" t="str">
        <f>IF($A111="","",INDEX(Households!$AE$5:$AE$154,$N111))</f>
        <v/>
      </c>
      <c r="G111" s="24" t="str">
        <f>IF($A111="","",IF(INDEX(Households!$AA$5:$AA$154,$N111)&gt;0,INDEX(Households!$AA$5:$AA$154,$N111),""))</f>
        <v/>
      </c>
      <c r="H111" s="25" t="str">
        <f>IF($A111="","",IF(INDEX(Households!$AB$5:$AB$154,$N111)="Referral needed","Referral needed",""))</f>
        <v/>
      </c>
      <c r="I111" s="25" t="str">
        <f>IF($A111="","",INDEX(Households!$AC$5:$AC$154,$N111))</f>
        <v/>
      </c>
      <c r="J111" s="25" t="str">
        <f>IF($A111="","",INDEX(Households!$AD$5:$AD$154,$N111))</f>
        <v/>
      </c>
      <c r="K111" s="25" t="str">
        <f>IF($A111="","",INDEX(Households!$Y$5:$Y$154,$N111))</f>
        <v/>
      </c>
      <c r="L111" s="26" t="str">
        <f t="shared" si="7"/>
        <v/>
      </c>
      <c r="M111" s="27" t="str">
        <f>IF($A111="","",LARGE(Households!$AF$5:$AF$154,$A111))</f>
        <v/>
      </c>
      <c r="N111" s="24" t="str">
        <f>IF($A111="","",MATCH($M111,Households!$AF$5:$AF$154,0))</f>
        <v/>
      </c>
    </row>
    <row r="112" spans="1:14" x14ac:dyDescent="0.3">
      <c r="A112" s="24" t="str">
        <f t="shared" si="6"/>
        <v/>
      </c>
      <c r="B112" s="24" t="str">
        <f>IF($A112="","",INDEX(Households!$A$5:$A$154,$N112))</f>
        <v/>
      </c>
      <c r="C112" s="24" t="str">
        <f>IF($A112="","",INDEX(Households!$B$5:$B$154,$N112))</f>
        <v/>
      </c>
      <c r="D112" s="24" t="str">
        <f>IF($A112="","",INDEX(Households!$C$5:$C$154,$N112)&amp;" – "&amp;INDEX(Households!$D$5:$D$154,$N112))</f>
        <v/>
      </c>
      <c r="E112" s="25" t="str">
        <f>IF($A112="","",INDEX(Households!$X$5:$X$154,$N112))</f>
        <v/>
      </c>
      <c r="F112" s="24" t="str">
        <f>IF($A112="","",INDEX(Households!$AE$5:$AE$154,$N112))</f>
        <v/>
      </c>
      <c r="G112" s="24" t="str">
        <f>IF($A112="","",IF(INDEX(Households!$AA$5:$AA$154,$N112)&gt;0,INDEX(Households!$AA$5:$AA$154,$N112),""))</f>
        <v/>
      </c>
      <c r="H112" s="25" t="str">
        <f>IF($A112="","",IF(INDEX(Households!$AB$5:$AB$154,$N112)="Referral needed","Referral needed",""))</f>
        <v/>
      </c>
      <c r="I112" s="25" t="str">
        <f>IF($A112="","",INDEX(Households!$AC$5:$AC$154,$N112))</f>
        <v/>
      </c>
      <c r="J112" s="25" t="str">
        <f>IF($A112="","",INDEX(Households!$AD$5:$AD$154,$N112))</f>
        <v/>
      </c>
      <c r="K112" s="25" t="str">
        <f>IF($A112="","",INDEX(Households!$Y$5:$Y$154,$N112))</f>
        <v/>
      </c>
      <c r="L112" s="26" t="str">
        <f t="shared" si="7"/>
        <v/>
      </c>
      <c r="M112" s="27" t="str">
        <f>IF($A112="","",LARGE(Households!$AF$5:$AF$154,$A112))</f>
        <v/>
      </c>
      <c r="N112" s="24" t="str">
        <f>IF($A112="","",MATCH($M112,Households!$AF$5:$AF$154,0))</f>
        <v/>
      </c>
    </row>
    <row r="113" spans="1:14" x14ac:dyDescent="0.3">
      <c r="A113" s="24" t="str">
        <f t="shared" si="6"/>
        <v/>
      </c>
      <c r="B113" s="24" t="str">
        <f>IF($A113="","",INDEX(Households!$A$5:$A$154,$N113))</f>
        <v/>
      </c>
      <c r="C113" s="24" t="str">
        <f>IF($A113="","",INDEX(Households!$B$5:$B$154,$N113))</f>
        <v/>
      </c>
      <c r="D113" s="24" t="str">
        <f>IF($A113="","",INDEX(Households!$C$5:$C$154,$N113)&amp;" – "&amp;INDEX(Households!$D$5:$D$154,$N113))</f>
        <v/>
      </c>
      <c r="E113" s="25" t="str">
        <f>IF($A113="","",INDEX(Households!$X$5:$X$154,$N113))</f>
        <v/>
      </c>
      <c r="F113" s="24" t="str">
        <f>IF($A113="","",INDEX(Households!$AE$5:$AE$154,$N113))</f>
        <v/>
      </c>
      <c r="G113" s="24" t="str">
        <f>IF($A113="","",IF(INDEX(Households!$AA$5:$AA$154,$N113)&gt;0,INDEX(Households!$AA$5:$AA$154,$N113),""))</f>
        <v/>
      </c>
      <c r="H113" s="25" t="str">
        <f>IF($A113="","",IF(INDEX(Households!$AB$5:$AB$154,$N113)="Referral needed","Referral needed",""))</f>
        <v/>
      </c>
      <c r="I113" s="25" t="str">
        <f>IF($A113="","",INDEX(Households!$AC$5:$AC$154,$N113))</f>
        <v/>
      </c>
      <c r="J113" s="25" t="str">
        <f>IF($A113="","",INDEX(Households!$AD$5:$AD$154,$N113))</f>
        <v/>
      </c>
      <c r="K113" s="25" t="str">
        <f>IF($A113="","",INDEX(Households!$Y$5:$Y$154,$N113))</f>
        <v/>
      </c>
      <c r="L113" s="26" t="str">
        <f t="shared" si="7"/>
        <v/>
      </c>
      <c r="M113" s="27" t="str">
        <f>IF($A113="","",LARGE(Households!$AF$5:$AF$154,$A113))</f>
        <v/>
      </c>
      <c r="N113" s="24" t="str">
        <f>IF($A113="","",MATCH($M113,Households!$AF$5:$AF$154,0))</f>
        <v/>
      </c>
    </row>
    <row r="114" spans="1:14" x14ac:dyDescent="0.3">
      <c r="A114" s="24" t="str">
        <f t="shared" si="6"/>
        <v/>
      </c>
      <c r="B114" s="24" t="str">
        <f>IF($A114="","",INDEX(Households!$A$5:$A$154,$N114))</f>
        <v/>
      </c>
      <c r="C114" s="24" t="str">
        <f>IF($A114="","",INDEX(Households!$B$5:$B$154,$N114))</f>
        <v/>
      </c>
      <c r="D114" s="24" t="str">
        <f>IF($A114="","",INDEX(Households!$C$5:$C$154,$N114)&amp;" – "&amp;INDEX(Households!$D$5:$D$154,$N114))</f>
        <v/>
      </c>
      <c r="E114" s="25" t="str">
        <f>IF($A114="","",INDEX(Households!$X$5:$X$154,$N114))</f>
        <v/>
      </c>
      <c r="F114" s="24" t="str">
        <f>IF($A114="","",INDEX(Households!$AE$5:$AE$154,$N114))</f>
        <v/>
      </c>
      <c r="G114" s="24" t="str">
        <f>IF($A114="","",IF(INDEX(Households!$AA$5:$AA$154,$N114)&gt;0,INDEX(Households!$AA$5:$AA$154,$N114),""))</f>
        <v/>
      </c>
      <c r="H114" s="25" t="str">
        <f>IF($A114="","",IF(INDEX(Households!$AB$5:$AB$154,$N114)="Referral needed","Referral needed",""))</f>
        <v/>
      </c>
      <c r="I114" s="25" t="str">
        <f>IF($A114="","",INDEX(Households!$AC$5:$AC$154,$N114))</f>
        <v/>
      </c>
      <c r="J114" s="25" t="str">
        <f>IF($A114="","",INDEX(Households!$AD$5:$AD$154,$N114))</f>
        <v/>
      </c>
      <c r="K114" s="25" t="str">
        <f>IF($A114="","",INDEX(Households!$Y$5:$Y$154,$N114))</f>
        <v/>
      </c>
      <c r="L114" s="26" t="str">
        <f t="shared" si="7"/>
        <v/>
      </c>
      <c r="M114" s="27" t="str">
        <f>IF($A114="","",LARGE(Households!$AF$5:$AF$154,$A114))</f>
        <v/>
      </c>
      <c r="N114" s="24" t="str">
        <f>IF($A114="","",MATCH($M114,Households!$AF$5:$AF$154,0))</f>
        <v/>
      </c>
    </row>
    <row r="115" spans="1:14" x14ac:dyDescent="0.3">
      <c r="A115" s="24" t="str">
        <f t="shared" si="6"/>
        <v/>
      </c>
      <c r="B115" s="24" t="str">
        <f>IF($A115="","",INDEX(Households!$A$5:$A$154,$N115))</f>
        <v/>
      </c>
      <c r="C115" s="24" t="str">
        <f>IF($A115="","",INDEX(Households!$B$5:$B$154,$N115))</f>
        <v/>
      </c>
      <c r="D115" s="24" t="str">
        <f>IF($A115="","",INDEX(Households!$C$5:$C$154,$N115)&amp;" – "&amp;INDEX(Households!$D$5:$D$154,$N115))</f>
        <v/>
      </c>
      <c r="E115" s="25" t="str">
        <f>IF($A115="","",INDEX(Households!$X$5:$X$154,$N115))</f>
        <v/>
      </c>
      <c r="F115" s="24" t="str">
        <f>IF($A115="","",INDEX(Households!$AE$5:$AE$154,$N115))</f>
        <v/>
      </c>
      <c r="G115" s="24" t="str">
        <f>IF($A115="","",IF(INDEX(Households!$AA$5:$AA$154,$N115)&gt;0,INDEX(Households!$AA$5:$AA$154,$N115),""))</f>
        <v/>
      </c>
      <c r="H115" s="25" t="str">
        <f>IF($A115="","",IF(INDEX(Households!$AB$5:$AB$154,$N115)="Referral needed","Referral needed",""))</f>
        <v/>
      </c>
      <c r="I115" s="25" t="str">
        <f>IF($A115="","",INDEX(Households!$AC$5:$AC$154,$N115))</f>
        <v/>
      </c>
      <c r="J115" s="25" t="str">
        <f>IF($A115="","",INDEX(Households!$AD$5:$AD$154,$N115))</f>
        <v/>
      </c>
      <c r="K115" s="25" t="str">
        <f>IF($A115="","",INDEX(Households!$Y$5:$Y$154,$N115))</f>
        <v/>
      </c>
      <c r="L115" s="26" t="str">
        <f t="shared" si="7"/>
        <v/>
      </c>
      <c r="M115" s="27" t="str">
        <f>IF($A115="","",LARGE(Households!$AF$5:$AF$154,$A115))</f>
        <v/>
      </c>
      <c r="N115" s="24" t="str">
        <f>IF($A115="","",MATCH($M115,Households!$AF$5:$AF$154,0))</f>
        <v/>
      </c>
    </row>
    <row r="116" spans="1:14" x14ac:dyDescent="0.3">
      <c r="A116" s="24" t="str">
        <f t="shared" si="6"/>
        <v/>
      </c>
      <c r="B116" s="24" t="str">
        <f>IF($A116="","",INDEX(Households!$A$5:$A$154,$N116))</f>
        <v/>
      </c>
      <c r="C116" s="24" t="str">
        <f>IF($A116="","",INDEX(Households!$B$5:$B$154,$N116))</f>
        <v/>
      </c>
      <c r="D116" s="24" t="str">
        <f>IF($A116="","",INDEX(Households!$C$5:$C$154,$N116)&amp;" – "&amp;INDEX(Households!$D$5:$D$154,$N116))</f>
        <v/>
      </c>
      <c r="E116" s="25" t="str">
        <f>IF($A116="","",INDEX(Households!$X$5:$X$154,$N116))</f>
        <v/>
      </c>
      <c r="F116" s="24" t="str">
        <f>IF($A116="","",INDEX(Households!$AE$5:$AE$154,$N116))</f>
        <v/>
      </c>
      <c r="G116" s="24" t="str">
        <f>IF($A116="","",IF(INDEX(Households!$AA$5:$AA$154,$N116)&gt;0,INDEX(Households!$AA$5:$AA$154,$N116),""))</f>
        <v/>
      </c>
      <c r="H116" s="25" t="str">
        <f>IF($A116="","",IF(INDEX(Households!$AB$5:$AB$154,$N116)="Referral needed","Referral needed",""))</f>
        <v/>
      </c>
      <c r="I116" s="25" t="str">
        <f>IF($A116="","",INDEX(Households!$AC$5:$AC$154,$N116))</f>
        <v/>
      </c>
      <c r="J116" s="25" t="str">
        <f>IF($A116="","",INDEX(Households!$AD$5:$AD$154,$N116))</f>
        <v/>
      </c>
      <c r="K116" s="25" t="str">
        <f>IF($A116="","",INDEX(Households!$Y$5:$Y$154,$N116))</f>
        <v/>
      </c>
      <c r="L116" s="26" t="str">
        <f t="shared" si="7"/>
        <v/>
      </c>
      <c r="M116" s="27" t="str">
        <f>IF($A116="","",LARGE(Households!$AF$5:$AF$154,$A116))</f>
        <v/>
      </c>
      <c r="N116" s="24" t="str">
        <f>IF($A116="","",MATCH($M116,Households!$AF$5:$AF$154,0))</f>
        <v/>
      </c>
    </row>
    <row r="117" spans="1:14" x14ac:dyDescent="0.3">
      <c r="A117" s="24" t="str">
        <f t="shared" si="6"/>
        <v/>
      </c>
      <c r="B117" s="24" t="str">
        <f>IF($A117="","",INDEX(Households!$A$5:$A$154,$N117))</f>
        <v/>
      </c>
      <c r="C117" s="24" t="str">
        <f>IF($A117="","",INDEX(Households!$B$5:$B$154,$N117))</f>
        <v/>
      </c>
      <c r="D117" s="24" t="str">
        <f>IF($A117="","",INDEX(Households!$C$5:$C$154,$N117)&amp;" – "&amp;INDEX(Households!$D$5:$D$154,$N117))</f>
        <v/>
      </c>
      <c r="E117" s="25" t="str">
        <f>IF($A117="","",INDEX(Households!$X$5:$X$154,$N117))</f>
        <v/>
      </c>
      <c r="F117" s="24" t="str">
        <f>IF($A117="","",INDEX(Households!$AE$5:$AE$154,$N117))</f>
        <v/>
      </c>
      <c r="G117" s="24" t="str">
        <f>IF($A117="","",IF(INDEX(Households!$AA$5:$AA$154,$N117)&gt;0,INDEX(Households!$AA$5:$AA$154,$N117),""))</f>
        <v/>
      </c>
      <c r="H117" s="25" t="str">
        <f>IF($A117="","",IF(INDEX(Households!$AB$5:$AB$154,$N117)="Referral needed","Referral needed",""))</f>
        <v/>
      </c>
      <c r="I117" s="25" t="str">
        <f>IF($A117="","",INDEX(Households!$AC$5:$AC$154,$N117))</f>
        <v/>
      </c>
      <c r="J117" s="25" t="str">
        <f>IF($A117="","",INDEX(Households!$AD$5:$AD$154,$N117))</f>
        <v/>
      </c>
      <c r="K117" s="25" t="str">
        <f>IF($A117="","",INDEX(Households!$Y$5:$Y$154,$N117))</f>
        <v/>
      </c>
      <c r="L117" s="26" t="str">
        <f t="shared" si="7"/>
        <v/>
      </c>
      <c r="M117" s="27" t="str">
        <f>IF($A117="","",LARGE(Households!$AF$5:$AF$154,$A117))</f>
        <v/>
      </c>
      <c r="N117" s="24" t="str">
        <f>IF($A117="","",MATCH($M117,Households!$AF$5:$AF$154,0))</f>
        <v/>
      </c>
    </row>
    <row r="118" spans="1:14" x14ac:dyDescent="0.3">
      <c r="A118" s="24" t="str">
        <f t="shared" si="6"/>
        <v/>
      </c>
      <c r="B118" s="24" t="str">
        <f>IF($A118="","",INDEX(Households!$A$5:$A$154,$N118))</f>
        <v/>
      </c>
      <c r="C118" s="24" t="str">
        <f>IF($A118="","",INDEX(Households!$B$5:$B$154,$N118))</f>
        <v/>
      </c>
      <c r="D118" s="24" t="str">
        <f>IF($A118="","",INDEX(Households!$C$5:$C$154,$N118)&amp;" – "&amp;INDEX(Households!$D$5:$D$154,$N118))</f>
        <v/>
      </c>
      <c r="E118" s="25" t="str">
        <f>IF($A118="","",INDEX(Households!$X$5:$X$154,$N118))</f>
        <v/>
      </c>
      <c r="F118" s="24" t="str">
        <f>IF($A118="","",INDEX(Households!$AE$5:$AE$154,$N118))</f>
        <v/>
      </c>
      <c r="G118" s="24" t="str">
        <f>IF($A118="","",IF(INDEX(Households!$AA$5:$AA$154,$N118)&gt;0,INDEX(Households!$AA$5:$AA$154,$N118),""))</f>
        <v/>
      </c>
      <c r="H118" s="25" t="str">
        <f>IF($A118="","",IF(INDEX(Households!$AB$5:$AB$154,$N118)="Referral needed","Referral needed",""))</f>
        <v/>
      </c>
      <c r="I118" s="25" t="str">
        <f>IF($A118="","",INDEX(Households!$AC$5:$AC$154,$N118))</f>
        <v/>
      </c>
      <c r="J118" s="25" t="str">
        <f>IF($A118="","",INDEX(Households!$AD$5:$AD$154,$N118))</f>
        <v/>
      </c>
      <c r="K118" s="25" t="str">
        <f>IF($A118="","",INDEX(Households!$Y$5:$Y$154,$N118))</f>
        <v/>
      </c>
      <c r="L118" s="26" t="str">
        <f t="shared" si="7"/>
        <v/>
      </c>
      <c r="M118" s="27" t="str">
        <f>IF($A118="","",LARGE(Households!$AF$5:$AF$154,$A118))</f>
        <v/>
      </c>
      <c r="N118" s="24" t="str">
        <f>IF($A118="","",MATCH($M118,Households!$AF$5:$AF$154,0))</f>
        <v/>
      </c>
    </row>
    <row r="119" spans="1:14" x14ac:dyDescent="0.3">
      <c r="A119" s="24" t="str">
        <f t="shared" si="6"/>
        <v/>
      </c>
      <c r="B119" s="24" t="str">
        <f>IF($A119="","",INDEX(Households!$A$5:$A$154,$N119))</f>
        <v/>
      </c>
      <c r="C119" s="24" t="str">
        <f>IF($A119="","",INDEX(Households!$B$5:$B$154,$N119))</f>
        <v/>
      </c>
      <c r="D119" s="24" t="str">
        <f>IF($A119="","",INDEX(Households!$C$5:$C$154,$N119)&amp;" – "&amp;INDEX(Households!$D$5:$D$154,$N119))</f>
        <v/>
      </c>
      <c r="E119" s="25" t="str">
        <f>IF($A119="","",INDEX(Households!$X$5:$X$154,$N119))</f>
        <v/>
      </c>
      <c r="F119" s="24" t="str">
        <f>IF($A119="","",INDEX(Households!$AE$5:$AE$154,$N119))</f>
        <v/>
      </c>
      <c r="G119" s="24" t="str">
        <f>IF($A119="","",IF(INDEX(Households!$AA$5:$AA$154,$N119)&gt;0,INDEX(Households!$AA$5:$AA$154,$N119),""))</f>
        <v/>
      </c>
      <c r="H119" s="25" t="str">
        <f>IF($A119="","",IF(INDEX(Households!$AB$5:$AB$154,$N119)="Referral needed","Referral needed",""))</f>
        <v/>
      </c>
      <c r="I119" s="25" t="str">
        <f>IF($A119="","",INDEX(Households!$AC$5:$AC$154,$N119))</f>
        <v/>
      </c>
      <c r="J119" s="25" t="str">
        <f>IF($A119="","",INDEX(Households!$AD$5:$AD$154,$N119))</f>
        <v/>
      </c>
      <c r="K119" s="25" t="str">
        <f>IF($A119="","",INDEX(Households!$Y$5:$Y$154,$N119))</f>
        <v/>
      </c>
      <c r="L119" s="26" t="str">
        <f t="shared" si="7"/>
        <v/>
      </c>
      <c r="M119" s="27" t="str">
        <f>IF($A119="","",LARGE(Households!$AF$5:$AF$154,$A119))</f>
        <v/>
      </c>
      <c r="N119" s="24" t="str">
        <f>IF($A119="","",MATCH($M119,Households!$AF$5:$AF$154,0))</f>
        <v/>
      </c>
    </row>
    <row r="120" spans="1:14" x14ac:dyDescent="0.3">
      <c r="A120" s="24" t="str">
        <f t="shared" si="6"/>
        <v/>
      </c>
      <c r="B120" s="24" t="str">
        <f>IF($A120="","",INDEX(Households!$A$5:$A$154,$N120))</f>
        <v/>
      </c>
      <c r="C120" s="24" t="str">
        <f>IF($A120="","",INDEX(Households!$B$5:$B$154,$N120))</f>
        <v/>
      </c>
      <c r="D120" s="24" t="str">
        <f>IF($A120="","",INDEX(Households!$C$5:$C$154,$N120)&amp;" – "&amp;INDEX(Households!$D$5:$D$154,$N120))</f>
        <v/>
      </c>
      <c r="E120" s="25" t="str">
        <f>IF($A120="","",INDEX(Households!$X$5:$X$154,$N120))</f>
        <v/>
      </c>
      <c r="F120" s="24" t="str">
        <f>IF($A120="","",INDEX(Households!$AE$5:$AE$154,$N120))</f>
        <v/>
      </c>
      <c r="G120" s="24" t="str">
        <f>IF($A120="","",IF(INDEX(Households!$AA$5:$AA$154,$N120)&gt;0,INDEX(Households!$AA$5:$AA$154,$N120),""))</f>
        <v/>
      </c>
      <c r="H120" s="25" t="str">
        <f>IF($A120="","",IF(INDEX(Households!$AB$5:$AB$154,$N120)="Referral needed","Referral needed",""))</f>
        <v/>
      </c>
      <c r="I120" s="25" t="str">
        <f>IF($A120="","",INDEX(Households!$AC$5:$AC$154,$N120))</f>
        <v/>
      </c>
      <c r="J120" s="25" t="str">
        <f>IF($A120="","",INDEX(Households!$AD$5:$AD$154,$N120))</f>
        <v/>
      </c>
      <c r="K120" s="25" t="str">
        <f>IF($A120="","",INDEX(Households!$Y$5:$Y$154,$N120))</f>
        <v/>
      </c>
      <c r="L120" s="26" t="str">
        <f t="shared" si="7"/>
        <v/>
      </c>
      <c r="M120" s="27" t="str">
        <f>IF($A120="","",LARGE(Households!$AF$5:$AF$154,$A120))</f>
        <v/>
      </c>
      <c r="N120" s="24" t="str">
        <f>IF($A120="","",MATCH($M120,Households!$AF$5:$AF$154,0))</f>
        <v/>
      </c>
    </row>
    <row r="121" spans="1:14" x14ac:dyDescent="0.3">
      <c r="A121" s="24" t="str">
        <f t="shared" si="6"/>
        <v/>
      </c>
      <c r="B121" s="24" t="str">
        <f>IF($A121="","",INDEX(Households!$A$5:$A$154,$N121))</f>
        <v/>
      </c>
      <c r="C121" s="24" t="str">
        <f>IF($A121="","",INDEX(Households!$B$5:$B$154,$N121))</f>
        <v/>
      </c>
      <c r="D121" s="24" t="str">
        <f>IF($A121="","",INDEX(Households!$C$5:$C$154,$N121)&amp;" – "&amp;INDEX(Households!$D$5:$D$154,$N121))</f>
        <v/>
      </c>
      <c r="E121" s="25" t="str">
        <f>IF($A121="","",INDEX(Households!$X$5:$X$154,$N121))</f>
        <v/>
      </c>
      <c r="F121" s="24" t="str">
        <f>IF($A121="","",INDEX(Households!$AE$5:$AE$154,$N121))</f>
        <v/>
      </c>
      <c r="G121" s="24" t="str">
        <f>IF($A121="","",IF(INDEX(Households!$AA$5:$AA$154,$N121)&gt;0,INDEX(Households!$AA$5:$AA$154,$N121),""))</f>
        <v/>
      </c>
      <c r="H121" s="25" t="str">
        <f>IF($A121="","",IF(INDEX(Households!$AB$5:$AB$154,$N121)="Referral needed","Referral needed",""))</f>
        <v/>
      </c>
      <c r="I121" s="25" t="str">
        <f>IF($A121="","",INDEX(Households!$AC$5:$AC$154,$N121))</f>
        <v/>
      </c>
      <c r="J121" s="25" t="str">
        <f>IF($A121="","",INDEX(Households!$AD$5:$AD$154,$N121))</f>
        <v/>
      </c>
      <c r="K121" s="25" t="str">
        <f>IF($A121="","",INDEX(Households!$Y$5:$Y$154,$N121))</f>
        <v/>
      </c>
      <c r="L121" s="26" t="str">
        <f t="shared" si="7"/>
        <v/>
      </c>
      <c r="M121" s="27" t="str">
        <f>IF($A121="","",LARGE(Households!$AF$5:$AF$154,$A121))</f>
        <v/>
      </c>
      <c r="N121" s="24" t="str">
        <f>IF($A121="","",MATCH($M121,Households!$AF$5:$AF$154,0))</f>
        <v/>
      </c>
    </row>
    <row r="122" spans="1:14" x14ac:dyDescent="0.3">
      <c r="A122" s="24" t="str">
        <f t="shared" si="6"/>
        <v/>
      </c>
      <c r="B122" s="24" t="str">
        <f>IF($A122="","",INDEX(Households!$A$5:$A$154,$N122))</f>
        <v/>
      </c>
      <c r="C122" s="24" t="str">
        <f>IF($A122="","",INDEX(Households!$B$5:$B$154,$N122))</f>
        <v/>
      </c>
      <c r="D122" s="24" t="str">
        <f>IF($A122="","",INDEX(Households!$C$5:$C$154,$N122)&amp;" – "&amp;INDEX(Households!$D$5:$D$154,$N122))</f>
        <v/>
      </c>
      <c r="E122" s="25" t="str">
        <f>IF($A122="","",INDEX(Households!$X$5:$X$154,$N122))</f>
        <v/>
      </c>
      <c r="F122" s="24" t="str">
        <f>IF($A122="","",INDEX(Households!$AE$5:$AE$154,$N122))</f>
        <v/>
      </c>
      <c r="G122" s="24" t="str">
        <f>IF($A122="","",IF(INDEX(Households!$AA$5:$AA$154,$N122)&gt;0,INDEX(Households!$AA$5:$AA$154,$N122),""))</f>
        <v/>
      </c>
      <c r="H122" s="25" t="str">
        <f>IF($A122="","",IF(INDEX(Households!$AB$5:$AB$154,$N122)="Referral needed","Referral needed",""))</f>
        <v/>
      </c>
      <c r="I122" s="25" t="str">
        <f>IF($A122="","",INDEX(Households!$AC$5:$AC$154,$N122))</f>
        <v/>
      </c>
      <c r="J122" s="25" t="str">
        <f>IF($A122="","",INDEX(Households!$AD$5:$AD$154,$N122))</f>
        <v/>
      </c>
      <c r="K122" s="25" t="str">
        <f>IF($A122="","",INDEX(Households!$Y$5:$Y$154,$N122))</f>
        <v/>
      </c>
      <c r="L122" s="26" t="str">
        <f t="shared" si="7"/>
        <v/>
      </c>
      <c r="M122" s="27" t="str">
        <f>IF($A122="","",LARGE(Households!$AF$5:$AF$154,$A122))</f>
        <v/>
      </c>
      <c r="N122" s="24" t="str">
        <f>IF($A122="","",MATCH($M122,Households!$AF$5:$AF$154,0))</f>
        <v/>
      </c>
    </row>
    <row r="123" spans="1:14" x14ac:dyDescent="0.3">
      <c r="A123" s="24" t="str">
        <f t="shared" si="6"/>
        <v/>
      </c>
      <c r="B123" s="24" t="str">
        <f>IF($A123="","",INDEX(Households!$A$5:$A$154,$N123))</f>
        <v/>
      </c>
      <c r="C123" s="24" t="str">
        <f>IF($A123="","",INDEX(Households!$B$5:$B$154,$N123))</f>
        <v/>
      </c>
      <c r="D123" s="24" t="str">
        <f>IF($A123="","",INDEX(Households!$C$5:$C$154,$N123)&amp;" – "&amp;INDEX(Households!$D$5:$D$154,$N123))</f>
        <v/>
      </c>
      <c r="E123" s="25" t="str">
        <f>IF($A123="","",INDEX(Households!$X$5:$X$154,$N123))</f>
        <v/>
      </c>
      <c r="F123" s="24" t="str">
        <f>IF($A123="","",INDEX(Households!$AE$5:$AE$154,$N123))</f>
        <v/>
      </c>
      <c r="G123" s="24" t="str">
        <f>IF($A123="","",IF(INDEX(Households!$AA$5:$AA$154,$N123)&gt;0,INDEX(Households!$AA$5:$AA$154,$N123),""))</f>
        <v/>
      </c>
      <c r="H123" s="25" t="str">
        <f>IF($A123="","",IF(INDEX(Households!$AB$5:$AB$154,$N123)="Referral needed","Referral needed",""))</f>
        <v/>
      </c>
      <c r="I123" s="25" t="str">
        <f>IF($A123="","",INDEX(Households!$AC$5:$AC$154,$N123))</f>
        <v/>
      </c>
      <c r="J123" s="25" t="str">
        <f>IF($A123="","",INDEX(Households!$AD$5:$AD$154,$N123))</f>
        <v/>
      </c>
      <c r="K123" s="25" t="str">
        <f>IF($A123="","",INDEX(Households!$Y$5:$Y$154,$N123))</f>
        <v/>
      </c>
      <c r="L123" s="26" t="str">
        <f t="shared" si="7"/>
        <v/>
      </c>
      <c r="M123" s="27" t="str">
        <f>IF($A123="","",LARGE(Households!$AF$5:$AF$154,$A123))</f>
        <v/>
      </c>
      <c r="N123" s="24" t="str">
        <f>IF($A123="","",MATCH($M123,Households!$AF$5:$AF$154,0))</f>
        <v/>
      </c>
    </row>
    <row r="124" spans="1:14" x14ac:dyDescent="0.3">
      <c r="A124" s="24" t="str">
        <f t="shared" si="6"/>
        <v/>
      </c>
      <c r="B124" s="24" t="str">
        <f>IF($A124="","",INDEX(Households!$A$5:$A$154,$N124))</f>
        <v/>
      </c>
      <c r="C124" s="24" t="str">
        <f>IF($A124="","",INDEX(Households!$B$5:$B$154,$N124))</f>
        <v/>
      </c>
      <c r="D124" s="24" t="str">
        <f>IF($A124="","",INDEX(Households!$C$5:$C$154,$N124)&amp;" – "&amp;INDEX(Households!$D$5:$D$154,$N124))</f>
        <v/>
      </c>
      <c r="E124" s="25" t="str">
        <f>IF($A124="","",INDEX(Households!$X$5:$X$154,$N124))</f>
        <v/>
      </c>
      <c r="F124" s="24" t="str">
        <f>IF($A124="","",INDEX(Households!$AE$5:$AE$154,$N124))</f>
        <v/>
      </c>
      <c r="G124" s="24" t="str">
        <f>IF($A124="","",IF(INDEX(Households!$AA$5:$AA$154,$N124)&gt;0,INDEX(Households!$AA$5:$AA$154,$N124),""))</f>
        <v/>
      </c>
      <c r="H124" s="25" t="str">
        <f>IF($A124="","",IF(INDEX(Households!$AB$5:$AB$154,$N124)="Referral needed","Referral needed",""))</f>
        <v/>
      </c>
      <c r="I124" s="25" t="str">
        <f>IF($A124="","",INDEX(Households!$AC$5:$AC$154,$N124))</f>
        <v/>
      </c>
      <c r="J124" s="25" t="str">
        <f>IF($A124="","",INDEX(Households!$AD$5:$AD$154,$N124))</f>
        <v/>
      </c>
      <c r="K124" s="25" t="str">
        <f>IF($A124="","",INDEX(Households!$Y$5:$Y$154,$N124))</f>
        <v/>
      </c>
      <c r="L124" s="26" t="str">
        <f t="shared" si="7"/>
        <v/>
      </c>
      <c r="M124" s="27" t="str">
        <f>IF($A124="","",LARGE(Households!$AF$5:$AF$154,$A124))</f>
        <v/>
      </c>
      <c r="N124" s="24" t="str">
        <f>IF($A124="","",MATCH($M124,Households!$AF$5:$AF$154,0))</f>
        <v/>
      </c>
    </row>
    <row r="125" spans="1:14" x14ac:dyDescent="0.3">
      <c r="A125" s="24" t="str">
        <f t="shared" si="6"/>
        <v/>
      </c>
      <c r="B125" s="24" t="str">
        <f>IF($A125="","",INDEX(Households!$A$5:$A$154,$N125))</f>
        <v/>
      </c>
      <c r="C125" s="24" t="str">
        <f>IF($A125="","",INDEX(Households!$B$5:$B$154,$N125))</f>
        <v/>
      </c>
      <c r="D125" s="24" t="str">
        <f>IF($A125="","",INDEX(Households!$C$5:$C$154,$N125)&amp;" – "&amp;INDEX(Households!$D$5:$D$154,$N125))</f>
        <v/>
      </c>
      <c r="E125" s="25" t="str">
        <f>IF($A125="","",INDEX(Households!$X$5:$X$154,$N125))</f>
        <v/>
      </c>
      <c r="F125" s="24" t="str">
        <f>IF($A125="","",INDEX(Households!$AE$5:$AE$154,$N125))</f>
        <v/>
      </c>
      <c r="G125" s="24" t="str">
        <f>IF($A125="","",IF(INDEX(Households!$AA$5:$AA$154,$N125)&gt;0,INDEX(Households!$AA$5:$AA$154,$N125),""))</f>
        <v/>
      </c>
      <c r="H125" s="25" t="str">
        <f>IF($A125="","",IF(INDEX(Households!$AB$5:$AB$154,$N125)="Referral needed","Referral needed",""))</f>
        <v/>
      </c>
      <c r="I125" s="25" t="str">
        <f>IF($A125="","",INDEX(Households!$AC$5:$AC$154,$N125))</f>
        <v/>
      </c>
      <c r="J125" s="25" t="str">
        <f>IF($A125="","",INDEX(Households!$AD$5:$AD$154,$N125))</f>
        <v/>
      </c>
      <c r="K125" s="25" t="str">
        <f>IF($A125="","",INDEX(Households!$Y$5:$Y$154,$N125))</f>
        <v/>
      </c>
      <c r="L125" s="26" t="str">
        <f t="shared" si="7"/>
        <v/>
      </c>
      <c r="M125" s="27" t="str">
        <f>IF($A125="","",LARGE(Households!$AF$5:$AF$154,$A125))</f>
        <v/>
      </c>
      <c r="N125" s="24" t="str">
        <f>IF($A125="","",MATCH($M125,Households!$AF$5:$AF$154,0))</f>
        <v/>
      </c>
    </row>
    <row r="126" spans="1:14" x14ac:dyDescent="0.3">
      <c r="A126" s="24" t="str">
        <f t="shared" si="6"/>
        <v/>
      </c>
      <c r="B126" s="24" t="str">
        <f>IF($A126="","",INDEX(Households!$A$5:$A$154,$N126))</f>
        <v/>
      </c>
      <c r="C126" s="24" t="str">
        <f>IF($A126="","",INDEX(Households!$B$5:$B$154,$N126))</f>
        <v/>
      </c>
      <c r="D126" s="24" t="str">
        <f>IF($A126="","",INDEX(Households!$C$5:$C$154,$N126)&amp;" – "&amp;INDEX(Households!$D$5:$D$154,$N126))</f>
        <v/>
      </c>
      <c r="E126" s="25" t="str">
        <f>IF($A126="","",INDEX(Households!$X$5:$X$154,$N126))</f>
        <v/>
      </c>
      <c r="F126" s="24" t="str">
        <f>IF($A126="","",INDEX(Households!$AE$5:$AE$154,$N126))</f>
        <v/>
      </c>
      <c r="G126" s="24" t="str">
        <f>IF($A126="","",IF(INDEX(Households!$AA$5:$AA$154,$N126)&gt;0,INDEX(Households!$AA$5:$AA$154,$N126),""))</f>
        <v/>
      </c>
      <c r="H126" s="25" t="str">
        <f>IF($A126="","",IF(INDEX(Households!$AB$5:$AB$154,$N126)="Referral needed","Referral needed",""))</f>
        <v/>
      </c>
      <c r="I126" s="25" t="str">
        <f>IF($A126="","",INDEX(Households!$AC$5:$AC$154,$N126))</f>
        <v/>
      </c>
      <c r="J126" s="25" t="str">
        <f>IF($A126="","",INDEX(Households!$AD$5:$AD$154,$N126))</f>
        <v/>
      </c>
      <c r="K126" s="25" t="str">
        <f>IF($A126="","",INDEX(Households!$Y$5:$Y$154,$N126))</f>
        <v/>
      </c>
      <c r="L126" s="26" t="str">
        <f t="shared" si="7"/>
        <v/>
      </c>
      <c r="M126" s="27" t="str">
        <f>IF($A126="","",LARGE(Households!$AF$5:$AF$154,$A126))</f>
        <v/>
      </c>
      <c r="N126" s="24" t="str">
        <f>IF($A126="","",MATCH($M126,Households!$AF$5:$AF$154,0))</f>
        <v/>
      </c>
    </row>
    <row r="127" spans="1:14" x14ac:dyDescent="0.3">
      <c r="A127" s="24" t="str">
        <f t="shared" si="6"/>
        <v/>
      </c>
      <c r="B127" s="24" t="str">
        <f>IF($A127="","",INDEX(Households!$A$5:$A$154,$N127))</f>
        <v/>
      </c>
      <c r="C127" s="24" t="str">
        <f>IF($A127="","",INDEX(Households!$B$5:$B$154,$N127))</f>
        <v/>
      </c>
      <c r="D127" s="24" t="str">
        <f>IF($A127="","",INDEX(Households!$C$5:$C$154,$N127)&amp;" – "&amp;INDEX(Households!$D$5:$D$154,$N127))</f>
        <v/>
      </c>
      <c r="E127" s="25" t="str">
        <f>IF($A127="","",INDEX(Households!$X$5:$X$154,$N127))</f>
        <v/>
      </c>
      <c r="F127" s="24" t="str">
        <f>IF($A127="","",INDEX(Households!$AE$5:$AE$154,$N127))</f>
        <v/>
      </c>
      <c r="G127" s="24" t="str">
        <f>IF($A127="","",IF(INDEX(Households!$AA$5:$AA$154,$N127)&gt;0,INDEX(Households!$AA$5:$AA$154,$N127),""))</f>
        <v/>
      </c>
      <c r="H127" s="25" t="str">
        <f>IF($A127="","",IF(INDEX(Households!$AB$5:$AB$154,$N127)="Referral needed","Referral needed",""))</f>
        <v/>
      </c>
      <c r="I127" s="25" t="str">
        <f>IF($A127="","",INDEX(Households!$AC$5:$AC$154,$N127))</f>
        <v/>
      </c>
      <c r="J127" s="25" t="str">
        <f>IF($A127="","",INDEX(Households!$AD$5:$AD$154,$N127))</f>
        <v/>
      </c>
      <c r="K127" s="25" t="str">
        <f>IF($A127="","",INDEX(Households!$Y$5:$Y$154,$N127))</f>
        <v/>
      </c>
      <c r="L127" s="26" t="str">
        <f t="shared" si="7"/>
        <v/>
      </c>
      <c r="M127" s="27" t="str">
        <f>IF($A127="","",LARGE(Households!$AF$5:$AF$154,$A127))</f>
        <v/>
      </c>
      <c r="N127" s="24" t="str">
        <f>IF($A127="","",MATCH($M127,Households!$AF$5:$AF$154,0))</f>
        <v/>
      </c>
    </row>
    <row r="128" spans="1:14" x14ac:dyDescent="0.3">
      <c r="A128" s="24" t="str">
        <f t="shared" si="6"/>
        <v/>
      </c>
      <c r="B128" s="24" t="str">
        <f>IF($A128="","",INDEX(Households!$A$5:$A$154,$N128))</f>
        <v/>
      </c>
      <c r="C128" s="24" t="str">
        <f>IF($A128="","",INDEX(Households!$B$5:$B$154,$N128))</f>
        <v/>
      </c>
      <c r="D128" s="24" t="str">
        <f>IF($A128="","",INDEX(Households!$C$5:$C$154,$N128)&amp;" – "&amp;INDEX(Households!$D$5:$D$154,$N128))</f>
        <v/>
      </c>
      <c r="E128" s="25" t="str">
        <f>IF($A128="","",INDEX(Households!$X$5:$X$154,$N128))</f>
        <v/>
      </c>
      <c r="F128" s="24" t="str">
        <f>IF($A128="","",INDEX(Households!$AE$5:$AE$154,$N128))</f>
        <v/>
      </c>
      <c r="G128" s="24" t="str">
        <f>IF($A128="","",IF(INDEX(Households!$AA$5:$AA$154,$N128)&gt;0,INDEX(Households!$AA$5:$AA$154,$N128),""))</f>
        <v/>
      </c>
      <c r="H128" s="25" t="str">
        <f>IF($A128="","",IF(INDEX(Households!$AB$5:$AB$154,$N128)="Referral needed","Referral needed",""))</f>
        <v/>
      </c>
      <c r="I128" s="25" t="str">
        <f>IF($A128="","",INDEX(Households!$AC$5:$AC$154,$N128))</f>
        <v/>
      </c>
      <c r="J128" s="25" t="str">
        <f>IF($A128="","",INDEX(Households!$AD$5:$AD$154,$N128))</f>
        <v/>
      </c>
      <c r="K128" s="25" t="str">
        <f>IF($A128="","",INDEX(Households!$Y$5:$Y$154,$N128))</f>
        <v/>
      </c>
      <c r="L128" s="26" t="str">
        <f t="shared" si="7"/>
        <v/>
      </c>
      <c r="M128" s="27" t="str">
        <f>IF($A128="","",LARGE(Households!$AF$5:$AF$154,$A128))</f>
        <v/>
      </c>
      <c r="N128" s="24" t="str">
        <f>IF($A128="","",MATCH($M128,Households!$AF$5:$AF$154,0))</f>
        <v/>
      </c>
    </row>
    <row r="129" spans="1:14" x14ac:dyDescent="0.3">
      <c r="A129" s="24" t="str">
        <f t="shared" si="6"/>
        <v/>
      </c>
      <c r="B129" s="24" t="str">
        <f>IF($A129="","",INDEX(Households!$A$5:$A$154,$N129))</f>
        <v/>
      </c>
      <c r="C129" s="24" t="str">
        <f>IF($A129="","",INDEX(Households!$B$5:$B$154,$N129))</f>
        <v/>
      </c>
      <c r="D129" s="24" t="str">
        <f>IF($A129="","",INDEX(Households!$C$5:$C$154,$N129)&amp;" – "&amp;INDEX(Households!$D$5:$D$154,$N129))</f>
        <v/>
      </c>
      <c r="E129" s="25" t="str">
        <f>IF($A129="","",INDEX(Households!$X$5:$X$154,$N129))</f>
        <v/>
      </c>
      <c r="F129" s="24" t="str">
        <f>IF($A129="","",INDEX(Households!$AE$5:$AE$154,$N129))</f>
        <v/>
      </c>
      <c r="G129" s="24" t="str">
        <f>IF($A129="","",IF(INDEX(Households!$AA$5:$AA$154,$N129)&gt;0,INDEX(Households!$AA$5:$AA$154,$N129),""))</f>
        <v/>
      </c>
      <c r="H129" s="25" t="str">
        <f>IF($A129="","",IF(INDEX(Households!$AB$5:$AB$154,$N129)="Referral needed","Referral needed",""))</f>
        <v/>
      </c>
      <c r="I129" s="25" t="str">
        <f>IF($A129="","",INDEX(Households!$AC$5:$AC$154,$N129))</f>
        <v/>
      </c>
      <c r="J129" s="25" t="str">
        <f>IF($A129="","",INDEX(Households!$AD$5:$AD$154,$N129))</f>
        <v/>
      </c>
      <c r="K129" s="25" t="str">
        <f>IF($A129="","",INDEX(Households!$Y$5:$Y$154,$N129))</f>
        <v/>
      </c>
      <c r="L129" s="26" t="str">
        <f t="shared" si="7"/>
        <v/>
      </c>
      <c r="M129" s="27" t="str">
        <f>IF($A129="","",LARGE(Households!$AF$5:$AF$154,$A129))</f>
        <v/>
      </c>
      <c r="N129" s="24" t="str">
        <f>IF($A129="","",MATCH($M129,Households!$AF$5:$AF$154,0))</f>
        <v/>
      </c>
    </row>
    <row r="130" spans="1:14" x14ac:dyDescent="0.3">
      <c r="A130" s="24" t="str">
        <f t="shared" si="6"/>
        <v/>
      </c>
      <c r="B130" s="24" t="str">
        <f>IF($A130="","",INDEX(Households!$A$5:$A$154,$N130))</f>
        <v/>
      </c>
      <c r="C130" s="24" t="str">
        <f>IF($A130="","",INDEX(Households!$B$5:$B$154,$N130))</f>
        <v/>
      </c>
      <c r="D130" s="24" t="str">
        <f>IF($A130="","",INDEX(Households!$C$5:$C$154,$N130)&amp;" – "&amp;INDEX(Households!$D$5:$D$154,$N130))</f>
        <v/>
      </c>
      <c r="E130" s="25" t="str">
        <f>IF($A130="","",INDEX(Households!$X$5:$X$154,$N130))</f>
        <v/>
      </c>
      <c r="F130" s="24" t="str">
        <f>IF($A130="","",INDEX(Households!$AE$5:$AE$154,$N130))</f>
        <v/>
      </c>
      <c r="G130" s="24" t="str">
        <f>IF($A130="","",IF(INDEX(Households!$AA$5:$AA$154,$N130)&gt;0,INDEX(Households!$AA$5:$AA$154,$N130),""))</f>
        <v/>
      </c>
      <c r="H130" s="25" t="str">
        <f>IF($A130="","",IF(INDEX(Households!$AB$5:$AB$154,$N130)="Referral needed","Referral needed",""))</f>
        <v/>
      </c>
      <c r="I130" s="25" t="str">
        <f>IF($A130="","",INDEX(Households!$AC$5:$AC$154,$N130))</f>
        <v/>
      </c>
      <c r="J130" s="25" t="str">
        <f>IF($A130="","",INDEX(Households!$AD$5:$AD$154,$N130))</f>
        <v/>
      </c>
      <c r="K130" s="25" t="str">
        <f>IF($A130="","",INDEX(Households!$Y$5:$Y$154,$N130))</f>
        <v/>
      </c>
      <c r="L130" s="26" t="str">
        <f t="shared" si="7"/>
        <v/>
      </c>
      <c r="M130" s="27" t="str">
        <f>IF($A130="","",LARGE(Households!$AF$5:$AF$154,$A130))</f>
        <v/>
      </c>
      <c r="N130" s="24" t="str">
        <f>IF($A130="","",MATCH($M130,Households!$AF$5:$AF$154,0))</f>
        <v/>
      </c>
    </row>
    <row r="131" spans="1:14" x14ac:dyDescent="0.3">
      <c r="A131" s="24" t="str">
        <f t="shared" si="6"/>
        <v/>
      </c>
      <c r="B131" s="24" t="str">
        <f>IF($A131="","",INDEX(Households!$A$5:$A$154,$N131))</f>
        <v/>
      </c>
      <c r="C131" s="24" t="str">
        <f>IF($A131="","",INDEX(Households!$B$5:$B$154,$N131))</f>
        <v/>
      </c>
      <c r="D131" s="24" t="str">
        <f>IF($A131="","",INDEX(Households!$C$5:$C$154,$N131)&amp;" – "&amp;INDEX(Households!$D$5:$D$154,$N131))</f>
        <v/>
      </c>
      <c r="E131" s="25" t="str">
        <f>IF($A131="","",INDEX(Households!$X$5:$X$154,$N131))</f>
        <v/>
      </c>
      <c r="F131" s="24" t="str">
        <f>IF($A131="","",INDEX(Households!$AE$5:$AE$154,$N131))</f>
        <v/>
      </c>
      <c r="G131" s="24" t="str">
        <f>IF($A131="","",IF(INDEX(Households!$AA$5:$AA$154,$N131)&gt;0,INDEX(Households!$AA$5:$AA$154,$N131),""))</f>
        <v/>
      </c>
      <c r="H131" s="25" t="str">
        <f>IF($A131="","",IF(INDEX(Households!$AB$5:$AB$154,$N131)="Referral needed","Referral needed",""))</f>
        <v/>
      </c>
      <c r="I131" s="25" t="str">
        <f>IF($A131="","",INDEX(Households!$AC$5:$AC$154,$N131))</f>
        <v/>
      </c>
      <c r="J131" s="25" t="str">
        <f>IF($A131="","",INDEX(Households!$AD$5:$AD$154,$N131))</f>
        <v/>
      </c>
      <c r="K131" s="25" t="str">
        <f>IF($A131="","",INDEX(Households!$Y$5:$Y$154,$N131))</f>
        <v/>
      </c>
      <c r="L131" s="26" t="str">
        <f t="shared" si="7"/>
        <v/>
      </c>
      <c r="M131" s="27" t="str">
        <f>IF($A131="","",LARGE(Households!$AF$5:$AF$154,$A131))</f>
        <v/>
      </c>
      <c r="N131" s="24" t="str">
        <f>IF($A131="","",MATCH($M131,Households!$AF$5:$AF$154,0))</f>
        <v/>
      </c>
    </row>
    <row r="132" spans="1:14" x14ac:dyDescent="0.3">
      <c r="A132" s="24" t="str">
        <f t="shared" si="6"/>
        <v/>
      </c>
      <c r="B132" s="24" t="str">
        <f>IF($A132="","",INDEX(Households!$A$5:$A$154,$N132))</f>
        <v/>
      </c>
      <c r="C132" s="24" t="str">
        <f>IF($A132="","",INDEX(Households!$B$5:$B$154,$N132))</f>
        <v/>
      </c>
      <c r="D132" s="24" t="str">
        <f>IF($A132="","",INDEX(Households!$C$5:$C$154,$N132)&amp;" – "&amp;INDEX(Households!$D$5:$D$154,$N132))</f>
        <v/>
      </c>
      <c r="E132" s="25" t="str">
        <f>IF($A132="","",INDEX(Households!$X$5:$X$154,$N132))</f>
        <v/>
      </c>
      <c r="F132" s="24" t="str">
        <f>IF($A132="","",INDEX(Households!$AE$5:$AE$154,$N132))</f>
        <v/>
      </c>
      <c r="G132" s="24" t="str">
        <f>IF($A132="","",IF(INDEX(Households!$AA$5:$AA$154,$N132)&gt;0,INDEX(Households!$AA$5:$AA$154,$N132),""))</f>
        <v/>
      </c>
      <c r="H132" s="25" t="str">
        <f>IF($A132="","",IF(INDEX(Households!$AB$5:$AB$154,$N132)="Referral needed","Referral needed",""))</f>
        <v/>
      </c>
      <c r="I132" s="25" t="str">
        <f>IF($A132="","",INDEX(Households!$AC$5:$AC$154,$N132))</f>
        <v/>
      </c>
      <c r="J132" s="25" t="str">
        <f>IF($A132="","",INDEX(Households!$AD$5:$AD$154,$N132))</f>
        <v/>
      </c>
      <c r="K132" s="25" t="str">
        <f>IF($A132="","",INDEX(Households!$Y$5:$Y$154,$N132))</f>
        <v/>
      </c>
      <c r="L132" s="26" t="str">
        <f t="shared" si="7"/>
        <v/>
      </c>
      <c r="M132" s="27" t="str">
        <f>IF($A132="","",LARGE(Households!$AF$5:$AF$154,$A132))</f>
        <v/>
      </c>
      <c r="N132" s="24" t="str">
        <f>IF($A132="","",MATCH($M132,Households!$AF$5:$AF$154,0))</f>
        <v/>
      </c>
    </row>
    <row r="133" spans="1:14" x14ac:dyDescent="0.3">
      <c r="A133" s="24" t="str">
        <f t="shared" ref="A133:A154" si="8">IF(ROW()-4&lt;=$G$1,ROW()-4,"")</f>
        <v/>
      </c>
      <c r="B133" s="24" t="str">
        <f>IF($A133="","",INDEX(Households!$A$5:$A$154,$N133))</f>
        <v/>
      </c>
      <c r="C133" s="24" t="str">
        <f>IF($A133="","",INDEX(Households!$B$5:$B$154,$N133))</f>
        <v/>
      </c>
      <c r="D133" s="24" t="str">
        <f>IF($A133="","",INDEX(Households!$C$5:$C$154,$N133)&amp;" – "&amp;INDEX(Households!$D$5:$D$154,$N133))</f>
        <v/>
      </c>
      <c r="E133" s="25" t="str">
        <f>IF($A133="","",INDEX(Households!$X$5:$X$154,$N133))</f>
        <v/>
      </c>
      <c r="F133" s="24" t="str">
        <f>IF($A133="","",INDEX(Households!$AE$5:$AE$154,$N133))</f>
        <v/>
      </c>
      <c r="G133" s="24" t="str">
        <f>IF($A133="","",IF(INDEX(Households!$AA$5:$AA$154,$N133)&gt;0,INDEX(Households!$AA$5:$AA$154,$N133),""))</f>
        <v/>
      </c>
      <c r="H133" s="25" t="str">
        <f>IF($A133="","",IF(INDEX(Households!$AB$5:$AB$154,$N133)="Referral needed","Referral needed",""))</f>
        <v/>
      </c>
      <c r="I133" s="25" t="str">
        <f>IF($A133="","",INDEX(Households!$AC$5:$AC$154,$N133))</f>
        <v/>
      </c>
      <c r="J133" s="25" t="str">
        <f>IF($A133="","",INDEX(Households!$AD$5:$AD$154,$N133))</f>
        <v/>
      </c>
      <c r="K133" s="25" t="str">
        <f>IF($A133="","",INDEX(Households!$Y$5:$Y$154,$N133))</f>
        <v/>
      </c>
      <c r="L133" s="26" t="str">
        <f t="shared" ref="L133:L164" si="9">IF($A133="","",SUBSTITUTE(IF(N(G133)&gt;0,"Chase overdue referral with the service provider; ","")&amp;IF(H133="Referral needed","Make the IYCF referral to the nutrition partner; ","")&amp;IF(I133="Yes","Confirm tent replacement with the shelter partner; ","")&amp;IF(J133="Yes","Check the household shelter repair; ","")&amp;IF(K133="Yes","Re-verify the household (new Kobo submission); ","")&amp;"|","; |",""))</f>
        <v/>
      </c>
      <c r="M133" s="27" t="str">
        <f>IF($A133="","",LARGE(Households!$AF$5:$AF$154,$A133))</f>
        <v/>
      </c>
      <c r="N133" s="24" t="str">
        <f>IF($A133="","",MATCH($M133,Households!$AF$5:$AF$154,0))</f>
        <v/>
      </c>
    </row>
    <row r="134" spans="1:14" x14ac:dyDescent="0.3">
      <c r="A134" s="24" t="str">
        <f t="shared" si="8"/>
        <v/>
      </c>
      <c r="B134" s="24" t="str">
        <f>IF($A134="","",INDEX(Households!$A$5:$A$154,$N134))</f>
        <v/>
      </c>
      <c r="C134" s="24" t="str">
        <f>IF($A134="","",INDEX(Households!$B$5:$B$154,$N134))</f>
        <v/>
      </c>
      <c r="D134" s="24" t="str">
        <f>IF($A134="","",INDEX(Households!$C$5:$C$154,$N134)&amp;" – "&amp;INDEX(Households!$D$5:$D$154,$N134))</f>
        <v/>
      </c>
      <c r="E134" s="25" t="str">
        <f>IF($A134="","",INDEX(Households!$X$5:$X$154,$N134))</f>
        <v/>
      </c>
      <c r="F134" s="24" t="str">
        <f>IF($A134="","",INDEX(Households!$AE$5:$AE$154,$N134))</f>
        <v/>
      </c>
      <c r="G134" s="24" t="str">
        <f>IF($A134="","",IF(INDEX(Households!$AA$5:$AA$154,$N134)&gt;0,INDEX(Households!$AA$5:$AA$154,$N134),""))</f>
        <v/>
      </c>
      <c r="H134" s="25" t="str">
        <f>IF($A134="","",IF(INDEX(Households!$AB$5:$AB$154,$N134)="Referral needed","Referral needed",""))</f>
        <v/>
      </c>
      <c r="I134" s="25" t="str">
        <f>IF($A134="","",INDEX(Households!$AC$5:$AC$154,$N134))</f>
        <v/>
      </c>
      <c r="J134" s="25" t="str">
        <f>IF($A134="","",INDEX(Households!$AD$5:$AD$154,$N134))</f>
        <v/>
      </c>
      <c r="K134" s="25" t="str">
        <f>IF($A134="","",INDEX(Households!$Y$5:$Y$154,$N134))</f>
        <v/>
      </c>
      <c r="L134" s="26" t="str">
        <f t="shared" si="9"/>
        <v/>
      </c>
      <c r="M134" s="27" t="str">
        <f>IF($A134="","",LARGE(Households!$AF$5:$AF$154,$A134))</f>
        <v/>
      </c>
      <c r="N134" s="24" t="str">
        <f>IF($A134="","",MATCH($M134,Households!$AF$5:$AF$154,0))</f>
        <v/>
      </c>
    </row>
    <row r="135" spans="1:14" x14ac:dyDescent="0.3">
      <c r="A135" s="24" t="str">
        <f t="shared" si="8"/>
        <v/>
      </c>
      <c r="B135" s="24" t="str">
        <f>IF($A135="","",INDEX(Households!$A$5:$A$154,$N135))</f>
        <v/>
      </c>
      <c r="C135" s="24" t="str">
        <f>IF($A135="","",INDEX(Households!$B$5:$B$154,$N135))</f>
        <v/>
      </c>
      <c r="D135" s="24" t="str">
        <f>IF($A135="","",INDEX(Households!$C$5:$C$154,$N135)&amp;" – "&amp;INDEX(Households!$D$5:$D$154,$N135))</f>
        <v/>
      </c>
      <c r="E135" s="25" t="str">
        <f>IF($A135="","",INDEX(Households!$X$5:$X$154,$N135))</f>
        <v/>
      </c>
      <c r="F135" s="24" t="str">
        <f>IF($A135="","",INDEX(Households!$AE$5:$AE$154,$N135))</f>
        <v/>
      </c>
      <c r="G135" s="24" t="str">
        <f>IF($A135="","",IF(INDEX(Households!$AA$5:$AA$154,$N135)&gt;0,INDEX(Households!$AA$5:$AA$154,$N135),""))</f>
        <v/>
      </c>
      <c r="H135" s="25" t="str">
        <f>IF($A135="","",IF(INDEX(Households!$AB$5:$AB$154,$N135)="Referral needed","Referral needed",""))</f>
        <v/>
      </c>
      <c r="I135" s="25" t="str">
        <f>IF($A135="","",INDEX(Households!$AC$5:$AC$154,$N135))</f>
        <v/>
      </c>
      <c r="J135" s="25" t="str">
        <f>IF($A135="","",INDEX(Households!$AD$5:$AD$154,$N135))</f>
        <v/>
      </c>
      <c r="K135" s="25" t="str">
        <f>IF($A135="","",INDEX(Households!$Y$5:$Y$154,$N135))</f>
        <v/>
      </c>
      <c r="L135" s="26" t="str">
        <f t="shared" si="9"/>
        <v/>
      </c>
      <c r="M135" s="27" t="str">
        <f>IF($A135="","",LARGE(Households!$AF$5:$AF$154,$A135))</f>
        <v/>
      </c>
      <c r="N135" s="24" t="str">
        <f>IF($A135="","",MATCH($M135,Households!$AF$5:$AF$154,0))</f>
        <v/>
      </c>
    </row>
    <row r="136" spans="1:14" x14ac:dyDescent="0.3">
      <c r="A136" s="24" t="str">
        <f t="shared" si="8"/>
        <v/>
      </c>
      <c r="B136" s="24" t="str">
        <f>IF($A136="","",INDEX(Households!$A$5:$A$154,$N136))</f>
        <v/>
      </c>
      <c r="C136" s="24" t="str">
        <f>IF($A136="","",INDEX(Households!$B$5:$B$154,$N136))</f>
        <v/>
      </c>
      <c r="D136" s="24" t="str">
        <f>IF($A136="","",INDEX(Households!$C$5:$C$154,$N136)&amp;" – "&amp;INDEX(Households!$D$5:$D$154,$N136))</f>
        <v/>
      </c>
      <c r="E136" s="25" t="str">
        <f>IF($A136="","",INDEX(Households!$X$5:$X$154,$N136))</f>
        <v/>
      </c>
      <c r="F136" s="24" t="str">
        <f>IF($A136="","",INDEX(Households!$AE$5:$AE$154,$N136))</f>
        <v/>
      </c>
      <c r="G136" s="24" t="str">
        <f>IF($A136="","",IF(INDEX(Households!$AA$5:$AA$154,$N136)&gt;0,INDEX(Households!$AA$5:$AA$154,$N136),""))</f>
        <v/>
      </c>
      <c r="H136" s="25" t="str">
        <f>IF($A136="","",IF(INDEX(Households!$AB$5:$AB$154,$N136)="Referral needed","Referral needed",""))</f>
        <v/>
      </c>
      <c r="I136" s="25" t="str">
        <f>IF($A136="","",INDEX(Households!$AC$5:$AC$154,$N136))</f>
        <v/>
      </c>
      <c r="J136" s="25" t="str">
        <f>IF($A136="","",INDEX(Households!$AD$5:$AD$154,$N136))</f>
        <v/>
      </c>
      <c r="K136" s="25" t="str">
        <f>IF($A136="","",INDEX(Households!$Y$5:$Y$154,$N136))</f>
        <v/>
      </c>
      <c r="L136" s="26" t="str">
        <f t="shared" si="9"/>
        <v/>
      </c>
      <c r="M136" s="27" t="str">
        <f>IF($A136="","",LARGE(Households!$AF$5:$AF$154,$A136))</f>
        <v/>
      </c>
      <c r="N136" s="24" t="str">
        <f>IF($A136="","",MATCH($M136,Households!$AF$5:$AF$154,0))</f>
        <v/>
      </c>
    </row>
    <row r="137" spans="1:14" x14ac:dyDescent="0.3">
      <c r="A137" s="24" t="str">
        <f t="shared" si="8"/>
        <v/>
      </c>
      <c r="B137" s="24" t="str">
        <f>IF($A137="","",INDEX(Households!$A$5:$A$154,$N137))</f>
        <v/>
      </c>
      <c r="C137" s="24" t="str">
        <f>IF($A137="","",INDEX(Households!$B$5:$B$154,$N137))</f>
        <v/>
      </c>
      <c r="D137" s="24" t="str">
        <f>IF($A137="","",INDEX(Households!$C$5:$C$154,$N137)&amp;" – "&amp;INDEX(Households!$D$5:$D$154,$N137))</f>
        <v/>
      </c>
      <c r="E137" s="25" t="str">
        <f>IF($A137="","",INDEX(Households!$X$5:$X$154,$N137))</f>
        <v/>
      </c>
      <c r="F137" s="24" t="str">
        <f>IF($A137="","",INDEX(Households!$AE$5:$AE$154,$N137))</f>
        <v/>
      </c>
      <c r="G137" s="24" t="str">
        <f>IF($A137="","",IF(INDEX(Households!$AA$5:$AA$154,$N137)&gt;0,INDEX(Households!$AA$5:$AA$154,$N137),""))</f>
        <v/>
      </c>
      <c r="H137" s="25" t="str">
        <f>IF($A137="","",IF(INDEX(Households!$AB$5:$AB$154,$N137)="Referral needed","Referral needed",""))</f>
        <v/>
      </c>
      <c r="I137" s="25" t="str">
        <f>IF($A137="","",INDEX(Households!$AC$5:$AC$154,$N137))</f>
        <v/>
      </c>
      <c r="J137" s="25" t="str">
        <f>IF($A137="","",INDEX(Households!$AD$5:$AD$154,$N137))</f>
        <v/>
      </c>
      <c r="K137" s="25" t="str">
        <f>IF($A137="","",INDEX(Households!$Y$5:$Y$154,$N137))</f>
        <v/>
      </c>
      <c r="L137" s="26" t="str">
        <f t="shared" si="9"/>
        <v/>
      </c>
      <c r="M137" s="27" t="str">
        <f>IF($A137="","",LARGE(Households!$AF$5:$AF$154,$A137))</f>
        <v/>
      </c>
      <c r="N137" s="24" t="str">
        <f>IF($A137="","",MATCH($M137,Households!$AF$5:$AF$154,0))</f>
        <v/>
      </c>
    </row>
    <row r="138" spans="1:14" x14ac:dyDescent="0.3">
      <c r="A138" s="24" t="str">
        <f t="shared" si="8"/>
        <v/>
      </c>
      <c r="B138" s="24" t="str">
        <f>IF($A138="","",INDEX(Households!$A$5:$A$154,$N138))</f>
        <v/>
      </c>
      <c r="C138" s="24" t="str">
        <f>IF($A138="","",INDEX(Households!$B$5:$B$154,$N138))</f>
        <v/>
      </c>
      <c r="D138" s="24" t="str">
        <f>IF($A138="","",INDEX(Households!$C$5:$C$154,$N138)&amp;" – "&amp;INDEX(Households!$D$5:$D$154,$N138))</f>
        <v/>
      </c>
      <c r="E138" s="25" t="str">
        <f>IF($A138="","",INDEX(Households!$X$5:$X$154,$N138))</f>
        <v/>
      </c>
      <c r="F138" s="24" t="str">
        <f>IF($A138="","",INDEX(Households!$AE$5:$AE$154,$N138))</f>
        <v/>
      </c>
      <c r="G138" s="24" t="str">
        <f>IF($A138="","",IF(INDEX(Households!$AA$5:$AA$154,$N138)&gt;0,INDEX(Households!$AA$5:$AA$154,$N138),""))</f>
        <v/>
      </c>
      <c r="H138" s="25" t="str">
        <f>IF($A138="","",IF(INDEX(Households!$AB$5:$AB$154,$N138)="Referral needed","Referral needed",""))</f>
        <v/>
      </c>
      <c r="I138" s="25" t="str">
        <f>IF($A138="","",INDEX(Households!$AC$5:$AC$154,$N138))</f>
        <v/>
      </c>
      <c r="J138" s="25" t="str">
        <f>IF($A138="","",INDEX(Households!$AD$5:$AD$154,$N138))</f>
        <v/>
      </c>
      <c r="K138" s="25" t="str">
        <f>IF($A138="","",INDEX(Households!$Y$5:$Y$154,$N138))</f>
        <v/>
      </c>
      <c r="L138" s="26" t="str">
        <f t="shared" si="9"/>
        <v/>
      </c>
      <c r="M138" s="27" t="str">
        <f>IF($A138="","",LARGE(Households!$AF$5:$AF$154,$A138))</f>
        <v/>
      </c>
      <c r="N138" s="24" t="str">
        <f>IF($A138="","",MATCH($M138,Households!$AF$5:$AF$154,0))</f>
        <v/>
      </c>
    </row>
    <row r="139" spans="1:14" x14ac:dyDescent="0.3">
      <c r="A139" s="24" t="str">
        <f t="shared" si="8"/>
        <v/>
      </c>
      <c r="B139" s="24" t="str">
        <f>IF($A139="","",INDEX(Households!$A$5:$A$154,$N139))</f>
        <v/>
      </c>
      <c r="C139" s="24" t="str">
        <f>IF($A139="","",INDEX(Households!$B$5:$B$154,$N139))</f>
        <v/>
      </c>
      <c r="D139" s="24" t="str">
        <f>IF($A139="","",INDEX(Households!$C$5:$C$154,$N139)&amp;" – "&amp;INDEX(Households!$D$5:$D$154,$N139))</f>
        <v/>
      </c>
      <c r="E139" s="25" t="str">
        <f>IF($A139="","",INDEX(Households!$X$5:$X$154,$N139))</f>
        <v/>
      </c>
      <c r="F139" s="24" t="str">
        <f>IF($A139="","",INDEX(Households!$AE$5:$AE$154,$N139))</f>
        <v/>
      </c>
      <c r="G139" s="24" t="str">
        <f>IF($A139="","",IF(INDEX(Households!$AA$5:$AA$154,$N139)&gt;0,INDEX(Households!$AA$5:$AA$154,$N139),""))</f>
        <v/>
      </c>
      <c r="H139" s="25" t="str">
        <f>IF($A139="","",IF(INDEX(Households!$AB$5:$AB$154,$N139)="Referral needed","Referral needed",""))</f>
        <v/>
      </c>
      <c r="I139" s="25" t="str">
        <f>IF($A139="","",INDEX(Households!$AC$5:$AC$154,$N139))</f>
        <v/>
      </c>
      <c r="J139" s="25" t="str">
        <f>IF($A139="","",INDEX(Households!$AD$5:$AD$154,$N139))</f>
        <v/>
      </c>
      <c r="K139" s="25" t="str">
        <f>IF($A139="","",INDEX(Households!$Y$5:$Y$154,$N139))</f>
        <v/>
      </c>
      <c r="L139" s="26" t="str">
        <f t="shared" si="9"/>
        <v/>
      </c>
      <c r="M139" s="27" t="str">
        <f>IF($A139="","",LARGE(Households!$AF$5:$AF$154,$A139))</f>
        <v/>
      </c>
      <c r="N139" s="24" t="str">
        <f>IF($A139="","",MATCH($M139,Households!$AF$5:$AF$154,0))</f>
        <v/>
      </c>
    </row>
    <row r="140" spans="1:14" x14ac:dyDescent="0.3">
      <c r="A140" s="24" t="str">
        <f t="shared" si="8"/>
        <v/>
      </c>
      <c r="B140" s="24" t="str">
        <f>IF($A140="","",INDEX(Households!$A$5:$A$154,$N140))</f>
        <v/>
      </c>
      <c r="C140" s="24" t="str">
        <f>IF($A140="","",INDEX(Households!$B$5:$B$154,$N140))</f>
        <v/>
      </c>
      <c r="D140" s="24" t="str">
        <f>IF($A140="","",INDEX(Households!$C$5:$C$154,$N140)&amp;" – "&amp;INDEX(Households!$D$5:$D$154,$N140))</f>
        <v/>
      </c>
      <c r="E140" s="25" t="str">
        <f>IF($A140="","",INDEX(Households!$X$5:$X$154,$N140))</f>
        <v/>
      </c>
      <c r="F140" s="24" t="str">
        <f>IF($A140="","",INDEX(Households!$AE$5:$AE$154,$N140))</f>
        <v/>
      </c>
      <c r="G140" s="24" t="str">
        <f>IF($A140="","",IF(INDEX(Households!$AA$5:$AA$154,$N140)&gt;0,INDEX(Households!$AA$5:$AA$154,$N140),""))</f>
        <v/>
      </c>
      <c r="H140" s="25" t="str">
        <f>IF($A140="","",IF(INDEX(Households!$AB$5:$AB$154,$N140)="Referral needed","Referral needed",""))</f>
        <v/>
      </c>
      <c r="I140" s="25" t="str">
        <f>IF($A140="","",INDEX(Households!$AC$5:$AC$154,$N140))</f>
        <v/>
      </c>
      <c r="J140" s="25" t="str">
        <f>IF($A140="","",INDEX(Households!$AD$5:$AD$154,$N140))</f>
        <v/>
      </c>
      <c r="K140" s="25" t="str">
        <f>IF($A140="","",INDEX(Households!$Y$5:$Y$154,$N140))</f>
        <v/>
      </c>
      <c r="L140" s="26" t="str">
        <f t="shared" si="9"/>
        <v/>
      </c>
      <c r="M140" s="27" t="str">
        <f>IF($A140="","",LARGE(Households!$AF$5:$AF$154,$A140))</f>
        <v/>
      </c>
      <c r="N140" s="24" t="str">
        <f>IF($A140="","",MATCH($M140,Households!$AF$5:$AF$154,0))</f>
        <v/>
      </c>
    </row>
    <row r="141" spans="1:14" x14ac:dyDescent="0.3">
      <c r="A141" s="24" t="str">
        <f t="shared" si="8"/>
        <v/>
      </c>
      <c r="B141" s="24" t="str">
        <f>IF($A141="","",INDEX(Households!$A$5:$A$154,$N141))</f>
        <v/>
      </c>
      <c r="C141" s="24" t="str">
        <f>IF($A141="","",INDEX(Households!$B$5:$B$154,$N141))</f>
        <v/>
      </c>
      <c r="D141" s="24" t="str">
        <f>IF($A141="","",INDEX(Households!$C$5:$C$154,$N141)&amp;" – "&amp;INDEX(Households!$D$5:$D$154,$N141))</f>
        <v/>
      </c>
      <c r="E141" s="25" t="str">
        <f>IF($A141="","",INDEX(Households!$X$5:$X$154,$N141))</f>
        <v/>
      </c>
      <c r="F141" s="24" t="str">
        <f>IF($A141="","",INDEX(Households!$AE$5:$AE$154,$N141))</f>
        <v/>
      </c>
      <c r="G141" s="24" t="str">
        <f>IF($A141="","",IF(INDEX(Households!$AA$5:$AA$154,$N141)&gt;0,INDEX(Households!$AA$5:$AA$154,$N141),""))</f>
        <v/>
      </c>
      <c r="H141" s="25" t="str">
        <f>IF($A141="","",IF(INDEX(Households!$AB$5:$AB$154,$N141)="Referral needed","Referral needed",""))</f>
        <v/>
      </c>
      <c r="I141" s="25" t="str">
        <f>IF($A141="","",INDEX(Households!$AC$5:$AC$154,$N141))</f>
        <v/>
      </c>
      <c r="J141" s="25" t="str">
        <f>IF($A141="","",INDEX(Households!$AD$5:$AD$154,$N141))</f>
        <v/>
      </c>
      <c r="K141" s="25" t="str">
        <f>IF($A141="","",INDEX(Households!$Y$5:$Y$154,$N141))</f>
        <v/>
      </c>
      <c r="L141" s="26" t="str">
        <f t="shared" si="9"/>
        <v/>
      </c>
      <c r="M141" s="27" t="str">
        <f>IF($A141="","",LARGE(Households!$AF$5:$AF$154,$A141))</f>
        <v/>
      </c>
      <c r="N141" s="24" t="str">
        <f>IF($A141="","",MATCH($M141,Households!$AF$5:$AF$154,0))</f>
        <v/>
      </c>
    </row>
    <row r="142" spans="1:14" x14ac:dyDescent="0.3">
      <c r="A142" s="24" t="str">
        <f t="shared" si="8"/>
        <v/>
      </c>
      <c r="B142" s="24" t="str">
        <f>IF($A142="","",INDEX(Households!$A$5:$A$154,$N142))</f>
        <v/>
      </c>
      <c r="C142" s="24" t="str">
        <f>IF($A142="","",INDEX(Households!$B$5:$B$154,$N142))</f>
        <v/>
      </c>
      <c r="D142" s="24" t="str">
        <f>IF($A142="","",INDEX(Households!$C$5:$C$154,$N142)&amp;" – "&amp;INDEX(Households!$D$5:$D$154,$N142))</f>
        <v/>
      </c>
      <c r="E142" s="25" t="str">
        <f>IF($A142="","",INDEX(Households!$X$5:$X$154,$N142))</f>
        <v/>
      </c>
      <c r="F142" s="24" t="str">
        <f>IF($A142="","",INDEX(Households!$AE$5:$AE$154,$N142))</f>
        <v/>
      </c>
      <c r="G142" s="24" t="str">
        <f>IF($A142="","",IF(INDEX(Households!$AA$5:$AA$154,$N142)&gt;0,INDEX(Households!$AA$5:$AA$154,$N142),""))</f>
        <v/>
      </c>
      <c r="H142" s="25" t="str">
        <f>IF($A142="","",IF(INDEX(Households!$AB$5:$AB$154,$N142)="Referral needed","Referral needed",""))</f>
        <v/>
      </c>
      <c r="I142" s="25" t="str">
        <f>IF($A142="","",INDEX(Households!$AC$5:$AC$154,$N142))</f>
        <v/>
      </c>
      <c r="J142" s="25" t="str">
        <f>IF($A142="","",INDEX(Households!$AD$5:$AD$154,$N142))</f>
        <v/>
      </c>
      <c r="K142" s="25" t="str">
        <f>IF($A142="","",INDEX(Households!$Y$5:$Y$154,$N142))</f>
        <v/>
      </c>
      <c r="L142" s="26" t="str">
        <f t="shared" si="9"/>
        <v/>
      </c>
      <c r="M142" s="27" t="str">
        <f>IF($A142="","",LARGE(Households!$AF$5:$AF$154,$A142))</f>
        <v/>
      </c>
      <c r="N142" s="24" t="str">
        <f>IF($A142="","",MATCH($M142,Households!$AF$5:$AF$154,0))</f>
        <v/>
      </c>
    </row>
    <row r="143" spans="1:14" x14ac:dyDescent="0.3">
      <c r="A143" s="24" t="str">
        <f t="shared" si="8"/>
        <v/>
      </c>
      <c r="B143" s="24" t="str">
        <f>IF($A143="","",INDEX(Households!$A$5:$A$154,$N143))</f>
        <v/>
      </c>
      <c r="C143" s="24" t="str">
        <f>IF($A143="","",INDEX(Households!$B$5:$B$154,$N143))</f>
        <v/>
      </c>
      <c r="D143" s="24" t="str">
        <f>IF($A143="","",INDEX(Households!$C$5:$C$154,$N143)&amp;" – "&amp;INDEX(Households!$D$5:$D$154,$N143))</f>
        <v/>
      </c>
      <c r="E143" s="25" t="str">
        <f>IF($A143="","",INDEX(Households!$X$5:$X$154,$N143))</f>
        <v/>
      </c>
      <c r="F143" s="24" t="str">
        <f>IF($A143="","",INDEX(Households!$AE$5:$AE$154,$N143))</f>
        <v/>
      </c>
      <c r="G143" s="24" t="str">
        <f>IF($A143="","",IF(INDEX(Households!$AA$5:$AA$154,$N143)&gt;0,INDEX(Households!$AA$5:$AA$154,$N143),""))</f>
        <v/>
      </c>
      <c r="H143" s="25" t="str">
        <f>IF($A143="","",IF(INDEX(Households!$AB$5:$AB$154,$N143)="Referral needed","Referral needed",""))</f>
        <v/>
      </c>
      <c r="I143" s="25" t="str">
        <f>IF($A143="","",INDEX(Households!$AC$5:$AC$154,$N143))</f>
        <v/>
      </c>
      <c r="J143" s="25" t="str">
        <f>IF($A143="","",INDEX(Households!$AD$5:$AD$154,$N143))</f>
        <v/>
      </c>
      <c r="K143" s="25" t="str">
        <f>IF($A143="","",INDEX(Households!$Y$5:$Y$154,$N143))</f>
        <v/>
      </c>
      <c r="L143" s="26" t="str">
        <f t="shared" si="9"/>
        <v/>
      </c>
      <c r="M143" s="27" t="str">
        <f>IF($A143="","",LARGE(Households!$AF$5:$AF$154,$A143))</f>
        <v/>
      </c>
      <c r="N143" s="24" t="str">
        <f>IF($A143="","",MATCH($M143,Households!$AF$5:$AF$154,0))</f>
        <v/>
      </c>
    </row>
    <row r="144" spans="1:14" x14ac:dyDescent="0.3">
      <c r="A144" s="24" t="str">
        <f t="shared" si="8"/>
        <v/>
      </c>
      <c r="B144" s="24" t="str">
        <f>IF($A144="","",INDEX(Households!$A$5:$A$154,$N144))</f>
        <v/>
      </c>
      <c r="C144" s="24" t="str">
        <f>IF($A144="","",INDEX(Households!$B$5:$B$154,$N144))</f>
        <v/>
      </c>
      <c r="D144" s="24" t="str">
        <f>IF($A144="","",INDEX(Households!$C$5:$C$154,$N144)&amp;" – "&amp;INDEX(Households!$D$5:$D$154,$N144))</f>
        <v/>
      </c>
      <c r="E144" s="25" t="str">
        <f>IF($A144="","",INDEX(Households!$X$5:$X$154,$N144))</f>
        <v/>
      </c>
      <c r="F144" s="24" t="str">
        <f>IF($A144="","",INDEX(Households!$AE$5:$AE$154,$N144))</f>
        <v/>
      </c>
      <c r="G144" s="24" t="str">
        <f>IF($A144="","",IF(INDEX(Households!$AA$5:$AA$154,$N144)&gt;0,INDEX(Households!$AA$5:$AA$154,$N144),""))</f>
        <v/>
      </c>
      <c r="H144" s="25" t="str">
        <f>IF($A144="","",IF(INDEX(Households!$AB$5:$AB$154,$N144)="Referral needed","Referral needed",""))</f>
        <v/>
      </c>
      <c r="I144" s="25" t="str">
        <f>IF($A144="","",INDEX(Households!$AC$5:$AC$154,$N144))</f>
        <v/>
      </c>
      <c r="J144" s="25" t="str">
        <f>IF($A144="","",INDEX(Households!$AD$5:$AD$154,$N144))</f>
        <v/>
      </c>
      <c r="K144" s="25" t="str">
        <f>IF($A144="","",INDEX(Households!$Y$5:$Y$154,$N144))</f>
        <v/>
      </c>
      <c r="L144" s="26" t="str">
        <f t="shared" si="9"/>
        <v/>
      </c>
      <c r="M144" s="27" t="str">
        <f>IF($A144="","",LARGE(Households!$AF$5:$AF$154,$A144))</f>
        <v/>
      </c>
      <c r="N144" s="24" t="str">
        <f>IF($A144="","",MATCH($M144,Households!$AF$5:$AF$154,0))</f>
        <v/>
      </c>
    </row>
    <row r="145" spans="1:14" x14ac:dyDescent="0.3">
      <c r="A145" s="24" t="str">
        <f t="shared" si="8"/>
        <v/>
      </c>
      <c r="B145" s="24" t="str">
        <f>IF($A145="","",INDEX(Households!$A$5:$A$154,$N145))</f>
        <v/>
      </c>
      <c r="C145" s="24" t="str">
        <f>IF($A145="","",INDEX(Households!$B$5:$B$154,$N145))</f>
        <v/>
      </c>
      <c r="D145" s="24" t="str">
        <f>IF($A145="","",INDEX(Households!$C$5:$C$154,$N145)&amp;" – "&amp;INDEX(Households!$D$5:$D$154,$N145))</f>
        <v/>
      </c>
      <c r="E145" s="25" t="str">
        <f>IF($A145="","",INDEX(Households!$X$5:$X$154,$N145))</f>
        <v/>
      </c>
      <c r="F145" s="24" t="str">
        <f>IF($A145="","",INDEX(Households!$AE$5:$AE$154,$N145))</f>
        <v/>
      </c>
      <c r="G145" s="24" t="str">
        <f>IF($A145="","",IF(INDEX(Households!$AA$5:$AA$154,$N145)&gt;0,INDEX(Households!$AA$5:$AA$154,$N145),""))</f>
        <v/>
      </c>
      <c r="H145" s="25" t="str">
        <f>IF($A145="","",IF(INDEX(Households!$AB$5:$AB$154,$N145)="Referral needed","Referral needed",""))</f>
        <v/>
      </c>
      <c r="I145" s="25" t="str">
        <f>IF($A145="","",INDEX(Households!$AC$5:$AC$154,$N145))</f>
        <v/>
      </c>
      <c r="J145" s="25" t="str">
        <f>IF($A145="","",INDEX(Households!$AD$5:$AD$154,$N145))</f>
        <v/>
      </c>
      <c r="K145" s="25" t="str">
        <f>IF($A145="","",INDEX(Households!$Y$5:$Y$154,$N145))</f>
        <v/>
      </c>
      <c r="L145" s="26" t="str">
        <f t="shared" si="9"/>
        <v/>
      </c>
      <c r="M145" s="27" t="str">
        <f>IF($A145="","",LARGE(Households!$AF$5:$AF$154,$A145))</f>
        <v/>
      </c>
      <c r="N145" s="24" t="str">
        <f>IF($A145="","",MATCH($M145,Households!$AF$5:$AF$154,0))</f>
        <v/>
      </c>
    </row>
    <row r="146" spans="1:14" x14ac:dyDescent="0.3">
      <c r="A146" s="24" t="str">
        <f t="shared" si="8"/>
        <v/>
      </c>
      <c r="B146" s="24" t="str">
        <f>IF($A146="","",INDEX(Households!$A$5:$A$154,$N146))</f>
        <v/>
      </c>
      <c r="C146" s="24" t="str">
        <f>IF($A146="","",INDEX(Households!$B$5:$B$154,$N146))</f>
        <v/>
      </c>
      <c r="D146" s="24" t="str">
        <f>IF($A146="","",INDEX(Households!$C$5:$C$154,$N146)&amp;" – "&amp;INDEX(Households!$D$5:$D$154,$N146))</f>
        <v/>
      </c>
      <c r="E146" s="25" t="str">
        <f>IF($A146="","",INDEX(Households!$X$5:$X$154,$N146))</f>
        <v/>
      </c>
      <c r="F146" s="24" t="str">
        <f>IF($A146="","",INDEX(Households!$AE$5:$AE$154,$N146))</f>
        <v/>
      </c>
      <c r="G146" s="24" t="str">
        <f>IF($A146="","",IF(INDEX(Households!$AA$5:$AA$154,$N146)&gt;0,INDEX(Households!$AA$5:$AA$154,$N146),""))</f>
        <v/>
      </c>
      <c r="H146" s="25" t="str">
        <f>IF($A146="","",IF(INDEX(Households!$AB$5:$AB$154,$N146)="Referral needed","Referral needed",""))</f>
        <v/>
      </c>
      <c r="I146" s="25" t="str">
        <f>IF($A146="","",INDEX(Households!$AC$5:$AC$154,$N146))</f>
        <v/>
      </c>
      <c r="J146" s="25" t="str">
        <f>IF($A146="","",INDEX(Households!$AD$5:$AD$154,$N146))</f>
        <v/>
      </c>
      <c r="K146" s="25" t="str">
        <f>IF($A146="","",INDEX(Households!$Y$5:$Y$154,$N146))</f>
        <v/>
      </c>
      <c r="L146" s="26" t="str">
        <f t="shared" si="9"/>
        <v/>
      </c>
      <c r="M146" s="27" t="str">
        <f>IF($A146="","",LARGE(Households!$AF$5:$AF$154,$A146))</f>
        <v/>
      </c>
      <c r="N146" s="24" t="str">
        <f>IF($A146="","",MATCH($M146,Households!$AF$5:$AF$154,0))</f>
        <v/>
      </c>
    </row>
    <row r="147" spans="1:14" x14ac:dyDescent="0.3">
      <c r="A147" s="24" t="str">
        <f t="shared" si="8"/>
        <v/>
      </c>
      <c r="B147" s="24" t="str">
        <f>IF($A147="","",INDEX(Households!$A$5:$A$154,$N147))</f>
        <v/>
      </c>
      <c r="C147" s="24" t="str">
        <f>IF($A147="","",INDEX(Households!$B$5:$B$154,$N147))</f>
        <v/>
      </c>
      <c r="D147" s="24" t="str">
        <f>IF($A147="","",INDEX(Households!$C$5:$C$154,$N147)&amp;" – "&amp;INDEX(Households!$D$5:$D$154,$N147))</f>
        <v/>
      </c>
      <c r="E147" s="25" t="str">
        <f>IF($A147="","",INDEX(Households!$X$5:$X$154,$N147))</f>
        <v/>
      </c>
      <c r="F147" s="24" t="str">
        <f>IF($A147="","",INDEX(Households!$AE$5:$AE$154,$N147))</f>
        <v/>
      </c>
      <c r="G147" s="24" t="str">
        <f>IF($A147="","",IF(INDEX(Households!$AA$5:$AA$154,$N147)&gt;0,INDEX(Households!$AA$5:$AA$154,$N147),""))</f>
        <v/>
      </c>
      <c r="H147" s="25" t="str">
        <f>IF($A147="","",IF(INDEX(Households!$AB$5:$AB$154,$N147)="Referral needed","Referral needed",""))</f>
        <v/>
      </c>
      <c r="I147" s="25" t="str">
        <f>IF($A147="","",INDEX(Households!$AC$5:$AC$154,$N147))</f>
        <v/>
      </c>
      <c r="J147" s="25" t="str">
        <f>IF($A147="","",INDEX(Households!$AD$5:$AD$154,$N147))</f>
        <v/>
      </c>
      <c r="K147" s="25" t="str">
        <f>IF($A147="","",INDEX(Households!$Y$5:$Y$154,$N147))</f>
        <v/>
      </c>
      <c r="L147" s="26" t="str">
        <f t="shared" si="9"/>
        <v/>
      </c>
      <c r="M147" s="27" t="str">
        <f>IF($A147="","",LARGE(Households!$AF$5:$AF$154,$A147))</f>
        <v/>
      </c>
      <c r="N147" s="24" t="str">
        <f>IF($A147="","",MATCH($M147,Households!$AF$5:$AF$154,0))</f>
        <v/>
      </c>
    </row>
    <row r="148" spans="1:14" x14ac:dyDescent="0.3">
      <c r="A148" s="24" t="str">
        <f t="shared" si="8"/>
        <v/>
      </c>
      <c r="B148" s="24" t="str">
        <f>IF($A148="","",INDEX(Households!$A$5:$A$154,$N148))</f>
        <v/>
      </c>
      <c r="C148" s="24" t="str">
        <f>IF($A148="","",INDEX(Households!$B$5:$B$154,$N148))</f>
        <v/>
      </c>
      <c r="D148" s="24" t="str">
        <f>IF($A148="","",INDEX(Households!$C$5:$C$154,$N148)&amp;" – "&amp;INDEX(Households!$D$5:$D$154,$N148))</f>
        <v/>
      </c>
      <c r="E148" s="25" t="str">
        <f>IF($A148="","",INDEX(Households!$X$5:$X$154,$N148))</f>
        <v/>
      </c>
      <c r="F148" s="24" t="str">
        <f>IF($A148="","",INDEX(Households!$AE$5:$AE$154,$N148))</f>
        <v/>
      </c>
      <c r="G148" s="24" t="str">
        <f>IF($A148="","",IF(INDEX(Households!$AA$5:$AA$154,$N148)&gt;0,INDEX(Households!$AA$5:$AA$154,$N148),""))</f>
        <v/>
      </c>
      <c r="H148" s="25" t="str">
        <f>IF($A148="","",IF(INDEX(Households!$AB$5:$AB$154,$N148)="Referral needed","Referral needed",""))</f>
        <v/>
      </c>
      <c r="I148" s="25" t="str">
        <f>IF($A148="","",INDEX(Households!$AC$5:$AC$154,$N148))</f>
        <v/>
      </c>
      <c r="J148" s="25" t="str">
        <f>IF($A148="","",INDEX(Households!$AD$5:$AD$154,$N148))</f>
        <v/>
      </c>
      <c r="K148" s="25" t="str">
        <f>IF($A148="","",INDEX(Households!$Y$5:$Y$154,$N148))</f>
        <v/>
      </c>
      <c r="L148" s="26" t="str">
        <f t="shared" si="9"/>
        <v/>
      </c>
      <c r="M148" s="27" t="str">
        <f>IF($A148="","",LARGE(Households!$AF$5:$AF$154,$A148))</f>
        <v/>
      </c>
      <c r="N148" s="24" t="str">
        <f>IF($A148="","",MATCH($M148,Households!$AF$5:$AF$154,0))</f>
        <v/>
      </c>
    </row>
    <row r="149" spans="1:14" x14ac:dyDescent="0.3">
      <c r="A149" s="24" t="str">
        <f t="shared" si="8"/>
        <v/>
      </c>
      <c r="B149" s="24" t="str">
        <f>IF($A149="","",INDEX(Households!$A$5:$A$154,$N149))</f>
        <v/>
      </c>
      <c r="C149" s="24" t="str">
        <f>IF($A149="","",INDEX(Households!$B$5:$B$154,$N149))</f>
        <v/>
      </c>
      <c r="D149" s="24" t="str">
        <f>IF($A149="","",INDEX(Households!$C$5:$C$154,$N149)&amp;" – "&amp;INDEX(Households!$D$5:$D$154,$N149))</f>
        <v/>
      </c>
      <c r="E149" s="25" t="str">
        <f>IF($A149="","",INDEX(Households!$X$5:$X$154,$N149))</f>
        <v/>
      </c>
      <c r="F149" s="24" t="str">
        <f>IF($A149="","",INDEX(Households!$AE$5:$AE$154,$N149))</f>
        <v/>
      </c>
      <c r="G149" s="24" t="str">
        <f>IF($A149="","",IF(INDEX(Households!$AA$5:$AA$154,$N149)&gt;0,INDEX(Households!$AA$5:$AA$154,$N149),""))</f>
        <v/>
      </c>
      <c r="H149" s="25" t="str">
        <f>IF($A149="","",IF(INDEX(Households!$AB$5:$AB$154,$N149)="Referral needed","Referral needed",""))</f>
        <v/>
      </c>
      <c r="I149" s="25" t="str">
        <f>IF($A149="","",INDEX(Households!$AC$5:$AC$154,$N149))</f>
        <v/>
      </c>
      <c r="J149" s="25" t="str">
        <f>IF($A149="","",INDEX(Households!$AD$5:$AD$154,$N149))</f>
        <v/>
      </c>
      <c r="K149" s="25" t="str">
        <f>IF($A149="","",INDEX(Households!$Y$5:$Y$154,$N149))</f>
        <v/>
      </c>
      <c r="L149" s="26" t="str">
        <f t="shared" si="9"/>
        <v/>
      </c>
      <c r="M149" s="27" t="str">
        <f>IF($A149="","",LARGE(Households!$AF$5:$AF$154,$A149))</f>
        <v/>
      </c>
      <c r="N149" s="24" t="str">
        <f>IF($A149="","",MATCH($M149,Households!$AF$5:$AF$154,0))</f>
        <v/>
      </c>
    </row>
    <row r="150" spans="1:14" x14ac:dyDescent="0.3">
      <c r="A150" s="24" t="str">
        <f t="shared" si="8"/>
        <v/>
      </c>
      <c r="B150" s="24" t="str">
        <f>IF($A150="","",INDEX(Households!$A$5:$A$154,$N150))</f>
        <v/>
      </c>
      <c r="C150" s="24" t="str">
        <f>IF($A150="","",INDEX(Households!$B$5:$B$154,$N150))</f>
        <v/>
      </c>
      <c r="D150" s="24" t="str">
        <f>IF($A150="","",INDEX(Households!$C$5:$C$154,$N150)&amp;" – "&amp;INDEX(Households!$D$5:$D$154,$N150))</f>
        <v/>
      </c>
      <c r="E150" s="25" t="str">
        <f>IF($A150="","",INDEX(Households!$X$5:$X$154,$N150))</f>
        <v/>
      </c>
      <c r="F150" s="24" t="str">
        <f>IF($A150="","",INDEX(Households!$AE$5:$AE$154,$N150))</f>
        <v/>
      </c>
      <c r="G150" s="24" t="str">
        <f>IF($A150="","",IF(INDEX(Households!$AA$5:$AA$154,$N150)&gt;0,INDEX(Households!$AA$5:$AA$154,$N150),""))</f>
        <v/>
      </c>
      <c r="H150" s="25" t="str">
        <f>IF($A150="","",IF(INDEX(Households!$AB$5:$AB$154,$N150)="Referral needed","Referral needed",""))</f>
        <v/>
      </c>
      <c r="I150" s="25" t="str">
        <f>IF($A150="","",INDEX(Households!$AC$5:$AC$154,$N150))</f>
        <v/>
      </c>
      <c r="J150" s="25" t="str">
        <f>IF($A150="","",INDEX(Households!$AD$5:$AD$154,$N150))</f>
        <v/>
      </c>
      <c r="K150" s="25" t="str">
        <f>IF($A150="","",INDEX(Households!$Y$5:$Y$154,$N150))</f>
        <v/>
      </c>
      <c r="L150" s="26" t="str">
        <f t="shared" si="9"/>
        <v/>
      </c>
      <c r="M150" s="27" t="str">
        <f>IF($A150="","",LARGE(Households!$AF$5:$AF$154,$A150))</f>
        <v/>
      </c>
      <c r="N150" s="24" t="str">
        <f>IF($A150="","",MATCH($M150,Households!$AF$5:$AF$154,0))</f>
        <v/>
      </c>
    </row>
    <row r="151" spans="1:14" x14ac:dyDescent="0.3">
      <c r="A151" s="24" t="str">
        <f t="shared" si="8"/>
        <v/>
      </c>
      <c r="B151" s="24" t="str">
        <f>IF($A151="","",INDEX(Households!$A$5:$A$154,$N151))</f>
        <v/>
      </c>
      <c r="C151" s="24" t="str">
        <f>IF($A151="","",INDEX(Households!$B$5:$B$154,$N151))</f>
        <v/>
      </c>
      <c r="D151" s="24" t="str">
        <f>IF($A151="","",INDEX(Households!$C$5:$C$154,$N151)&amp;" – "&amp;INDEX(Households!$D$5:$D$154,$N151))</f>
        <v/>
      </c>
      <c r="E151" s="25" t="str">
        <f>IF($A151="","",INDEX(Households!$X$5:$X$154,$N151))</f>
        <v/>
      </c>
      <c r="F151" s="24" t="str">
        <f>IF($A151="","",INDEX(Households!$AE$5:$AE$154,$N151))</f>
        <v/>
      </c>
      <c r="G151" s="24" t="str">
        <f>IF($A151="","",IF(INDEX(Households!$AA$5:$AA$154,$N151)&gt;0,INDEX(Households!$AA$5:$AA$154,$N151),""))</f>
        <v/>
      </c>
      <c r="H151" s="25" t="str">
        <f>IF($A151="","",IF(INDEX(Households!$AB$5:$AB$154,$N151)="Referral needed","Referral needed",""))</f>
        <v/>
      </c>
      <c r="I151" s="25" t="str">
        <f>IF($A151="","",INDEX(Households!$AC$5:$AC$154,$N151))</f>
        <v/>
      </c>
      <c r="J151" s="25" t="str">
        <f>IF($A151="","",INDEX(Households!$AD$5:$AD$154,$N151))</f>
        <v/>
      </c>
      <c r="K151" s="25" t="str">
        <f>IF($A151="","",INDEX(Households!$Y$5:$Y$154,$N151))</f>
        <v/>
      </c>
      <c r="L151" s="26" t="str">
        <f t="shared" si="9"/>
        <v/>
      </c>
      <c r="M151" s="27" t="str">
        <f>IF($A151="","",LARGE(Households!$AF$5:$AF$154,$A151))</f>
        <v/>
      </c>
      <c r="N151" s="24" t="str">
        <f>IF($A151="","",MATCH($M151,Households!$AF$5:$AF$154,0))</f>
        <v/>
      </c>
    </row>
    <row r="152" spans="1:14" x14ac:dyDescent="0.3">
      <c r="A152" s="24" t="str">
        <f t="shared" si="8"/>
        <v/>
      </c>
      <c r="B152" s="24" t="str">
        <f>IF($A152="","",INDEX(Households!$A$5:$A$154,$N152))</f>
        <v/>
      </c>
      <c r="C152" s="24" t="str">
        <f>IF($A152="","",INDEX(Households!$B$5:$B$154,$N152))</f>
        <v/>
      </c>
      <c r="D152" s="24" t="str">
        <f>IF($A152="","",INDEX(Households!$C$5:$C$154,$N152)&amp;" – "&amp;INDEX(Households!$D$5:$D$154,$N152))</f>
        <v/>
      </c>
      <c r="E152" s="25" t="str">
        <f>IF($A152="","",INDEX(Households!$X$5:$X$154,$N152))</f>
        <v/>
      </c>
      <c r="F152" s="24" t="str">
        <f>IF($A152="","",INDEX(Households!$AE$5:$AE$154,$N152))</f>
        <v/>
      </c>
      <c r="G152" s="24" t="str">
        <f>IF($A152="","",IF(INDEX(Households!$AA$5:$AA$154,$N152)&gt;0,INDEX(Households!$AA$5:$AA$154,$N152),""))</f>
        <v/>
      </c>
      <c r="H152" s="25" t="str">
        <f>IF($A152="","",IF(INDEX(Households!$AB$5:$AB$154,$N152)="Referral needed","Referral needed",""))</f>
        <v/>
      </c>
      <c r="I152" s="25" t="str">
        <f>IF($A152="","",INDEX(Households!$AC$5:$AC$154,$N152))</f>
        <v/>
      </c>
      <c r="J152" s="25" t="str">
        <f>IF($A152="","",INDEX(Households!$AD$5:$AD$154,$N152))</f>
        <v/>
      </c>
      <c r="K152" s="25" t="str">
        <f>IF($A152="","",INDEX(Households!$Y$5:$Y$154,$N152))</f>
        <v/>
      </c>
      <c r="L152" s="26" t="str">
        <f t="shared" si="9"/>
        <v/>
      </c>
      <c r="M152" s="27" t="str">
        <f>IF($A152="","",LARGE(Households!$AF$5:$AF$154,$A152))</f>
        <v/>
      </c>
      <c r="N152" s="24" t="str">
        <f>IF($A152="","",MATCH($M152,Households!$AF$5:$AF$154,0))</f>
        <v/>
      </c>
    </row>
    <row r="153" spans="1:14" x14ac:dyDescent="0.3">
      <c r="A153" s="24" t="str">
        <f t="shared" si="8"/>
        <v/>
      </c>
      <c r="B153" s="24" t="str">
        <f>IF($A153="","",INDEX(Households!$A$5:$A$154,$N153))</f>
        <v/>
      </c>
      <c r="C153" s="24" t="str">
        <f>IF($A153="","",INDEX(Households!$B$5:$B$154,$N153))</f>
        <v/>
      </c>
      <c r="D153" s="24" t="str">
        <f>IF($A153="","",INDEX(Households!$C$5:$C$154,$N153)&amp;" – "&amp;INDEX(Households!$D$5:$D$154,$N153))</f>
        <v/>
      </c>
      <c r="E153" s="25" t="str">
        <f>IF($A153="","",INDEX(Households!$X$5:$X$154,$N153))</f>
        <v/>
      </c>
      <c r="F153" s="24" t="str">
        <f>IF($A153="","",INDEX(Households!$AE$5:$AE$154,$N153))</f>
        <v/>
      </c>
      <c r="G153" s="24" t="str">
        <f>IF($A153="","",IF(INDEX(Households!$AA$5:$AA$154,$N153)&gt;0,INDEX(Households!$AA$5:$AA$154,$N153),""))</f>
        <v/>
      </c>
      <c r="H153" s="25" t="str">
        <f>IF($A153="","",IF(INDEX(Households!$AB$5:$AB$154,$N153)="Referral needed","Referral needed",""))</f>
        <v/>
      </c>
      <c r="I153" s="25" t="str">
        <f>IF($A153="","",INDEX(Households!$AC$5:$AC$154,$N153))</f>
        <v/>
      </c>
      <c r="J153" s="25" t="str">
        <f>IF($A153="","",INDEX(Households!$AD$5:$AD$154,$N153))</f>
        <v/>
      </c>
      <c r="K153" s="25" t="str">
        <f>IF($A153="","",INDEX(Households!$Y$5:$Y$154,$N153))</f>
        <v/>
      </c>
      <c r="L153" s="26" t="str">
        <f t="shared" si="9"/>
        <v/>
      </c>
      <c r="M153" s="27" t="str">
        <f>IF($A153="","",LARGE(Households!$AF$5:$AF$154,$A153))</f>
        <v/>
      </c>
      <c r="N153" s="24" t="str">
        <f>IF($A153="","",MATCH($M153,Households!$AF$5:$AF$154,0))</f>
        <v/>
      </c>
    </row>
    <row r="154" spans="1:14" x14ac:dyDescent="0.3">
      <c r="A154" s="24" t="str">
        <f t="shared" si="8"/>
        <v/>
      </c>
      <c r="B154" s="24" t="str">
        <f>IF($A154="","",INDEX(Households!$A$5:$A$154,$N154))</f>
        <v/>
      </c>
      <c r="C154" s="24" t="str">
        <f>IF($A154="","",INDEX(Households!$B$5:$B$154,$N154))</f>
        <v/>
      </c>
      <c r="D154" s="24" t="str">
        <f>IF($A154="","",INDEX(Households!$C$5:$C$154,$N154)&amp;" – "&amp;INDEX(Households!$D$5:$D$154,$N154))</f>
        <v/>
      </c>
      <c r="E154" s="25" t="str">
        <f>IF($A154="","",INDEX(Households!$X$5:$X$154,$N154))</f>
        <v/>
      </c>
      <c r="F154" s="24" t="str">
        <f>IF($A154="","",INDEX(Households!$AE$5:$AE$154,$N154))</f>
        <v/>
      </c>
      <c r="G154" s="24" t="str">
        <f>IF($A154="","",IF(INDEX(Households!$AA$5:$AA$154,$N154)&gt;0,INDEX(Households!$AA$5:$AA$154,$N154),""))</f>
        <v/>
      </c>
      <c r="H154" s="25" t="str">
        <f>IF($A154="","",IF(INDEX(Households!$AB$5:$AB$154,$N154)="Referral needed","Referral needed",""))</f>
        <v/>
      </c>
      <c r="I154" s="25" t="str">
        <f>IF($A154="","",INDEX(Households!$AC$5:$AC$154,$N154))</f>
        <v/>
      </c>
      <c r="J154" s="25" t="str">
        <f>IF($A154="","",INDEX(Households!$AD$5:$AD$154,$N154))</f>
        <v/>
      </c>
      <c r="K154" s="25" t="str">
        <f>IF($A154="","",INDEX(Households!$Y$5:$Y$154,$N154))</f>
        <v/>
      </c>
      <c r="L154" s="26" t="str">
        <f t="shared" si="9"/>
        <v/>
      </c>
      <c r="M154" s="27" t="str">
        <f>IF($A154="","",LARGE(Households!$AF$5:$AF$154,$A154))</f>
        <v/>
      </c>
      <c r="N154" s="24" t="str">
        <f>IF($A154="","",MATCH($M154,Households!$AF$5:$AF$154,0))</f>
        <v/>
      </c>
    </row>
  </sheetData>
  <conditionalFormatting sqref="E5:E154">
    <cfRule type="cellIs" dxfId="31" priority="2" operator="equal">
      <formula>"High"</formula>
    </cfRule>
    <cfRule type="cellIs" dxfId="30" priority="3" operator="equal">
      <formula>"Medium"</formula>
    </cfRule>
  </conditionalFormatting>
  <conditionalFormatting sqref="H5:H154">
    <cfRule type="cellIs" dxfId="29" priority="4" operator="equal">
      <formula>"Referral needed"</formula>
    </cfRule>
  </conditionalFormatting>
  <conditionalFormatting sqref="I5:I154">
    <cfRule type="cellIs" dxfId="28" priority="5" operator="equal">
      <formula>"Yes"</formula>
    </cfRule>
  </conditionalFormatting>
  <conditionalFormatting sqref="J5:J154">
    <cfRule type="cellIs" dxfId="27" priority="6" operator="equal">
      <formula>"Yes"</formula>
    </cfRule>
  </conditionalFormatting>
  <conditionalFormatting sqref="K5:K154">
    <cfRule type="cellIs" dxfId="26" priority="7" operator="equal">
      <formula>"Yes"</formula>
    </cfRule>
  </conditionalFormatting>
  <conditionalFormatting sqref="G5:G154">
    <cfRule type="cellIs" dxfId="25" priority="8" operator="greaterThan">
      <formula>0</formula>
    </cfRule>
  </conditionalFormatting>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154"/>
  <sheetViews>
    <sheetView showGridLines="0" zoomScaleNormal="100" workbookViewId="0">
      <pane xSplit="1" ySplit="4" topLeftCell="B53" activePane="bottomRight" state="frozen"/>
      <selection pane="topRight" activeCell="B1" sqref="B1"/>
      <selection pane="bottomLeft" activeCell="A5" sqref="A5"/>
      <selection pane="bottomRight" activeCell="F13" sqref="F13"/>
    </sheetView>
  </sheetViews>
  <sheetFormatPr defaultColWidth="8.6640625" defaultRowHeight="14.4" x14ac:dyDescent="0.3"/>
  <cols>
    <col min="1" max="1" width="10" style="45" customWidth="1"/>
    <col min="2" max="2" width="26" style="45" customWidth="1"/>
    <col min="3" max="3" width="15" style="45" customWidth="1"/>
    <col min="4" max="6" width="11" style="45" customWidth="1"/>
    <col min="7" max="13" width="9" style="45" customWidth="1"/>
    <col min="14" max="15" width="10" style="45" customWidth="1"/>
    <col min="16" max="16" width="11" style="45" customWidth="1"/>
    <col min="17" max="18" width="9" style="45" customWidth="1"/>
    <col min="19" max="22" width="10" style="45" customWidth="1"/>
    <col min="23" max="23" width="8" style="45" customWidth="1"/>
    <col min="24" max="24" width="10" style="45" customWidth="1"/>
    <col min="25" max="25" width="11" style="45" customWidth="1"/>
    <col min="26" max="27" width="9" style="45" customWidth="1"/>
    <col min="28" max="28" width="13" style="45" customWidth="1"/>
    <col min="29" max="29" width="11" style="45" customWidth="1"/>
    <col min="30" max="30" width="10" style="45" customWidth="1"/>
    <col min="31" max="31" width="9" style="45" customWidth="1"/>
    <col min="32" max="33" width="10" style="45" customWidth="1"/>
    <col min="34" max="16384" width="8.6640625" style="45"/>
  </cols>
  <sheetData>
    <row r="1" spans="1:33" ht="17.399999999999999" x14ac:dyDescent="0.3">
      <c r="A1" s="47" t="s">
        <v>131</v>
      </c>
    </row>
    <row r="2" spans="1:33" x14ac:dyDescent="0.3">
      <c r="A2" s="48" t="s">
        <v>132</v>
      </c>
    </row>
    <row r="4" spans="1:33" ht="42" customHeight="1" x14ac:dyDescent="0.3">
      <c r="A4" s="15" t="s">
        <v>122</v>
      </c>
      <c r="B4" s="15" t="s">
        <v>72</v>
      </c>
      <c r="C4" s="15" t="s">
        <v>133</v>
      </c>
      <c r="D4" s="15" t="s">
        <v>134</v>
      </c>
      <c r="E4" s="15" t="s">
        <v>135</v>
      </c>
      <c r="F4" s="15" t="s">
        <v>136</v>
      </c>
      <c r="G4" s="15" t="s">
        <v>137</v>
      </c>
      <c r="H4" s="15" t="s">
        <v>138</v>
      </c>
      <c r="I4" s="15" t="s">
        <v>139</v>
      </c>
      <c r="J4" s="15" t="s">
        <v>140</v>
      </c>
      <c r="K4" s="15" t="s">
        <v>141</v>
      </c>
      <c r="L4" s="15" t="s">
        <v>142</v>
      </c>
      <c r="M4" s="15" t="s">
        <v>143</v>
      </c>
      <c r="N4" s="15" t="s">
        <v>144</v>
      </c>
      <c r="O4" s="15" t="s">
        <v>145</v>
      </c>
      <c r="P4" s="15" t="s">
        <v>146</v>
      </c>
      <c r="Q4" s="15" t="s">
        <v>147</v>
      </c>
      <c r="R4" s="15" t="s">
        <v>148</v>
      </c>
      <c r="S4" s="15" t="s">
        <v>149</v>
      </c>
      <c r="T4" s="15" t="s">
        <v>150</v>
      </c>
      <c r="U4" s="15" t="s">
        <v>151</v>
      </c>
      <c r="V4" s="15" t="s">
        <v>152</v>
      </c>
      <c r="W4" s="15" t="s">
        <v>153</v>
      </c>
      <c r="X4" s="15" t="s">
        <v>154</v>
      </c>
      <c r="Y4" s="15" t="s">
        <v>87</v>
      </c>
      <c r="Z4" s="15" t="s">
        <v>42</v>
      </c>
      <c r="AA4" s="15" t="s">
        <v>43</v>
      </c>
      <c r="AB4" s="15" t="s">
        <v>126</v>
      </c>
      <c r="AC4" s="15" t="s">
        <v>85</v>
      </c>
      <c r="AD4" s="15" t="s">
        <v>127</v>
      </c>
      <c r="AE4" s="23" t="s">
        <v>155</v>
      </c>
      <c r="AF4" s="23" t="s">
        <v>156</v>
      </c>
      <c r="AG4" s="23" t="s">
        <v>157</v>
      </c>
    </row>
    <row r="5" spans="1:33" x14ac:dyDescent="0.3">
      <c r="A5" s="46" t="str">
        <f>IF($AG5="","",IFERROR(INDEX(Kobo_Import!$A$2:$CZ$301,$AG5,Field_Map!$B$13)&amp;"",""))</f>
        <v>HH-001</v>
      </c>
      <c r="B5" s="46" t="str">
        <f>IF($AG5="","",IF(IFERROR(INDEX(Kobo_Import!$A$2:$CZ$301,$AG5,Field_Map!$B$9)&amp;"","")="","",IFERROR(INDEX(Lists!$N$5:$N$19,MATCH(INDEX(Kobo_Import!$A$2:$CZ$301,$AG5,Field_Map!$B$9)&amp;"",Lists!$M$5:$M$19,0)),INDEX(Kobo_Import!$A$2:$CZ$301,$AG5,Field_Map!$B$9)&amp;"")))</f>
        <v>Site A – School Shelter</v>
      </c>
      <c r="C5" s="46" t="str">
        <f>IF($AG5="","",IF(IFERROR(INDEX(Kobo_Import!$A$2:$CZ$301,$AG5,Field_Map!$B$14)&amp;"","")="","",IFERROR(INDEX(Lists!$N$5:$N$19,MATCH(INDEX(Kobo_Import!$A$2:$CZ$301,$AG5,Field_Map!$B$14)&amp;"",Lists!$M$5:$M$19,0)),INDEX(Kobo_Import!$A$2:$CZ$301,$AG5,Field_Map!$B$14)&amp;"")))</f>
        <v>Classroom</v>
      </c>
      <c r="D5" s="46" t="str">
        <f>IF($AG5="","",IF(IFERROR(INDEX(Kobo_Import!$A$2:$CZ$301,$AG5,Field_Map!$B$15)&amp;"","")="","",IFERROR(INDEX(Lists!$N$5:$N$19,MATCH(INDEX(Kobo_Import!$A$2:$CZ$301,$AG5,Field_Map!$B$15)&amp;"",Lists!$M$5:$M$19,0)),INDEX(Kobo_Import!$A$2:$CZ$301,$AG5,Field_Map!$B$15)&amp;"")))</f>
        <v>Adequate</v>
      </c>
      <c r="E5" s="49">
        <f>IF($A5="","",IFERROR(INDEX(Import_Index!$D$5:$D$304,MATCH($A5&amp;"|registration",Import_Index!$I$5:$I$304,0)),F5))</f>
        <v>46022</v>
      </c>
      <c r="F5" s="49">
        <f>IF($AG5="","",INDEX(Import_Index!$D$5:$D$304,$AG5))</f>
        <v>46022</v>
      </c>
      <c r="G5" s="46">
        <f>IF($A5="","",COUNTIFS(Import_Index!$B$5:$B$304,$A5,Import_Index!$C$5:$C$304,"yes"))</f>
        <v>1</v>
      </c>
      <c r="H5" s="46">
        <f>IF($AG5="","",IFERROR(VALUE(INDEX(Kobo_Import!$A$2:$CZ$301,$AG5,Field_Map!$B$16)&amp;""),0))</f>
        <v>8</v>
      </c>
      <c r="I5" s="46" t="str">
        <f>IF($AG5="","",IF(IFERROR(INDEX(Kobo_Import!$A$2:$CZ$301,$AG5,Field_Map!$B$17)&amp;"","")="","",IFERROR(INDEX(Lists!$N$5:$N$19,MATCH(INDEX(Kobo_Import!$A$2:$CZ$301,$AG5,Field_Map!$B$17)&amp;"",Lists!$M$5:$M$19,0)),INDEX(Kobo_Import!$A$2:$CZ$301,$AG5,Field_Map!$B$17)&amp;"")))</f>
        <v>No</v>
      </c>
      <c r="J5" s="46">
        <f>IF($AG5="","",IFERROR(VALUE(INDEX(Kobo_Import!$A$2:$CZ$301,$AG5,Field_Map!$B$18)&amp;""),0))</f>
        <v>1</v>
      </c>
      <c r="K5" s="46">
        <f>IF($AG5="","",IFERROR(VALUE(INDEX(Kobo_Import!$A$2:$CZ$301,$AG5,Field_Map!$B$19)&amp;""),0))</f>
        <v>5</v>
      </c>
      <c r="L5" s="46">
        <f>IF($AG5="","",IFERROR(VALUE(INDEX(Kobo_Import!$A$2:$CZ$301,$AG5,Field_Map!$B$20)&amp;""),0))</f>
        <v>2</v>
      </c>
      <c r="M5" s="46">
        <f>IF($AG5="","",IFERROR(VALUE(INDEX(Kobo_Import!$A$2:$CZ$301,$AG5,Field_Map!$B$21)&amp;""),0))</f>
        <v>0</v>
      </c>
      <c r="N5" s="46">
        <f>IF($AG5="","",IFERROR(VALUE(INDEX(Kobo_Import!$A$2:$CZ$301,$AG5,Field_Map!$B$22)&amp;""),0))</f>
        <v>1</v>
      </c>
      <c r="O5" s="46">
        <f>IF($AG5="","",IFERROR(VALUE(INDEX(Kobo_Import!$A$2:$CZ$301,$AG5,Field_Map!$B$23)&amp;""),0))</f>
        <v>1</v>
      </c>
      <c r="P5" s="46">
        <f>IF($AG5="","",IFERROR(VALUE(INDEX(Kobo_Import!$A$2:$CZ$301,$AG5,Field_Map!$B$24)&amp;""),0))</f>
        <v>0</v>
      </c>
      <c r="Q5" s="46">
        <f>IF($AG5="","",IFERROR(VALUE(INDEX(Kobo_Import!$A$2:$CZ$301,$AG5,Field_Map!$B$25)&amp;""),0))</f>
        <v>3</v>
      </c>
      <c r="R5" s="46">
        <f>IF($AG5="","",IFERROR(VALUE(INDEX(Kobo_Import!$A$2:$CZ$301,$AG5,Field_Map!$B$26)&amp;""),0))</f>
        <v>1</v>
      </c>
      <c r="S5" s="46">
        <f>IF($AG5="","",IFERROR(VALUE(INDEX(Kobo_Import!$A$2:$CZ$301,$AG5,Field_Map!$B$27)&amp;""),0))</f>
        <v>2</v>
      </c>
      <c r="T5" s="46">
        <f>IF($AG5="","",IFERROR(VALUE(INDEX(Kobo_Import!$A$2:$CZ$301,$AG5,Field_Map!$B$28)&amp;""),0))</f>
        <v>1</v>
      </c>
      <c r="U5" s="46" t="str">
        <f>IF($AG5="","",IF(IFERROR(INDEX(Kobo_Import!$A$2:$CZ$301,$AG5,Field_Map!$B$29)&amp;"","")="","",IFERROR(INDEX(Lists!$N$5:$N$19,MATCH(INDEX(Kobo_Import!$A$2:$CZ$301,$AG5,Field_Map!$B$29)&amp;"",Lists!$M$5:$M$19,0)),INDEX(Kobo_Import!$A$2:$CZ$301,$AG5,Field_Map!$B$29)&amp;"")))</f>
        <v>Yes</v>
      </c>
      <c r="V5" s="50">
        <f>IF($A5="","",Settings!$B$5-F5)</f>
        <v>31</v>
      </c>
      <c r="W5" s="46">
        <f>IF($A5="","",(J5&gt;0)*Settings!$B$22+(P5&gt;0)*Settings!$B$23+(M5&gt;0)*Settings!$B$24+(O5&gt;0)*Settings!$B$25+(I5="Yes")*Settings!$B$26+(D5="Unusable")*Settings!$B$27+(D5="Damaged")*Settings!$B$28+(H5&gt;=Settings!$B$30)*Settings!$B$29)</f>
        <v>3</v>
      </c>
      <c r="X5" s="46" t="str">
        <f>IF($A5="","",IF(W5&gt;=Settings!$B$31,"High",IF(W5&gt;=Settings!$B$32,"Medium","Low")))</f>
        <v>Medium</v>
      </c>
      <c r="Y5" s="46" t="str">
        <f>IF($A5="","",IF(V5&gt;Settings!$B$21,"Yes",""))</f>
        <v>Yes</v>
      </c>
      <c r="Z5" s="46">
        <f>IF($A5="","",COUNTIFS(Referrals!$B$5:$B$52,$A5,Referrals!$G$5:$G$52,"Referred")+COUNTIFS(Referrals!$B$5:$B$52,$A5,Referrals!$G$5:$G$52,"Acknowledged"))</f>
        <v>0</v>
      </c>
      <c r="AA5" s="46">
        <f>IF($A5="","",COUNTIFS(Referrals!$B$5:$B$52,$A5,Referrals!$K$5:$K$52,"Overdue"))</f>
        <v>0</v>
      </c>
      <c r="AB5" s="46" t="str">
        <f>IF($A5="","",IF(AND(J5&gt;0,U5="Yes"),IF(COUNTIFS(Referrals!$B$5:$B$52,$A5,Referrals!$D$5:$D$52,"Nutrition / IYCF")=0,"Referral needed","Referred"),""))</f>
        <v>Referred</v>
      </c>
      <c r="AC5" s="46" t="str">
        <f>IF($A5="","",IF(N(Needs_Gaps!O5)&gt;0,"Yes",""))</f>
        <v/>
      </c>
      <c r="AD5" s="46" t="str">
        <f>IF($A5="","",IF(COUNTIFS(Maintenance_Log!$C$5:$C$40,$A5,Maintenance_Log!$H$5:$H$40,"&lt;&gt;Resolved")&gt;0,"Yes",""))</f>
        <v/>
      </c>
      <c r="AE5" s="46">
        <f t="shared" ref="AE5:AE36" si="0">IF($A5="","",(Y5="Yes")+(AA5&gt;0)+(AB5="Referral needed")+(AC5="Yes")+(AD5="Yes"))</f>
        <v>1</v>
      </c>
      <c r="AF5" s="46">
        <f t="shared" ref="AF5:AF36" si="1">IF($A5="",0,IF(AE5&gt;0,AE5*100000+W5*1000+(1000-(ROW()-4)),0))</f>
        <v>103999</v>
      </c>
      <c r="AG5" s="46">
        <f>IFERROR(MATCH(ROW()-4,Import_Index!$H$5:$H$304,0),"")</f>
        <v>42</v>
      </c>
    </row>
    <row r="6" spans="1:33" x14ac:dyDescent="0.3">
      <c r="A6" s="46" t="str">
        <f>IF($AG6="","",IFERROR(INDEX(Kobo_Import!$A$2:$CZ$301,$AG6,Field_Map!$B$13)&amp;"",""))</f>
        <v>HH-002</v>
      </c>
      <c r="B6" s="46" t="str">
        <f>IF($AG6="","",IF(IFERROR(INDEX(Kobo_Import!$A$2:$CZ$301,$AG6,Field_Map!$B$9)&amp;"","")="","",IFERROR(INDEX(Lists!$N$5:$N$19,MATCH(INDEX(Kobo_Import!$A$2:$CZ$301,$AG6,Field_Map!$B$9)&amp;"",Lists!$M$5:$M$19,0)),INDEX(Kobo_Import!$A$2:$CZ$301,$AG6,Field_Map!$B$9)&amp;"")))</f>
        <v>Site A – School Shelter</v>
      </c>
      <c r="C6" s="46" t="str">
        <f>IF($AG6="","",IF(IFERROR(INDEX(Kobo_Import!$A$2:$CZ$301,$AG6,Field_Map!$B$14)&amp;"","")="","",IFERROR(INDEX(Lists!$N$5:$N$19,MATCH(INDEX(Kobo_Import!$A$2:$CZ$301,$AG6,Field_Map!$B$14)&amp;"",Lists!$M$5:$M$19,0)),INDEX(Kobo_Import!$A$2:$CZ$301,$AG6,Field_Map!$B$14)&amp;"")))</f>
        <v>Classroom</v>
      </c>
      <c r="D6" s="46" t="str">
        <f>IF($AG6="","",IF(IFERROR(INDEX(Kobo_Import!$A$2:$CZ$301,$AG6,Field_Map!$B$15)&amp;"","")="","",IFERROR(INDEX(Lists!$N$5:$N$19,MATCH(INDEX(Kobo_Import!$A$2:$CZ$301,$AG6,Field_Map!$B$15)&amp;"",Lists!$M$5:$M$19,0)),INDEX(Kobo_Import!$A$2:$CZ$301,$AG6,Field_Map!$B$15)&amp;"")))</f>
        <v>Adequate</v>
      </c>
      <c r="E6" s="49">
        <f>IF($A6="","",IFERROR(INDEX(Import_Index!$D$5:$D$304,MATCH($A6&amp;"|registration",Import_Index!$I$5:$I$304,0)),F6))</f>
        <v>46049</v>
      </c>
      <c r="F6" s="49">
        <f>IF($AG6="","",INDEX(Import_Index!$D$5:$D$304,$AG6))</f>
        <v>46049</v>
      </c>
      <c r="G6" s="46">
        <f>IF($A6="","",COUNTIFS(Import_Index!$B$5:$B$304,$A6,Import_Index!$C$5:$C$304,"yes"))</f>
        <v>1</v>
      </c>
      <c r="H6" s="46">
        <f>IF($AG6="","",IFERROR(VALUE(INDEX(Kobo_Import!$A$2:$CZ$301,$AG6,Field_Map!$B$16)&amp;""),0))</f>
        <v>3</v>
      </c>
      <c r="I6" s="46" t="str">
        <f>IF($AG6="","",IF(IFERROR(INDEX(Kobo_Import!$A$2:$CZ$301,$AG6,Field_Map!$B$17)&amp;"","")="","",IFERROR(INDEX(Lists!$N$5:$N$19,MATCH(INDEX(Kobo_Import!$A$2:$CZ$301,$AG6,Field_Map!$B$17)&amp;"",Lists!$M$5:$M$19,0)),INDEX(Kobo_Import!$A$2:$CZ$301,$AG6,Field_Map!$B$17)&amp;"")))</f>
        <v>Yes</v>
      </c>
      <c r="J6" s="46">
        <f>IF($AG6="","",IFERROR(VALUE(INDEX(Kobo_Import!$A$2:$CZ$301,$AG6,Field_Map!$B$18)&amp;""),0))</f>
        <v>0</v>
      </c>
      <c r="K6" s="46">
        <f>IF($AG6="","",IFERROR(VALUE(INDEX(Kobo_Import!$A$2:$CZ$301,$AG6,Field_Map!$B$19)&amp;""),0))</f>
        <v>1</v>
      </c>
      <c r="L6" s="46">
        <f>IF($AG6="","",IFERROR(VALUE(INDEX(Kobo_Import!$A$2:$CZ$301,$AG6,Field_Map!$B$20)&amp;""),0))</f>
        <v>2</v>
      </c>
      <c r="M6" s="46">
        <f>IF($AG6="","",IFERROR(VALUE(INDEX(Kobo_Import!$A$2:$CZ$301,$AG6,Field_Map!$B$21)&amp;""),0))</f>
        <v>0</v>
      </c>
      <c r="N6" s="46">
        <f>IF($AG6="","",IFERROR(VALUE(INDEX(Kobo_Import!$A$2:$CZ$301,$AG6,Field_Map!$B$22)&amp;""),0))</f>
        <v>2</v>
      </c>
      <c r="O6" s="46">
        <f>IF($AG6="","",IFERROR(VALUE(INDEX(Kobo_Import!$A$2:$CZ$301,$AG6,Field_Map!$B$23)&amp;""),0))</f>
        <v>0</v>
      </c>
      <c r="P6" s="46">
        <f>IF($AG6="","",IFERROR(VALUE(INDEX(Kobo_Import!$A$2:$CZ$301,$AG6,Field_Map!$B$24)&amp;""),0))</f>
        <v>0</v>
      </c>
      <c r="Q6" s="46">
        <f>IF($AG6="","",IFERROR(VALUE(INDEX(Kobo_Import!$A$2:$CZ$301,$AG6,Field_Map!$B$25)&amp;""),0))</f>
        <v>5</v>
      </c>
      <c r="R6" s="46">
        <f>IF($AG6="","",IFERROR(VALUE(INDEX(Kobo_Import!$A$2:$CZ$301,$AG6,Field_Map!$B$26)&amp;""),0))</f>
        <v>3</v>
      </c>
      <c r="S6" s="46">
        <f>IF($AG6="","",IFERROR(VALUE(INDEX(Kobo_Import!$A$2:$CZ$301,$AG6,Field_Map!$B$27)&amp;""),0))</f>
        <v>0</v>
      </c>
      <c r="T6" s="46">
        <f>IF($AG6="","",IFERROR(VALUE(INDEX(Kobo_Import!$A$2:$CZ$301,$AG6,Field_Map!$B$28)&amp;""),0))</f>
        <v>1</v>
      </c>
      <c r="U6" s="46" t="str">
        <f>IF($AG6="","",IF(IFERROR(INDEX(Kobo_Import!$A$2:$CZ$301,$AG6,Field_Map!$B$29)&amp;"","")="","",IFERROR(INDEX(Lists!$N$5:$N$19,MATCH(INDEX(Kobo_Import!$A$2:$CZ$301,$AG6,Field_Map!$B$29)&amp;"",Lists!$M$5:$M$19,0)),INDEX(Kobo_Import!$A$2:$CZ$301,$AG6,Field_Map!$B$29)&amp;"")))</f>
        <v/>
      </c>
      <c r="V6" s="50">
        <f>IF($A6="","",Settings!$B$5-F6)</f>
        <v>4</v>
      </c>
      <c r="W6" s="46">
        <f>IF($A6="","",(J6&gt;0)*Settings!$B$22+(P6&gt;0)*Settings!$B$23+(M6&gt;0)*Settings!$B$24+(O6&gt;0)*Settings!$B$25+(I6="Yes")*Settings!$B$26+(D6="Unusable")*Settings!$B$27+(D6="Damaged")*Settings!$B$28+(H6&gt;=Settings!$B$30)*Settings!$B$29)</f>
        <v>1</v>
      </c>
      <c r="X6" s="46" t="str">
        <f>IF($A6="","",IF(W6&gt;=Settings!$B$31,"High",IF(W6&gt;=Settings!$B$32,"Medium","Low")))</f>
        <v>Low</v>
      </c>
      <c r="Y6" s="46" t="str">
        <f>IF($A6="","",IF(V6&gt;Settings!$B$21,"Yes",""))</f>
        <v/>
      </c>
      <c r="Z6" s="46">
        <f>IF($A6="","",COUNTIFS(Referrals!$B$5:$B$52,$A6,Referrals!$G$5:$G$52,"Referred")+COUNTIFS(Referrals!$B$5:$B$52,$A6,Referrals!$G$5:$G$52,"Acknowledged"))</f>
        <v>0</v>
      </c>
      <c r="AA6" s="46">
        <f>IF($A6="","",COUNTIFS(Referrals!$B$5:$B$52,$A6,Referrals!$K$5:$K$52,"Overdue"))</f>
        <v>0</v>
      </c>
      <c r="AB6" s="46" t="str">
        <f>IF($A6="","",IF(AND(J6&gt;0,U6="Yes"),IF(COUNTIFS(Referrals!$B$5:$B$52,$A6,Referrals!$D$5:$D$52,"Nutrition / IYCF")=0,"Referral needed","Referred"),""))</f>
        <v/>
      </c>
      <c r="AC6" s="46" t="str">
        <f>IF($A6="","",IF(N(Needs_Gaps!O6)&gt;0,"Yes",""))</f>
        <v/>
      </c>
      <c r="AD6" s="46" t="str">
        <f>IF($A6="","",IF(COUNTIFS(Maintenance_Log!$C$5:$C$40,$A6,Maintenance_Log!$H$5:$H$40,"&lt;&gt;Resolved")&gt;0,"Yes",""))</f>
        <v/>
      </c>
      <c r="AE6" s="46">
        <f t="shared" si="0"/>
        <v>0</v>
      </c>
      <c r="AF6" s="46">
        <f t="shared" si="1"/>
        <v>0</v>
      </c>
      <c r="AG6" s="46">
        <f>IFERROR(MATCH(ROW()-4,Import_Index!$H$5:$H$304,0),"")</f>
        <v>141</v>
      </c>
    </row>
    <row r="7" spans="1:33" x14ac:dyDescent="0.3">
      <c r="A7" s="46" t="str">
        <f>IF($AG7="","",IFERROR(INDEX(Kobo_Import!$A$2:$CZ$301,$AG7,Field_Map!$B$13)&amp;"",""))</f>
        <v>HH-003</v>
      </c>
      <c r="B7" s="46" t="str">
        <f>IF($AG7="","",IF(IFERROR(INDEX(Kobo_Import!$A$2:$CZ$301,$AG7,Field_Map!$B$9)&amp;"","")="","",IFERROR(INDEX(Lists!$N$5:$N$19,MATCH(INDEX(Kobo_Import!$A$2:$CZ$301,$AG7,Field_Map!$B$9)&amp;"",Lists!$M$5:$M$19,0)),INDEX(Kobo_Import!$A$2:$CZ$301,$AG7,Field_Map!$B$9)&amp;"")))</f>
        <v>Site A – School Shelter</v>
      </c>
      <c r="C7" s="46" t="str">
        <f>IF($AG7="","",IF(IFERROR(INDEX(Kobo_Import!$A$2:$CZ$301,$AG7,Field_Map!$B$14)&amp;"","")="","",IFERROR(INDEX(Lists!$N$5:$N$19,MATCH(INDEX(Kobo_Import!$A$2:$CZ$301,$AG7,Field_Map!$B$14)&amp;"",Lists!$M$5:$M$19,0)),INDEX(Kobo_Import!$A$2:$CZ$301,$AG7,Field_Map!$B$14)&amp;"")))</f>
        <v>Classroom</v>
      </c>
      <c r="D7" s="46" t="str">
        <f>IF($AG7="","",IF(IFERROR(INDEX(Kobo_Import!$A$2:$CZ$301,$AG7,Field_Map!$B$15)&amp;"","")="","",IFERROR(INDEX(Lists!$N$5:$N$19,MATCH(INDEX(Kobo_Import!$A$2:$CZ$301,$AG7,Field_Map!$B$15)&amp;"",Lists!$M$5:$M$19,0)),INDEX(Kobo_Import!$A$2:$CZ$301,$AG7,Field_Map!$B$15)&amp;"")))</f>
        <v>Adequate</v>
      </c>
      <c r="E7" s="49">
        <f>IF($A7="","",IFERROR(INDEX(Import_Index!$D$5:$D$304,MATCH($A7&amp;"|registration",Import_Index!$I$5:$I$304,0)),F7))</f>
        <v>46030</v>
      </c>
      <c r="F7" s="49">
        <f>IF($AG7="","",INDEX(Import_Index!$D$5:$D$304,$AG7))</f>
        <v>46030</v>
      </c>
      <c r="G7" s="46">
        <f>IF($A7="","",COUNTIFS(Import_Index!$B$5:$B$304,$A7,Import_Index!$C$5:$C$304,"yes"))</f>
        <v>1</v>
      </c>
      <c r="H7" s="46">
        <f>IF($AG7="","",IFERROR(VALUE(INDEX(Kobo_Import!$A$2:$CZ$301,$AG7,Field_Map!$B$16)&amp;""),0))</f>
        <v>8</v>
      </c>
      <c r="I7" s="46" t="str">
        <f>IF($AG7="","",IF(IFERROR(INDEX(Kobo_Import!$A$2:$CZ$301,$AG7,Field_Map!$B$17)&amp;"","")="","",IFERROR(INDEX(Lists!$N$5:$N$19,MATCH(INDEX(Kobo_Import!$A$2:$CZ$301,$AG7,Field_Map!$B$17)&amp;"",Lists!$M$5:$M$19,0)),INDEX(Kobo_Import!$A$2:$CZ$301,$AG7,Field_Map!$B$17)&amp;"")))</f>
        <v>No</v>
      </c>
      <c r="J7" s="46">
        <f>IF($AG7="","",IFERROR(VALUE(INDEX(Kobo_Import!$A$2:$CZ$301,$AG7,Field_Map!$B$18)&amp;""),0))</f>
        <v>0</v>
      </c>
      <c r="K7" s="46">
        <f>IF($AG7="","",IFERROR(VALUE(INDEX(Kobo_Import!$A$2:$CZ$301,$AG7,Field_Map!$B$19)&amp;""),0))</f>
        <v>6</v>
      </c>
      <c r="L7" s="46">
        <f>IF($AG7="","",IFERROR(VALUE(INDEX(Kobo_Import!$A$2:$CZ$301,$AG7,Field_Map!$B$20)&amp;""),0))</f>
        <v>2</v>
      </c>
      <c r="M7" s="46">
        <f>IF($AG7="","",IFERROR(VALUE(INDEX(Kobo_Import!$A$2:$CZ$301,$AG7,Field_Map!$B$21)&amp;""),0))</f>
        <v>0</v>
      </c>
      <c r="N7" s="46">
        <f>IF($AG7="","",IFERROR(VALUE(INDEX(Kobo_Import!$A$2:$CZ$301,$AG7,Field_Map!$B$22)&amp;""),0))</f>
        <v>1</v>
      </c>
      <c r="O7" s="46">
        <f>IF($AG7="","",IFERROR(VALUE(INDEX(Kobo_Import!$A$2:$CZ$301,$AG7,Field_Map!$B$23)&amp;""),0))</f>
        <v>0</v>
      </c>
      <c r="P7" s="46">
        <f>IF($AG7="","",IFERROR(VALUE(INDEX(Kobo_Import!$A$2:$CZ$301,$AG7,Field_Map!$B$24)&amp;""),0))</f>
        <v>0</v>
      </c>
      <c r="Q7" s="46">
        <f>IF($AG7="","",IFERROR(VALUE(INDEX(Kobo_Import!$A$2:$CZ$301,$AG7,Field_Map!$B$25)&amp;""),0))</f>
        <v>9</v>
      </c>
      <c r="R7" s="46">
        <f>IF($AG7="","",IFERROR(VALUE(INDEX(Kobo_Import!$A$2:$CZ$301,$AG7,Field_Map!$B$26)&amp;""),0))</f>
        <v>2</v>
      </c>
      <c r="S7" s="46">
        <f>IF($AG7="","",IFERROR(VALUE(INDEX(Kobo_Import!$A$2:$CZ$301,$AG7,Field_Map!$B$27)&amp;""),0))</f>
        <v>1</v>
      </c>
      <c r="T7" s="46">
        <f>IF($AG7="","",IFERROR(VALUE(INDEX(Kobo_Import!$A$2:$CZ$301,$AG7,Field_Map!$B$28)&amp;""),0))</f>
        <v>0</v>
      </c>
      <c r="U7" s="46" t="str">
        <f>IF($AG7="","",IF(IFERROR(INDEX(Kobo_Import!$A$2:$CZ$301,$AG7,Field_Map!$B$29)&amp;"","")="","",IFERROR(INDEX(Lists!$N$5:$N$19,MATCH(INDEX(Kobo_Import!$A$2:$CZ$301,$AG7,Field_Map!$B$29)&amp;"",Lists!$M$5:$M$19,0)),INDEX(Kobo_Import!$A$2:$CZ$301,$AG7,Field_Map!$B$29)&amp;"")))</f>
        <v/>
      </c>
      <c r="V7" s="50">
        <f>IF($A7="","",Settings!$B$5-F7)</f>
        <v>23</v>
      </c>
      <c r="W7" s="46">
        <f>IF($A7="","",(J7&gt;0)*Settings!$B$22+(P7&gt;0)*Settings!$B$23+(M7&gt;0)*Settings!$B$24+(O7&gt;0)*Settings!$B$25+(I7="Yes")*Settings!$B$26+(D7="Unusable")*Settings!$B$27+(D7="Damaged")*Settings!$B$28+(H7&gt;=Settings!$B$30)*Settings!$B$29)</f>
        <v>0</v>
      </c>
      <c r="X7" s="46" t="str">
        <f>IF($A7="","",IF(W7&gt;=Settings!$B$31,"High",IF(W7&gt;=Settings!$B$32,"Medium","Low")))</f>
        <v>Low</v>
      </c>
      <c r="Y7" s="46" t="str">
        <f>IF($A7="","",IF(V7&gt;Settings!$B$21,"Yes",""))</f>
        <v/>
      </c>
      <c r="Z7" s="46">
        <f>IF($A7="","",COUNTIFS(Referrals!$B$5:$B$52,$A7,Referrals!$G$5:$G$52,"Referred")+COUNTIFS(Referrals!$B$5:$B$52,$A7,Referrals!$G$5:$G$52,"Acknowledged"))</f>
        <v>0</v>
      </c>
      <c r="AA7" s="46">
        <f>IF($A7="","",COUNTIFS(Referrals!$B$5:$B$52,$A7,Referrals!$K$5:$K$52,"Overdue"))</f>
        <v>0</v>
      </c>
      <c r="AB7" s="46" t="str">
        <f>IF($A7="","",IF(AND(J7&gt;0,U7="Yes"),IF(COUNTIFS(Referrals!$B$5:$B$52,$A7,Referrals!$D$5:$D$52,"Nutrition / IYCF")=0,"Referral needed","Referred"),""))</f>
        <v/>
      </c>
      <c r="AC7" s="46" t="str">
        <f>IF($A7="","",IF(N(Needs_Gaps!O7)&gt;0,"Yes",""))</f>
        <v/>
      </c>
      <c r="AD7" s="46" t="str">
        <f>IF($A7="","",IF(COUNTIFS(Maintenance_Log!$C$5:$C$40,$A7,Maintenance_Log!$H$5:$H$40,"&lt;&gt;Resolved")&gt;0,"Yes",""))</f>
        <v/>
      </c>
      <c r="AE7" s="46">
        <f t="shared" si="0"/>
        <v>0</v>
      </c>
      <c r="AF7" s="46">
        <f t="shared" si="1"/>
        <v>0</v>
      </c>
      <c r="AG7" s="46">
        <f>IFERROR(MATCH(ROW()-4,Import_Index!$H$5:$H$304,0),"")</f>
        <v>58</v>
      </c>
    </row>
    <row r="8" spans="1:33" x14ac:dyDescent="0.3">
      <c r="A8" s="46" t="str">
        <f>IF($AG8="","",IFERROR(INDEX(Kobo_Import!$A$2:$CZ$301,$AG8,Field_Map!$B$13)&amp;"",""))</f>
        <v>HH-004</v>
      </c>
      <c r="B8" s="46" t="str">
        <f>IF($AG8="","",IF(IFERROR(INDEX(Kobo_Import!$A$2:$CZ$301,$AG8,Field_Map!$B$9)&amp;"","")="","",IFERROR(INDEX(Lists!$N$5:$N$19,MATCH(INDEX(Kobo_Import!$A$2:$CZ$301,$AG8,Field_Map!$B$9)&amp;"",Lists!$M$5:$M$19,0)),INDEX(Kobo_Import!$A$2:$CZ$301,$AG8,Field_Map!$B$9)&amp;"")))</f>
        <v>Site A – School Shelter</v>
      </c>
      <c r="C8" s="46" t="str">
        <f>IF($AG8="","",IF(IFERROR(INDEX(Kobo_Import!$A$2:$CZ$301,$AG8,Field_Map!$B$14)&amp;"","")="","",IFERROR(INDEX(Lists!$N$5:$N$19,MATCH(INDEX(Kobo_Import!$A$2:$CZ$301,$AG8,Field_Map!$B$14)&amp;"",Lists!$M$5:$M$19,0)),INDEX(Kobo_Import!$A$2:$CZ$301,$AG8,Field_Map!$B$14)&amp;"")))</f>
        <v>Classroom</v>
      </c>
      <c r="D8" s="46" t="str">
        <f>IF($AG8="","",IF(IFERROR(INDEX(Kobo_Import!$A$2:$CZ$301,$AG8,Field_Map!$B$15)&amp;"","")="","",IFERROR(INDEX(Lists!$N$5:$N$19,MATCH(INDEX(Kobo_Import!$A$2:$CZ$301,$AG8,Field_Map!$B$15)&amp;"",Lists!$M$5:$M$19,0)),INDEX(Kobo_Import!$A$2:$CZ$301,$AG8,Field_Map!$B$15)&amp;"")))</f>
        <v>Adequate</v>
      </c>
      <c r="E8" s="49">
        <f>IF($A8="","",IFERROR(INDEX(Import_Index!$D$5:$D$304,MATCH($A8&amp;"|registration",Import_Index!$I$5:$I$304,0)),F8))</f>
        <v>46021</v>
      </c>
      <c r="F8" s="49">
        <f>IF($AG8="","",INDEX(Import_Index!$D$5:$D$304,$AG8))</f>
        <v>46034</v>
      </c>
      <c r="G8" s="46">
        <f>IF($A8="","",COUNTIFS(Import_Index!$B$5:$B$304,$A8,Import_Index!$C$5:$C$304,"yes"))</f>
        <v>2</v>
      </c>
      <c r="H8" s="46">
        <f>IF($AG8="","",IFERROR(VALUE(INDEX(Kobo_Import!$A$2:$CZ$301,$AG8,Field_Map!$B$16)&amp;""),0))</f>
        <v>7</v>
      </c>
      <c r="I8" s="46" t="str">
        <f>IF($AG8="","",IF(IFERROR(INDEX(Kobo_Import!$A$2:$CZ$301,$AG8,Field_Map!$B$17)&amp;"","")="","",IFERROR(INDEX(Lists!$N$5:$N$19,MATCH(INDEX(Kobo_Import!$A$2:$CZ$301,$AG8,Field_Map!$B$17)&amp;"",Lists!$M$5:$M$19,0)),INDEX(Kobo_Import!$A$2:$CZ$301,$AG8,Field_Map!$B$17)&amp;"")))</f>
        <v>No</v>
      </c>
      <c r="J8" s="46">
        <f>IF($AG8="","",IFERROR(VALUE(INDEX(Kobo_Import!$A$2:$CZ$301,$AG8,Field_Map!$B$18)&amp;""),0))</f>
        <v>2</v>
      </c>
      <c r="K8" s="46">
        <f>IF($AG8="","",IFERROR(VALUE(INDEX(Kobo_Import!$A$2:$CZ$301,$AG8,Field_Map!$B$19)&amp;""),0))</f>
        <v>3</v>
      </c>
      <c r="L8" s="46">
        <f>IF($AG8="","",IFERROR(VALUE(INDEX(Kobo_Import!$A$2:$CZ$301,$AG8,Field_Map!$B$20)&amp;""),0))</f>
        <v>1</v>
      </c>
      <c r="M8" s="46">
        <f>IF($AG8="","",IFERROR(VALUE(INDEX(Kobo_Import!$A$2:$CZ$301,$AG8,Field_Map!$B$21)&amp;""),0))</f>
        <v>1</v>
      </c>
      <c r="N8" s="46">
        <f>IF($AG8="","",IFERROR(VALUE(INDEX(Kobo_Import!$A$2:$CZ$301,$AG8,Field_Map!$B$22)&amp;""),0))</f>
        <v>1</v>
      </c>
      <c r="O8" s="46">
        <f>IF($AG8="","",IFERROR(VALUE(INDEX(Kobo_Import!$A$2:$CZ$301,$AG8,Field_Map!$B$23)&amp;""),0))</f>
        <v>1</v>
      </c>
      <c r="P8" s="46">
        <f>IF($AG8="","",IFERROR(VALUE(INDEX(Kobo_Import!$A$2:$CZ$301,$AG8,Field_Map!$B$24)&amp;""),0))</f>
        <v>0</v>
      </c>
      <c r="Q8" s="46">
        <f>IF($AG8="","",IFERROR(VALUE(INDEX(Kobo_Import!$A$2:$CZ$301,$AG8,Field_Map!$B$25)&amp;""),0))</f>
        <v>2</v>
      </c>
      <c r="R8" s="46">
        <f>IF($AG8="","",IFERROR(VALUE(INDEX(Kobo_Import!$A$2:$CZ$301,$AG8,Field_Map!$B$26)&amp;""),0))</f>
        <v>3</v>
      </c>
      <c r="S8" s="46">
        <f>IF($AG8="","",IFERROR(VALUE(INDEX(Kobo_Import!$A$2:$CZ$301,$AG8,Field_Map!$B$27)&amp;""),0))</f>
        <v>5</v>
      </c>
      <c r="T8" s="46">
        <f>IF($AG8="","",IFERROR(VALUE(INDEX(Kobo_Import!$A$2:$CZ$301,$AG8,Field_Map!$B$28)&amp;""),0))</f>
        <v>0</v>
      </c>
      <c r="U8" s="46" t="str">
        <f>IF($AG8="","",IF(IFERROR(INDEX(Kobo_Import!$A$2:$CZ$301,$AG8,Field_Map!$B$29)&amp;"","")="","",IFERROR(INDEX(Lists!$N$5:$N$19,MATCH(INDEX(Kobo_Import!$A$2:$CZ$301,$AG8,Field_Map!$B$29)&amp;"",Lists!$M$5:$M$19,0)),INDEX(Kobo_Import!$A$2:$CZ$301,$AG8,Field_Map!$B$29)&amp;"")))</f>
        <v>No</v>
      </c>
      <c r="V8" s="50">
        <f>IF($A8="","",Settings!$B$5-F8)</f>
        <v>19</v>
      </c>
      <c r="W8" s="46">
        <f>IF($A8="","",(J8&gt;0)*Settings!$B$22+(P8&gt;0)*Settings!$B$23+(M8&gt;0)*Settings!$B$24+(O8&gt;0)*Settings!$B$25+(I8="Yes")*Settings!$B$26+(D8="Unusable")*Settings!$B$27+(D8="Damaged")*Settings!$B$28+(H8&gt;=Settings!$B$30)*Settings!$B$29)</f>
        <v>4</v>
      </c>
      <c r="X8" s="46" t="str">
        <f>IF($A8="","",IF(W8&gt;=Settings!$B$31,"High",IF(W8&gt;=Settings!$B$32,"Medium","Low")))</f>
        <v>Medium</v>
      </c>
      <c r="Y8" s="46" t="str">
        <f>IF($A8="","",IF(V8&gt;Settings!$B$21,"Yes",""))</f>
        <v/>
      </c>
      <c r="Z8" s="46">
        <f>IF($A8="","",COUNTIFS(Referrals!$B$5:$B$52,$A8,Referrals!$G$5:$G$52,"Referred")+COUNTIFS(Referrals!$B$5:$B$52,$A8,Referrals!$G$5:$G$52,"Acknowledged"))</f>
        <v>0</v>
      </c>
      <c r="AA8" s="46">
        <f>IF($A8="","",COUNTIFS(Referrals!$B$5:$B$52,$A8,Referrals!$K$5:$K$52,"Overdue"))</f>
        <v>0</v>
      </c>
      <c r="AB8" s="46" t="str">
        <f>IF($A8="","",IF(AND(J8&gt;0,U8="Yes"),IF(COUNTIFS(Referrals!$B$5:$B$52,$A8,Referrals!$D$5:$D$52,"Nutrition / IYCF")=0,"Referral needed","Referred"),""))</f>
        <v/>
      </c>
      <c r="AC8" s="46" t="str">
        <f>IF($A8="","",IF(N(Needs_Gaps!O8)&gt;0,"Yes",""))</f>
        <v/>
      </c>
      <c r="AD8" s="46" t="str">
        <f>IF($A8="","",IF(COUNTIFS(Maintenance_Log!$C$5:$C$40,$A8,Maintenance_Log!$H$5:$H$40,"&lt;&gt;Resolved")&gt;0,"Yes",""))</f>
        <v/>
      </c>
      <c r="AE8" s="46">
        <f t="shared" si="0"/>
        <v>0</v>
      </c>
      <c r="AF8" s="46">
        <f t="shared" si="1"/>
        <v>0</v>
      </c>
      <c r="AG8" s="46">
        <f>IFERROR(MATCH(ROW()-4,Import_Index!$H$5:$H$304,0),"")</f>
        <v>76</v>
      </c>
    </row>
    <row r="9" spans="1:33" x14ac:dyDescent="0.3">
      <c r="A9" s="46" t="str">
        <f>IF($AG9="","",IFERROR(INDEX(Kobo_Import!$A$2:$CZ$301,$AG9,Field_Map!$B$13)&amp;"",""))</f>
        <v>HH-005</v>
      </c>
      <c r="B9" s="46" t="str">
        <f>IF($AG9="","",IF(IFERROR(INDEX(Kobo_Import!$A$2:$CZ$301,$AG9,Field_Map!$B$9)&amp;"","")="","",IFERROR(INDEX(Lists!$N$5:$N$19,MATCH(INDEX(Kobo_Import!$A$2:$CZ$301,$AG9,Field_Map!$B$9)&amp;"",Lists!$M$5:$M$19,0)),INDEX(Kobo_Import!$A$2:$CZ$301,$AG9,Field_Map!$B$9)&amp;"")))</f>
        <v>Site A – School Shelter</v>
      </c>
      <c r="C9" s="46" t="str">
        <f>IF($AG9="","",IF(IFERROR(INDEX(Kobo_Import!$A$2:$CZ$301,$AG9,Field_Map!$B$14)&amp;"","")="","",IFERROR(INDEX(Lists!$N$5:$N$19,MATCH(INDEX(Kobo_Import!$A$2:$CZ$301,$AG9,Field_Map!$B$14)&amp;"",Lists!$M$5:$M$19,0)),INDEX(Kobo_Import!$A$2:$CZ$301,$AG9,Field_Map!$B$14)&amp;"")))</f>
        <v>Classroom</v>
      </c>
      <c r="D9" s="46" t="str">
        <f>IF($AG9="","",IF(IFERROR(INDEX(Kobo_Import!$A$2:$CZ$301,$AG9,Field_Map!$B$15)&amp;"","")="","",IFERROR(INDEX(Lists!$N$5:$N$19,MATCH(INDEX(Kobo_Import!$A$2:$CZ$301,$AG9,Field_Map!$B$15)&amp;"",Lists!$M$5:$M$19,0)),INDEX(Kobo_Import!$A$2:$CZ$301,$AG9,Field_Map!$B$15)&amp;"")))</f>
        <v>Adequate</v>
      </c>
      <c r="E9" s="49">
        <f>IF($A9="","",IFERROR(INDEX(Import_Index!$D$5:$D$304,MATCH($A9&amp;"|registration",Import_Index!$I$5:$I$304,0)),F9))</f>
        <v>46009</v>
      </c>
      <c r="F9" s="49">
        <f>IF($AG9="","",INDEX(Import_Index!$D$5:$D$304,$AG9))</f>
        <v>46045</v>
      </c>
      <c r="G9" s="46">
        <f>IF($A9="","",COUNTIFS(Import_Index!$B$5:$B$304,$A9,Import_Index!$C$5:$C$304,"yes"))</f>
        <v>2</v>
      </c>
      <c r="H9" s="46">
        <f>IF($AG9="","",IFERROR(VALUE(INDEX(Kobo_Import!$A$2:$CZ$301,$AG9,Field_Map!$B$16)&amp;""),0))</f>
        <v>7</v>
      </c>
      <c r="I9" s="46" t="str">
        <f>IF($AG9="","",IF(IFERROR(INDEX(Kobo_Import!$A$2:$CZ$301,$AG9,Field_Map!$B$17)&amp;"","")="","",IFERROR(INDEX(Lists!$N$5:$N$19,MATCH(INDEX(Kobo_Import!$A$2:$CZ$301,$AG9,Field_Map!$B$17)&amp;"",Lists!$M$5:$M$19,0)),INDEX(Kobo_Import!$A$2:$CZ$301,$AG9,Field_Map!$B$17)&amp;"")))</f>
        <v>No</v>
      </c>
      <c r="J9" s="46">
        <f>IF($AG9="","",IFERROR(VALUE(INDEX(Kobo_Import!$A$2:$CZ$301,$AG9,Field_Map!$B$18)&amp;""),0))</f>
        <v>1</v>
      </c>
      <c r="K9" s="46">
        <f>IF($AG9="","",IFERROR(VALUE(INDEX(Kobo_Import!$A$2:$CZ$301,$AG9,Field_Map!$B$19)&amp;""),0))</f>
        <v>4</v>
      </c>
      <c r="L9" s="46">
        <f>IF($AG9="","",IFERROR(VALUE(INDEX(Kobo_Import!$A$2:$CZ$301,$AG9,Field_Map!$B$20)&amp;""),0))</f>
        <v>2</v>
      </c>
      <c r="M9" s="46">
        <f>IF($AG9="","",IFERROR(VALUE(INDEX(Kobo_Import!$A$2:$CZ$301,$AG9,Field_Map!$B$21)&amp;""),0))</f>
        <v>0</v>
      </c>
      <c r="N9" s="46">
        <f>IF($AG9="","",IFERROR(VALUE(INDEX(Kobo_Import!$A$2:$CZ$301,$AG9,Field_Map!$B$22)&amp;""),0))</f>
        <v>1</v>
      </c>
      <c r="O9" s="46">
        <f>IF($AG9="","",IFERROR(VALUE(INDEX(Kobo_Import!$A$2:$CZ$301,$AG9,Field_Map!$B$23)&amp;""),0))</f>
        <v>1</v>
      </c>
      <c r="P9" s="46">
        <f>IF($AG9="","",IFERROR(VALUE(INDEX(Kobo_Import!$A$2:$CZ$301,$AG9,Field_Map!$B$24)&amp;""),0))</f>
        <v>0</v>
      </c>
      <c r="Q9" s="46">
        <f>IF($AG9="","",IFERROR(VALUE(INDEX(Kobo_Import!$A$2:$CZ$301,$AG9,Field_Map!$B$25)&amp;""),0))</f>
        <v>8</v>
      </c>
      <c r="R9" s="46">
        <f>IF($AG9="","",IFERROR(VALUE(INDEX(Kobo_Import!$A$2:$CZ$301,$AG9,Field_Map!$B$26)&amp;""),0))</f>
        <v>4</v>
      </c>
      <c r="S9" s="46">
        <f>IF($AG9="","",IFERROR(VALUE(INDEX(Kobo_Import!$A$2:$CZ$301,$AG9,Field_Map!$B$27)&amp;""),0))</f>
        <v>3</v>
      </c>
      <c r="T9" s="46">
        <f>IF($AG9="","",IFERROR(VALUE(INDEX(Kobo_Import!$A$2:$CZ$301,$AG9,Field_Map!$B$28)&amp;""),0))</f>
        <v>0</v>
      </c>
      <c r="U9" s="46" t="str">
        <f>IF($AG9="","",IF(IFERROR(INDEX(Kobo_Import!$A$2:$CZ$301,$AG9,Field_Map!$B$29)&amp;"","")="","",IFERROR(INDEX(Lists!$N$5:$N$19,MATCH(INDEX(Kobo_Import!$A$2:$CZ$301,$AG9,Field_Map!$B$29)&amp;"",Lists!$M$5:$M$19,0)),INDEX(Kobo_Import!$A$2:$CZ$301,$AG9,Field_Map!$B$29)&amp;"")))</f>
        <v>No</v>
      </c>
      <c r="V9" s="50">
        <f>IF($A9="","",Settings!$B$5-F9)</f>
        <v>8</v>
      </c>
      <c r="W9" s="46">
        <f>IF($A9="","",(J9&gt;0)*Settings!$B$22+(P9&gt;0)*Settings!$B$23+(M9&gt;0)*Settings!$B$24+(O9&gt;0)*Settings!$B$25+(I9="Yes")*Settings!$B$26+(D9="Unusable")*Settings!$B$27+(D9="Damaged")*Settings!$B$28+(H9&gt;=Settings!$B$30)*Settings!$B$29)</f>
        <v>3</v>
      </c>
      <c r="X9" s="46" t="str">
        <f>IF($A9="","",IF(W9&gt;=Settings!$B$31,"High",IF(W9&gt;=Settings!$B$32,"Medium","Low")))</f>
        <v>Medium</v>
      </c>
      <c r="Y9" s="46" t="str">
        <f>IF($A9="","",IF(V9&gt;Settings!$B$21,"Yes",""))</f>
        <v/>
      </c>
      <c r="Z9" s="46">
        <f>IF($A9="","",COUNTIFS(Referrals!$B$5:$B$52,$A9,Referrals!$G$5:$G$52,"Referred")+COUNTIFS(Referrals!$B$5:$B$52,$A9,Referrals!$G$5:$G$52,"Acknowledged"))</f>
        <v>0</v>
      </c>
      <c r="AA9" s="46">
        <f>IF($A9="","",COUNTIFS(Referrals!$B$5:$B$52,$A9,Referrals!$K$5:$K$52,"Overdue"))</f>
        <v>0</v>
      </c>
      <c r="AB9" s="46" t="str">
        <f>IF($A9="","",IF(AND(J9&gt;0,U9="Yes"),IF(COUNTIFS(Referrals!$B$5:$B$52,$A9,Referrals!$D$5:$D$52,"Nutrition / IYCF")=0,"Referral needed","Referred"),""))</f>
        <v/>
      </c>
      <c r="AC9" s="46" t="str">
        <f>IF($A9="","",IF(N(Needs_Gaps!O9)&gt;0,"Yes",""))</f>
        <v/>
      </c>
      <c r="AD9" s="46" t="str">
        <f>IF($A9="","",IF(COUNTIFS(Maintenance_Log!$C$5:$C$40,$A9,Maintenance_Log!$H$5:$H$40,"&lt;&gt;Resolved")&gt;0,"Yes",""))</f>
        <v/>
      </c>
      <c r="AE9" s="46">
        <f t="shared" si="0"/>
        <v>0</v>
      </c>
      <c r="AF9" s="46">
        <f t="shared" si="1"/>
        <v>0</v>
      </c>
      <c r="AG9" s="46">
        <f>IFERROR(MATCH(ROW()-4,Import_Index!$H$5:$H$304,0),"")</f>
        <v>124</v>
      </c>
    </row>
    <row r="10" spans="1:33" x14ac:dyDescent="0.3">
      <c r="A10" s="46" t="str">
        <f>IF($AG10="","",IFERROR(INDEX(Kobo_Import!$A$2:$CZ$301,$AG10,Field_Map!$B$13)&amp;"",""))</f>
        <v>HH-006</v>
      </c>
      <c r="B10" s="46" t="str">
        <f>IF($AG10="","",IF(IFERROR(INDEX(Kobo_Import!$A$2:$CZ$301,$AG10,Field_Map!$B$9)&amp;"","")="","",IFERROR(INDEX(Lists!$N$5:$N$19,MATCH(INDEX(Kobo_Import!$A$2:$CZ$301,$AG10,Field_Map!$B$9)&amp;"",Lists!$M$5:$M$19,0)),INDEX(Kobo_Import!$A$2:$CZ$301,$AG10,Field_Map!$B$9)&amp;"")))</f>
        <v>Site A – School Shelter</v>
      </c>
      <c r="C10" s="46" t="str">
        <f>IF($AG10="","",IF(IFERROR(INDEX(Kobo_Import!$A$2:$CZ$301,$AG10,Field_Map!$B$14)&amp;"","")="","",IFERROR(INDEX(Lists!$N$5:$N$19,MATCH(INDEX(Kobo_Import!$A$2:$CZ$301,$AG10,Field_Map!$B$14)&amp;"",Lists!$M$5:$M$19,0)),INDEX(Kobo_Import!$A$2:$CZ$301,$AG10,Field_Map!$B$14)&amp;"")))</f>
        <v>Classroom</v>
      </c>
      <c r="D10" s="46" t="str">
        <f>IF($AG10="","",IF(IFERROR(INDEX(Kobo_Import!$A$2:$CZ$301,$AG10,Field_Map!$B$15)&amp;"","")="","",IFERROR(INDEX(Lists!$N$5:$N$19,MATCH(INDEX(Kobo_Import!$A$2:$CZ$301,$AG10,Field_Map!$B$15)&amp;"",Lists!$M$5:$M$19,0)),INDEX(Kobo_Import!$A$2:$CZ$301,$AG10,Field_Map!$B$15)&amp;"")))</f>
        <v>Adequate</v>
      </c>
      <c r="E10" s="49">
        <f>IF($A10="","",IFERROR(INDEX(Import_Index!$D$5:$D$304,MATCH($A10&amp;"|registration",Import_Index!$I$5:$I$304,0)),F10))</f>
        <v>46046</v>
      </c>
      <c r="F10" s="49">
        <f>IF($AG10="","",INDEX(Import_Index!$D$5:$D$304,$AG10))</f>
        <v>46046</v>
      </c>
      <c r="G10" s="46">
        <f>IF($A10="","",COUNTIFS(Import_Index!$B$5:$B$304,$A10,Import_Index!$C$5:$C$304,"yes"))</f>
        <v>1</v>
      </c>
      <c r="H10" s="46">
        <f>IF($AG10="","",IFERROR(VALUE(INDEX(Kobo_Import!$A$2:$CZ$301,$AG10,Field_Map!$B$16)&amp;""),0))</f>
        <v>11</v>
      </c>
      <c r="I10" s="46" t="str">
        <f>IF($AG10="","",IF(IFERROR(INDEX(Kobo_Import!$A$2:$CZ$301,$AG10,Field_Map!$B$17)&amp;"","")="","",IFERROR(INDEX(Lists!$N$5:$N$19,MATCH(INDEX(Kobo_Import!$A$2:$CZ$301,$AG10,Field_Map!$B$17)&amp;"",Lists!$M$5:$M$19,0)),INDEX(Kobo_Import!$A$2:$CZ$301,$AG10,Field_Map!$B$17)&amp;"")))</f>
        <v>No</v>
      </c>
      <c r="J10" s="46">
        <f>IF($AG10="","",IFERROR(VALUE(INDEX(Kobo_Import!$A$2:$CZ$301,$AG10,Field_Map!$B$18)&amp;""),0))</f>
        <v>1</v>
      </c>
      <c r="K10" s="46">
        <f>IF($AG10="","",IFERROR(VALUE(INDEX(Kobo_Import!$A$2:$CZ$301,$AG10,Field_Map!$B$19)&amp;""),0))</f>
        <v>8</v>
      </c>
      <c r="L10" s="46">
        <f>IF($AG10="","",IFERROR(VALUE(INDEX(Kobo_Import!$A$2:$CZ$301,$AG10,Field_Map!$B$20)&amp;""),0))</f>
        <v>2</v>
      </c>
      <c r="M10" s="46">
        <f>IF($AG10="","",IFERROR(VALUE(INDEX(Kobo_Import!$A$2:$CZ$301,$AG10,Field_Map!$B$21)&amp;""),0))</f>
        <v>0</v>
      </c>
      <c r="N10" s="46">
        <f>IF($AG10="","",IFERROR(VALUE(INDEX(Kobo_Import!$A$2:$CZ$301,$AG10,Field_Map!$B$22)&amp;""),0))</f>
        <v>2</v>
      </c>
      <c r="O10" s="46">
        <f>IF($AG10="","",IFERROR(VALUE(INDEX(Kobo_Import!$A$2:$CZ$301,$AG10,Field_Map!$B$23)&amp;""),0))</f>
        <v>1</v>
      </c>
      <c r="P10" s="46">
        <f>IF($AG10="","",IFERROR(VALUE(INDEX(Kobo_Import!$A$2:$CZ$301,$AG10,Field_Map!$B$24)&amp;""),0))</f>
        <v>2</v>
      </c>
      <c r="Q10" s="46">
        <f>IF($AG10="","",IFERROR(VALUE(INDEX(Kobo_Import!$A$2:$CZ$301,$AG10,Field_Map!$B$25)&amp;""),0))</f>
        <v>11</v>
      </c>
      <c r="R10" s="46">
        <f>IF($AG10="","",IFERROR(VALUE(INDEX(Kobo_Import!$A$2:$CZ$301,$AG10,Field_Map!$B$26)&amp;""),0))</f>
        <v>4</v>
      </c>
      <c r="S10" s="46">
        <f>IF($AG10="","",IFERROR(VALUE(INDEX(Kobo_Import!$A$2:$CZ$301,$AG10,Field_Map!$B$27)&amp;""),0))</f>
        <v>6</v>
      </c>
      <c r="T10" s="46">
        <f>IF($AG10="","",IFERROR(VALUE(INDEX(Kobo_Import!$A$2:$CZ$301,$AG10,Field_Map!$B$28)&amp;""),0))</f>
        <v>2</v>
      </c>
      <c r="U10" s="46" t="str">
        <f>IF($AG10="","",IF(IFERROR(INDEX(Kobo_Import!$A$2:$CZ$301,$AG10,Field_Map!$B$29)&amp;"","")="","",IFERROR(INDEX(Lists!$N$5:$N$19,MATCH(INDEX(Kobo_Import!$A$2:$CZ$301,$AG10,Field_Map!$B$29)&amp;"",Lists!$M$5:$M$19,0)),INDEX(Kobo_Import!$A$2:$CZ$301,$AG10,Field_Map!$B$29)&amp;"")))</f>
        <v>No</v>
      </c>
      <c r="V10" s="50">
        <f>IF($A10="","",Settings!$B$5-F10)</f>
        <v>7</v>
      </c>
      <c r="W10" s="46">
        <f>IF($A10="","",(J10&gt;0)*Settings!$B$22+(P10&gt;0)*Settings!$B$23+(M10&gt;0)*Settings!$B$24+(O10&gt;0)*Settings!$B$25+(I10="Yes")*Settings!$B$26+(D10="Unusable")*Settings!$B$27+(D10="Damaged")*Settings!$B$28+(H10&gt;=Settings!$B$30)*Settings!$B$29)</f>
        <v>6</v>
      </c>
      <c r="X10" s="46" t="str">
        <f>IF($A10="","",IF(W10&gt;=Settings!$B$31,"High",IF(W10&gt;=Settings!$B$32,"Medium","Low")))</f>
        <v>High</v>
      </c>
      <c r="Y10" s="46" t="str">
        <f>IF($A10="","",IF(V10&gt;Settings!$B$21,"Yes",""))</f>
        <v/>
      </c>
      <c r="Z10" s="46">
        <f>IF($A10="","",COUNTIFS(Referrals!$B$5:$B$52,$A10,Referrals!$G$5:$G$52,"Referred")+COUNTIFS(Referrals!$B$5:$B$52,$A10,Referrals!$G$5:$G$52,"Acknowledged"))</f>
        <v>0</v>
      </c>
      <c r="AA10" s="46">
        <f>IF($A10="","",COUNTIFS(Referrals!$B$5:$B$52,$A10,Referrals!$K$5:$K$52,"Overdue"))</f>
        <v>0</v>
      </c>
      <c r="AB10" s="46" t="str">
        <f>IF($A10="","",IF(AND(J10&gt;0,U10="Yes"),IF(COUNTIFS(Referrals!$B$5:$B$52,$A10,Referrals!$D$5:$D$52,"Nutrition / IYCF")=0,"Referral needed","Referred"),""))</f>
        <v/>
      </c>
      <c r="AC10" s="46" t="str">
        <f>IF($A10="","",IF(N(Needs_Gaps!O10)&gt;0,"Yes",""))</f>
        <v/>
      </c>
      <c r="AD10" s="46" t="str">
        <f>IF($A10="","",IF(COUNTIFS(Maintenance_Log!$C$5:$C$40,$A10,Maintenance_Log!$H$5:$H$40,"&lt;&gt;Resolved")&gt;0,"Yes",""))</f>
        <v/>
      </c>
      <c r="AE10" s="46">
        <f t="shared" si="0"/>
        <v>0</v>
      </c>
      <c r="AF10" s="46">
        <f t="shared" si="1"/>
        <v>0</v>
      </c>
      <c r="AG10" s="46">
        <f>IFERROR(MATCH(ROW()-4,Import_Index!$H$5:$H$304,0),"")</f>
        <v>127</v>
      </c>
    </row>
    <row r="11" spans="1:33" x14ac:dyDescent="0.3">
      <c r="A11" s="46" t="str">
        <f>IF($AG11="","",IFERROR(INDEX(Kobo_Import!$A$2:$CZ$301,$AG11,Field_Map!$B$13)&amp;"",""))</f>
        <v>HH-007</v>
      </c>
      <c r="B11" s="46" t="str">
        <f>IF($AG11="","",IF(IFERROR(INDEX(Kobo_Import!$A$2:$CZ$301,$AG11,Field_Map!$B$9)&amp;"","")="","",IFERROR(INDEX(Lists!$N$5:$N$19,MATCH(INDEX(Kobo_Import!$A$2:$CZ$301,$AG11,Field_Map!$B$9)&amp;"",Lists!$M$5:$M$19,0)),INDEX(Kobo_Import!$A$2:$CZ$301,$AG11,Field_Map!$B$9)&amp;"")))</f>
        <v>Site A – School Shelter</v>
      </c>
      <c r="C11" s="46" t="str">
        <f>IF($AG11="","",IF(IFERROR(INDEX(Kobo_Import!$A$2:$CZ$301,$AG11,Field_Map!$B$14)&amp;"","")="","",IFERROR(INDEX(Lists!$N$5:$N$19,MATCH(INDEX(Kobo_Import!$A$2:$CZ$301,$AG11,Field_Map!$B$14)&amp;"",Lists!$M$5:$M$19,0)),INDEX(Kobo_Import!$A$2:$CZ$301,$AG11,Field_Map!$B$14)&amp;"")))</f>
        <v>Classroom</v>
      </c>
      <c r="D11" s="46" t="str">
        <f>IF($AG11="","",IF(IFERROR(INDEX(Kobo_Import!$A$2:$CZ$301,$AG11,Field_Map!$B$15)&amp;"","")="","",IFERROR(INDEX(Lists!$N$5:$N$19,MATCH(INDEX(Kobo_Import!$A$2:$CZ$301,$AG11,Field_Map!$B$15)&amp;"",Lists!$M$5:$M$19,0)),INDEX(Kobo_Import!$A$2:$CZ$301,$AG11,Field_Map!$B$15)&amp;"")))</f>
        <v>Adequate</v>
      </c>
      <c r="E11" s="49">
        <f>IF($A11="","",IFERROR(INDEX(Import_Index!$D$5:$D$304,MATCH($A11&amp;"|registration",Import_Index!$I$5:$I$304,0)),F11))</f>
        <v>46051</v>
      </c>
      <c r="F11" s="49">
        <f>IF($AG11="","",INDEX(Import_Index!$D$5:$D$304,$AG11))</f>
        <v>46051</v>
      </c>
      <c r="G11" s="46">
        <f>IF($A11="","",COUNTIFS(Import_Index!$B$5:$B$304,$A11,Import_Index!$C$5:$C$304,"yes"))</f>
        <v>1</v>
      </c>
      <c r="H11" s="46">
        <f>IF($AG11="","",IFERROR(VALUE(INDEX(Kobo_Import!$A$2:$CZ$301,$AG11,Field_Map!$B$16)&amp;""),0))</f>
        <v>7</v>
      </c>
      <c r="I11" s="46" t="str">
        <f>IF($AG11="","",IF(IFERROR(INDEX(Kobo_Import!$A$2:$CZ$301,$AG11,Field_Map!$B$17)&amp;"","")="","",IFERROR(INDEX(Lists!$N$5:$N$19,MATCH(INDEX(Kobo_Import!$A$2:$CZ$301,$AG11,Field_Map!$B$17)&amp;"",Lists!$M$5:$M$19,0)),INDEX(Kobo_Import!$A$2:$CZ$301,$AG11,Field_Map!$B$17)&amp;"")))</f>
        <v>No</v>
      </c>
      <c r="J11" s="46">
        <f>IF($AG11="","",IFERROR(VALUE(INDEX(Kobo_Import!$A$2:$CZ$301,$AG11,Field_Map!$B$18)&amp;""),0))</f>
        <v>1</v>
      </c>
      <c r="K11" s="46">
        <f>IF($AG11="","",IFERROR(VALUE(INDEX(Kobo_Import!$A$2:$CZ$301,$AG11,Field_Map!$B$19)&amp;""),0))</f>
        <v>4</v>
      </c>
      <c r="L11" s="46">
        <f>IF($AG11="","",IFERROR(VALUE(INDEX(Kobo_Import!$A$2:$CZ$301,$AG11,Field_Map!$B$20)&amp;""),0))</f>
        <v>2</v>
      </c>
      <c r="M11" s="46">
        <f>IF($AG11="","",IFERROR(VALUE(INDEX(Kobo_Import!$A$2:$CZ$301,$AG11,Field_Map!$B$21)&amp;""),0))</f>
        <v>0</v>
      </c>
      <c r="N11" s="46">
        <f>IF($AG11="","",IFERROR(VALUE(INDEX(Kobo_Import!$A$2:$CZ$301,$AG11,Field_Map!$B$22)&amp;""),0))</f>
        <v>1</v>
      </c>
      <c r="O11" s="46">
        <f>IF($AG11="","",IFERROR(VALUE(INDEX(Kobo_Import!$A$2:$CZ$301,$AG11,Field_Map!$B$23)&amp;""),0))</f>
        <v>1</v>
      </c>
      <c r="P11" s="46">
        <f>IF($AG11="","",IFERROR(VALUE(INDEX(Kobo_Import!$A$2:$CZ$301,$AG11,Field_Map!$B$24)&amp;""),0))</f>
        <v>0</v>
      </c>
      <c r="Q11" s="46">
        <f>IF($AG11="","",IFERROR(VALUE(INDEX(Kobo_Import!$A$2:$CZ$301,$AG11,Field_Map!$B$25)&amp;""),0))</f>
        <v>8</v>
      </c>
      <c r="R11" s="46">
        <f>IF($AG11="","",IFERROR(VALUE(INDEX(Kobo_Import!$A$2:$CZ$301,$AG11,Field_Map!$B$26)&amp;""),0))</f>
        <v>6</v>
      </c>
      <c r="S11" s="46">
        <f>IF($AG11="","",IFERROR(VALUE(INDEX(Kobo_Import!$A$2:$CZ$301,$AG11,Field_Map!$B$27)&amp;""),0))</f>
        <v>5</v>
      </c>
      <c r="T11" s="46">
        <f>IF($AG11="","",IFERROR(VALUE(INDEX(Kobo_Import!$A$2:$CZ$301,$AG11,Field_Map!$B$28)&amp;""),0))</f>
        <v>1</v>
      </c>
      <c r="U11" s="46" t="str">
        <f>IF($AG11="","",IF(IFERROR(INDEX(Kobo_Import!$A$2:$CZ$301,$AG11,Field_Map!$B$29)&amp;"","")="","",IFERROR(INDEX(Lists!$N$5:$N$19,MATCH(INDEX(Kobo_Import!$A$2:$CZ$301,$AG11,Field_Map!$B$29)&amp;"",Lists!$M$5:$M$19,0)),INDEX(Kobo_Import!$A$2:$CZ$301,$AG11,Field_Map!$B$29)&amp;"")))</f>
        <v>Yes</v>
      </c>
      <c r="V11" s="50">
        <f>IF($A11="","",Settings!$B$5-F11)</f>
        <v>2</v>
      </c>
      <c r="W11" s="46">
        <f>IF($A11="","",(J11&gt;0)*Settings!$B$22+(P11&gt;0)*Settings!$B$23+(M11&gt;0)*Settings!$B$24+(O11&gt;0)*Settings!$B$25+(I11="Yes")*Settings!$B$26+(D11="Unusable")*Settings!$B$27+(D11="Damaged")*Settings!$B$28+(H11&gt;=Settings!$B$30)*Settings!$B$29)</f>
        <v>3</v>
      </c>
      <c r="X11" s="46" t="str">
        <f>IF($A11="","",IF(W11&gt;=Settings!$B$31,"High",IF(W11&gt;=Settings!$B$32,"Medium","Low")))</f>
        <v>Medium</v>
      </c>
      <c r="Y11" s="46" t="str">
        <f>IF($A11="","",IF(V11&gt;Settings!$B$21,"Yes",""))</f>
        <v/>
      </c>
      <c r="Z11" s="46">
        <f>IF($A11="","",COUNTIFS(Referrals!$B$5:$B$52,$A11,Referrals!$G$5:$G$52,"Referred")+COUNTIFS(Referrals!$B$5:$B$52,$A11,Referrals!$G$5:$G$52,"Acknowledged"))</f>
        <v>0</v>
      </c>
      <c r="AA11" s="46">
        <f>IF($A11="","",COUNTIFS(Referrals!$B$5:$B$52,$A11,Referrals!$K$5:$K$52,"Overdue"))</f>
        <v>0</v>
      </c>
      <c r="AB11" s="46" t="str">
        <f>IF($A11="","",IF(AND(J11&gt;0,U11="Yes"),IF(COUNTIFS(Referrals!$B$5:$B$52,$A11,Referrals!$D$5:$D$52,"Nutrition / IYCF")=0,"Referral needed","Referred"),""))</f>
        <v>Referral needed</v>
      </c>
      <c r="AC11" s="46" t="str">
        <f>IF($A11="","",IF(N(Needs_Gaps!O11)&gt;0,"Yes",""))</f>
        <v/>
      </c>
      <c r="AD11" s="46" t="str">
        <f>IF($A11="","",IF(COUNTIFS(Maintenance_Log!$C$5:$C$40,$A11,Maintenance_Log!$H$5:$H$40,"&lt;&gt;Resolved")&gt;0,"Yes",""))</f>
        <v/>
      </c>
      <c r="AE11" s="46">
        <f t="shared" si="0"/>
        <v>1</v>
      </c>
      <c r="AF11" s="46">
        <f t="shared" si="1"/>
        <v>103993</v>
      </c>
      <c r="AG11" s="46">
        <f>IFERROR(MATCH(ROW()-4,Import_Index!$H$5:$H$304,0),"")</f>
        <v>147</v>
      </c>
    </row>
    <row r="12" spans="1:33" x14ac:dyDescent="0.3">
      <c r="A12" s="46" t="str">
        <f>IF($AG12="","",IFERROR(INDEX(Kobo_Import!$A$2:$CZ$301,$AG12,Field_Map!$B$13)&amp;"",""))</f>
        <v>HH-008</v>
      </c>
      <c r="B12" s="46" t="str">
        <f>IF($AG12="","",IF(IFERROR(INDEX(Kobo_Import!$A$2:$CZ$301,$AG12,Field_Map!$B$9)&amp;"","")="","",IFERROR(INDEX(Lists!$N$5:$N$19,MATCH(INDEX(Kobo_Import!$A$2:$CZ$301,$AG12,Field_Map!$B$9)&amp;"",Lists!$M$5:$M$19,0)),INDEX(Kobo_Import!$A$2:$CZ$301,$AG12,Field_Map!$B$9)&amp;"")))</f>
        <v>Site A – School Shelter</v>
      </c>
      <c r="C12" s="46" t="str">
        <f>IF($AG12="","",IF(IFERROR(INDEX(Kobo_Import!$A$2:$CZ$301,$AG12,Field_Map!$B$14)&amp;"","")="","",IFERROR(INDEX(Lists!$N$5:$N$19,MATCH(INDEX(Kobo_Import!$A$2:$CZ$301,$AG12,Field_Map!$B$14)&amp;"",Lists!$M$5:$M$19,0)),INDEX(Kobo_Import!$A$2:$CZ$301,$AG12,Field_Map!$B$14)&amp;"")))</f>
        <v>Classroom</v>
      </c>
      <c r="D12" s="46" t="str">
        <f>IF($AG12="","",IF(IFERROR(INDEX(Kobo_Import!$A$2:$CZ$301,$AG12,Field_Map!$B$15)&amp;"","")="","",IFERROR(INDEX(Lists!$N$5:$N$19,MATCH(INDEX(Kobo_Import!$A$2:$CZ$301,$AG12,Field_Map!$B$15)&amp;"",Lists!$M$5:$M$19,0)),INDEX(Kobo_Import!$A$2:$CZ$301,$AG12,Field_Map!$B$15)&amp;"")))</f>
        <v>Adequate</v>
      </c>
      <c r="E12" s="49">
        <f>IF($A12="","",IFERROR(INDEX(Import_Index!$D$5:$D$304,MATCH($A12&amp;"|registration",Import_Index!$I$5:$I$304,0)),F12))</f>
        <v>46007</v>
      </c>
      <c r="F12" s="49">
        <f>IF($AG12="","",INDEX(Import_Index!$D$5:$D$304,$AG12))</f>
        <v>46035</v>
      </c>
      <c r="G12" s="46">
        <f>IF($A12="","",COUNTIFS(Import_Index!$B$5:$B$304,$A12,Import_Index!$C$5:$C$304,"yes"))</f>
        <v>2</v>
      </c>
      <c r="H12" s="46">
        <f>IF($AG12="","",IFERROR(VALUE(INDEX(Kobo_Import!$A$2:$CZ$301,$AG12,Field_Map!$B$16)&amp;""),0))</f>
        <v>6</v>
      </c>
      <c r="I12" s="46" t="str">
        <f>IF($AG12="","",IF(IFERROR(INDEX(Kobo_Import!$A$2:$CZ$301,$AG12,Field_Map!$B$17)&amp;"","")="","",IFERROR(INDEX(Lists!$N$5:$N$19,MATCH(INDEX(Kobo_Import!$A$2:$CZ$301,$AG12,Field_Map!$B$17)&amp;"",Lists!$M$5:$M$19,0)),INDEX(Kobo_Import!$A$2:$CZ$301,$AG12,Field_Map!$B$17)&amp;"")))</f>
        <v>No</v>
      </c>
      <c r="J12" s="46">
        <f>IF($AG12="","",IFERROR(VALUE(INDEX(Kobo_Import!$A$2:$CZ$301,$AG12,Field_Map!$B$18)&amp;""),0))</f>
        <v>1</v>
      </c>
      <c r="K12" s="46">
        <f>IF($AG12="","",IFERROR(VALUE(INDEX(Kobo_Import!$A$2:$CZ$301,$AG12,Field_Map!$B$19)&amp;""),0))</f>
        <v>3</v>
      </c>
      <c r="L12" s="46">
        <f>IF($AG12="","",IFERROR(VALUE(INDEX(Kobo_Import!$A$2:$CZ$301,$AG12,Field_Map!$B$20)&amp;""),0))</f>
        <v>2</v>
      </c>
      <c r="M12" s="46">
        <f>IF($AG12="","",IFERROR(VALUE(INDEX(Kobo_Import!$A$2:$CZ$301,$AG12,Field_Map!$B$21)&amp;""),0))</f>
        <v>0</v>
      </c>
      <c r="N12" s="46">
        <f>IF($AG12="","",IFERROR(VALUE(INDEX(Kobo_Import!$A$2:$CZ$301,$AG12,Field_Map!$B$22)&amp;""),0))</f>
        <v>1</v>
      </c>
      <c r="O12" s="46">
        <f>IF($AG12="","",IFERROR(VALUE(INDEX(Kobo_Import!$A$2:$CZ$301,$AG12,Field_Map!$B$23)&amp;""),0))</f>
        <v>1</v>
      </c>
      <c r="P12" s="46">
        <f>IF($AG12="","",IFERROR(VALUE(INDEX(Kobo_Import!$A$2:$CZ$301,$AG12,Field_Map!$B$24)&amp;""),0))</f>
        <v>0</v>
      </c>
      <c r="Q12" s="46">
        <f>IF($AG12="","",IFERROR(VALUE(INDEX(Kobo_Import!$A$2:$CZ$301,$AG12,Field_Map!$B$25)&amp;""),0))</f>
        <v>4</v>
      </c>
      <c r="R12" s="46">
        <f>IF($AG12="","",IFERROR(VALUE(INDEX(Kobo_Import!$A$2:$CZ$301,$AG12,Field_Map!$B$26)&amp;""),0))</f>
        <v>3</v>
      </c>
      <c r="S12" s="46">
        <f>IF($AG12="","",IFERROR(VALUE(INDEX(Kobo_Import!$A$2:$CZ$301,$AG12,Field_Map!$B$27)&amp;""),0))</f>
        <v>4</v>
      </c>
      <c r="T12" s="46">
        <f>IF($AG12="","",IFERROR(VALUE(INDEX(Kobo_Import!$A$2:$CZ$301,$AG12,Field_Map!$B$28)&amp;""),0))</f>
        <v>0</v>
      </c>
      <c r="U12" s="46" t="str">
        <f>IF($AG12="","",IF(IFERROR(INDEX(Kobo_Import!$A$2:$CZ$301,$AG12,Field_Map!$B$29)&amp;"","")="","",IFERROR(INDEX(Lists!$N$5:$N$19,MATCH(INDEX(Kobo_Import!$A$2:$CZ$301,$AG12,Field_Map!$B$29)&amp;"",Lists!$M$5:$M$19,0)),INDEX(Kobo_Import!$A$2:$CZ$301,$AG12,Field_Map!$B$29)&amp;"")))</f>
        <v>Yes</v>
      </c>
      <c r="V12" s="50">
        <f>IF($A12="","",Settings!$B$5-F12)</f>
        <v>18</v>
      </c>
      <c r="W12" s="46">
        <f>IF($A12="","",(J12&gt;0)*Settings!$B$22+(P12&gt;0)*Settings!$B$23+(M12&gt;0)*Settings!$B$24+(O12&gt;0)*Settings!$B$25+(I12="Yes")*Settings!$B$26+(D12="Unusable")*Settings!$B$27+(D12="Damaged")*Settings!$B$28+(H12&gt;=Settings!$B$30)*Settings!$B$29)</f>
        <v>3</v>
      </c>
      <c r="X12" s="46" t="str">
        <f>IF($A12="","",IF(W12&gt;=Settings!$B$31,"High",IF(W12&gt;=Settings!$B$32,"Medium","Low")))</f>
        <v>Medium</v>
      </c>
      <c r="Y12" s="46" t="str">
        <f>IF($A12="","",IF(V12&gt;Settings!$B$21,"Yes",""))</f>
        <v/>
      </c>
      <c r="Z12" s="46">
        <f>IF($A12="","",COUNTIFS(Referrals!$B$5:$B$52,$A12,Referrals!$G$5:$G$52,"Referred")+COUNTIFS(Referrals!$B$5:$B$52,$A12,Referrals!$G$5:$G$52,"Acknowledged"))</f>
        <v>1</v>
      </c>
      <c r="AA12" s="46">
        <f>IF($A12="","",COUNTIFS(Referrals!$B$5:$B$52,$A12,Referrals!$K$5:$K$52,"Overdue"))</f>
        <v>1</v>
      </c>
      <c r="AB12" s="46" t="str">
        <f>IF($A12="","",IF(AND(J12&gt;0,U12="Yes"),IF(COUNTIFS(Referrals!$B$5:$B$52,$A12,Referrals!$D$5:$D$52,"Nutrition / IYCF")=0,"Referral needed","Referred"),""))</f>
        <v>Referred</v>
      </c>
      <c r="AC12" s="46" t="str">
        <f>IF($A12="","",IF(N(Needs_Gaps!O12)&gt;0,"Yes",""))</f>
        <v/>
      </c>
      <c r="AD12" s="46" t="str">
        <f>IF($A12="","",IF(COUNTIFS(Maintenance_Log!$C$5:$C$40,$A12,Maintenance_Log!$H$5:$H$40,"&lt;&gt;Resolved")&gt;0,"Yes",""))</f>
        <v/>
      </c>
      <c r="AE12" s="46">
        <f t="shared" si="0"/>
        <v>1</v>
      </c>
      <c r="AF12" s="46">
        <f t="shared" si="1"/>
        <v>103992</v>
      </c>
      <c r="AG12" s="46">
        <f>IFERROR(MATCH(ROW()-4,Import_Index!$H$5:$H$304,0),"")</f>
        <v>77</v>
      </c>
    </row>
    <row r="13" spans="1:33" x14ac:dyDescent="0.3">
      <c r="A13" s="46" t="str">
        <f>IF($AG13="","",IFERROR(INDEX(Kobo_Import!$A$2:$CZ$301,$AG13,Field_Map!$B$13)&amp;"",""))</f>
        <v>HH-009</v>
      </c>
      <c r="B13" s="46" t="str">
        <f>IF($AG13="","",IF(IFERROR(INDEX(Kobo_Import!$A$2:$CZ$301,$AG13,Field_Map!$B$9)&amp;"","")="","",IFERROR(INDEX(Lists!$N$5:$N$19,MATCH(INDEX(Kobo_Import!$A$2:$CZ$301,$AG13,Field_Map!$B$9)&amp;"",Lists!$M$5:$M$19,0)),INDEX(Kobo_Import!$A$2:$CZ$301,$AG13,Field_Map!$B$9)&amp;"")))</f>
        <v>Site A – School Shelter</v>
      </c>
      <c r="C13" s="46" t="str">
        <f>IF($AG13="","",IF(IFERROR(INDEX(Kobo_Import!$A$2:$CZ$301,$AG13,Field_Map!$B$14)&amp;"","")="","",IFERROR(INDEX(Lists!$N$5:$N$19,MATCH(INDEX(Kobo_Import!$A$2:$CZ$301,$AG13,Field_Map!$B$14)&amp;"",Lists!$M$5:$M$19,0)),INDEX(Kobo_Import!$A$2:$CZ$301,$AG13,Field_Map!$B$14)&amp;"")))</f>
        <v>Classroom</v>
      </c>
      <c r="D13" s="46" t="str">
        <f>IF($AG13="","",IF(IFERROR(INDEX(Kobo_Import!$A$2:$CZ$301,$AG13,Field_Map!$B$15)&amp;"","")="","",IFERROR(INDEX(Lists!$N$5:$N$19,MATCH(INDEX(Kobo_Import!$A$2:$CZ$301,$AG13,Field_Map!$B$15)&amp;"",Lists!$M$5:$M$19,0)),INDEX(Kobo_Import!$A$2:$CZ$301,$AG13,Field_Map!$B$15)&amp;"")))</f>
        <v>Adequate</v>
      </c>
      <c r="E13" s="49">
        <f>IF($A13="","",IFERROR(INDEX(Import_Index!$D$5:$D$304,MATCH($A13&amp;"|registration",Import_Index!$I$5:$I$304,0)),F13))</f>
        <v>46020</v>
      </c>
      <c r="F13" s="49">
        <f>IF($AG13="","",INDEX(Import_Index!$D$5:$D$304,$AG13))</f>
        <v>46048</v>
      </c>
      <c r="G13" s="46">
        <f>IF($A13="","",COUNTIFS(Import_Index!$B$5:$B$304,$A13,Import_Index!$C$5:$C$304,"yes"))</f>
        <v>2</v>
      </c>
      <c r="H13" s="46">
        <f>IF($AG13="","",IFERROR(VALUE(INDEX(Kobo_Import!$A$2:$CZ$301,$AG13,Field_Map!$B$16)&amp;""),0))</f>
        <v>9</v>
      </c>
      <c r="I13" s="46" t="str">
        <f>IF($AG13="","",IF(IFERROR(INDEX(Kobo_Import!$A$2:$CZ$301,$AG13,Field_Map!$B$17)&amp;"","")="","",IFERROR(INDEX(Lists!$N$5:$N$19,MATCH(INDEX(Kobo_Import!$A$2:$CZ$301,$AG13,Field_Map!$B$17)&amp;"",Lists!$M$5:$M$19,0)),INDEX(Kobo_Import!$A$2:$CZ$301,$AG13,Field_Map!$B$17)&amp;"")))</f>
        <v>No</v>
      </c>
      <c r="J13" s="46">
        <f>IF($AG13="","",IFERROR(VALUE(INDEX(Kobo_Import!$A$2:$CZ$301,$AG13,Field_Map!$B$18)&amp;""),0))</f>
        <v>0</v>
      </c>
      <c r="K13" s="46">
        <f>IF($AG13="","",IFERROR(VALUE(INDEX(Kobo_Import!$A$2:$CZ$301,$AG13,Field_Map!$B$19)&amp;""),0))</f>
        <v>7</v>
      </c>
      <c r="L13" s="46">
        <f>IF($AG13="","",IFERROR(VALUE(INDEX(Kobo_Import!$A$2:$CZ$301,$AG13,Field_Map!$B$20)&amp;""),0))</f>
        <v>2</v>
      </c>
      <c r="M13" s="46">
        <f>IF($AG13="","",IFERROR(VALUE(INDEX(Kobo_Import!$A$2:$CZ$301,$AG13,Field_Map!$B$21)&amp;""),0))</f>
        <v>0</v>
      </c>
      <c r="N13" s="46">
        <f>IF($AG13="","",IFERROR(VALUE(INDEX(Kobo_Import!$A$2:$CZ$301,$AG13,Field_Map!$B$22)&amp;""),0))</f>
        <v>2</v>
      </c>
      <c r="O13" s="46">
        <f>IF($AG13="","",IFERROR(VALUE(INDEX(Kobo_Import!$A$2:$CZ$301,$AG13,Field_Map!$B$23)&amp;""),0))</f>
        <v>0</v>
      </c>
      <c r="P13" s="46">
        <f>IF($AG13="","",IFERROR(VALUE(INDEX(Kobo_Import!$A$2:$CZ$301,$AG13,Field_Map!$B$24)&amp;""),0))</f>
        <v>0</v>
      </c>
      <c r="Q13" s="46">
        <f>IF($AG13="","",IFERROR(VALUE(INDEX(Kobo_Import!$A$2:$CZ$301,$AG13,Field_Map!$B$25)&amp;""),0))</f>
        <v>5</v>
      </c>
      <c r="R13" s="46">
        <f>IF($AG13="","",IFERROR(VALUE(INDEX(Kobo_Import!$A$2:$CZ$301,$AG13,Field_Map!$B$26)&amp;""),0))</f>
        <v>9</v>
      </c>
      <c r="S13" s="46">
        <f>IF($AG13="","",IFERROR(VALUE(INDEX(Kobo_Import!$A$2:$CZ$301,$AG13,Field_Map!$B$27)&amp;""),0))</f>
        <v>4</v>
      </c>
      <c r="T13" s="46">
        <f>IF($AG13="","",IFERROR(VALUE(INDEX(Kobo_Import!$A$2:$CZ$301,$AG13,Field_Map!$B$28)&amp;""),0))</f>
        <v>0</v>
      </c>
      <c r="U13" s="46" t="str">
        <f>IF($AG13="","",IF(IFERROR(INDEX(Kobo_Import!$A$2:$CZ$301,$AG13,Field_Map!$B$29)&amp;"","")="","",IFERROR(INDEX(Lists!$N$5:$N$19,MATCH(INDEX(Kobo_Import!$A$2:$CZ$301,$AG13,Field_Map!$B$29)&amp;"",Lists!$M$5:$M$19,0)),INDEX(Kobo_Import!$A$2:$CZ$301,$AG13,Field_Map!$B$29)&amp;"")))</f>
        <v/>
      </c>
      <c r="V13" s="50">
        <f>IF($A13="","",Settings!$B$5-F13)</f>
        <v>5</v>
      </c>
      <c r="W13" s="46">
        <f>IF($A13="","",(J13&gt;0)*Settings!$B$22+(P13&gt;0)*Settings!$B$23+(M13&gt;0)*Settings!$B$24+(O13&gt;0)*Settings!$B$25+(I13="Yes")*Settings!$B$26+(D13="Unusable")*Settings!$B$27+(D13="Damaged")*Settings!$B$28+(H13&gt;=Settings!$B$30)*Settings!$B$29)</f>
        <v>1</v>
      </c>
      <c r="X13" s="46" t="str">
        <f>IF($A13="","",IF(W13&gt;=Settings!$B$31,"High",IF(W13&gt;=Settings!$B$32,"Medium","Low")))</f>
        <v>Low</v>
      </c>
      <c r="Y13" s="46" t="str">
        <f>IF($A13="","",IF(V13&gt;Settings!$B$21,"Yes",""))</f>
        <v/>
      </c>
      <c r="Z13" s="46">
        <f>IF($A13="","",COUNTIFS(Referrals!$B$5:$B$52,$A13,Referrals!$G$5:$G$52,"Referred")+COUNTIFS(Referrals!$B$5:$B$52,$A13,Referrals!$G$5:$G$52,"Acknowledged"))</f>
        <v>0</v>
      </c>
      <c r="AA13" s="46">
        <f>IF($A13="","",COUNTIFS(Referrals!$B$5:$B$52,$A13,Referrals!$K$5:$K$52,"Overdue"))</f>
        <v>0</v>
      </c>
      <c r="AB13" s="46" t="str">
        <f>IF($A13="","",IF(AND(J13&gt;0,U13="Yes"),IF(COUNTIFS(Referrals!$B$5:$B$52,$A13,Referrals!$D$5:$D$52,"Nutrition / IYCF")=0,"Referral needed","Referred"),""))</f>
        <v/>
      </c>
      <c r="AC13" s="46" t="str">
        <f>IF($A13="","",IF(N(Needs_Gaps!O13)&gt;0,"Yes",""))</f>
        <v/>
      </c>
      <c r="AD13" s="46" t="str">
        <f>IF($A13="","",IF(COUNTIFS(Maintenance_Log!$C$5:$C$40,$A13,Maintenance_Log!$H$5:$H$40,"&lt;&gt;Resolved")&gt;0,"Yes",""))</f>
        <v/>
      </c>
      <c r="AE13" s="46">
        <f t="shared" si="0"/>
        <v>0</v>
      </c>
      <c r="AF13" s="46">
        <f t="shared" si="1"/>
        <v>0</v>
      </c>
      <c r="AG13" s="46">
        <f>IFERROR(MATCH(ROW()-4,Import_Index!$H$5:$H$304,0),"")</f>
        <v>137</v>
      </c>
    </row>
    <row r="14" spans="1:33" x14ac:dyDescent="0.3">
      <c r="A14" s="46" t="str">
        <f>IF($AG14="","",IFERROR(INDEX(Kobo_Import!$A$2:$CZ$301,$AG14,Field_Map!$B$13)&amp;"",""))</f>
        <v>HH-010</v>
      </c>
      <c r="B14" s="46" t="str">
        <f>IF($AG14="","",IF(IFERROR(INDEX(Kobo_Import!$A$2:$CZ$301,$AG14,Field_Map!$B$9)&amp;"","")="","",IFERROR(INDEX(Lists!$N$5:$N$19,MATCH(INDEX(Kobo_Import!$A$2:$CZ$301,$AG14,Field_Map!$B$9)&amp;"",Lists!$M$5:$M$19,0)),INDEX(Kobo_Import!$A$2:$CZ$301,$AG14,Field_Map!$B$9)&amp;"")))</f>
        <v>Site A – School Shelter</v>
      </c>
      <c r="C14" s="46" t="str">
        <f>IF($AG14="","",IF(IFERROR(INDEX(Kobo_Import!$A$2:$CZ$301,$AG14,Field_Map!$B$14)&amp;"","")="","",IFERROR(INDEX(Lists!$N$5:$N$19,MATCH(INDEX(Kobo_Import!$A$2:$CZ$301,$AG14,Field_Map!$B$14)&amp;"",Lists!$M$5:$M$19,0)),INDEX(Kobo_Import!$A$2:$CZ$301,$AG14,Field_Map!$B$14)&amp;"")))</f>
        <v>Classroom</v>
      </c>
      <c r="D14" s="46" t="str">
        <f>IF($AG14="","",IF(IFERROR(INDEX(Kobo_Import!$A$2:$CZ$301,$AG14,Field_Map!$B$15)&amp;"","")="","",IFERROR(INDEX(Lists!$N$5:$N$19,MATCH(INDEX(Kobo_Import!$A$2:$CZ$301,$AG14,Field_Map!$B$15)&amp;"",Lists!$M$5:$M$19,0)),INDEX(Kobo_Import!$A$2:$CZ$301,$AG14,Field_Map!$B$15)&amp;"")))</f>
        <v>Adequate</v>
      </c>
      <c r="E14" s="49">
        <f>IF($A14="","",IFERROR(INDEX(Import_Index!$D$5:$D$304,MATCH($A14&amp;"|registration",Import_Index!$I$5:$I$304,0)),F14))</f>
        <v>46037</v>
      </c>
      <c r="F14" s="49">
        <f>IF($AG14="","",INDEX(Import_Index!$D$5:$D$304,$AG14))</f>
        <v>46037</v>
      </c>
      <c r="G14" s="46">
        <f>IF($A14="","",COUNTIFS(Import_Index!$B$5:$B$304,$A14,Import_Index!$C$5:$C$304,"yes"))</f>
        <v>1</v>
      </c>
      <c r="H14" s="46">
        <f>IF($AG14="","",IFERROR(VALUE(INDEX(Kobo_Import!$A$2:$CZ$301,$AG14,Field_Map!$B$16)&amp;""),0))</f>
        <v>10</v>
      </c>
      <c r="I14" s="46" t="str">
        <f>IF($AG14="","",IF(IFERROR(INDEX(Kobo_Import!$A$2:$CZ$301,$AG14,Field_Map!$B$17)&amp;"","")="","",IFERROR(INDEX(Lists!$N$5:$N$19,MATCH(INDEX(Kobo_Import!$A$2:$CZ$301,$AG14,Field_Map!$B$17)&amp;"",Lists!$M$5:$M$19,0)),INDEX(Kobo_Import!$A$2:$CZ$301,$AG14,Field_Map!$B$17)&amp;"")))</f>
        <v>No</v>
      </c>
      <c r="J14" s="46">
        <f>IF($AG14="","",IFERROR(VALUE(INDEX(Kobo_Import!$A$2:$CZ$301,$AG14,Field_Map!$B$18)&amp;""),0))</f>
        <v>1</v>
      </c>
      <c r="K14" s="46">
        <f>IF($AG14="","",IFERROR(VALUE(INDEX(Kobo_Import!$A$2:$CZ$301,$AG14,Field_Map!$B$19)&amp;""),0))</f>
        <v>7</v>
      </c>
      <c r="L14" s="46">
        <f>IF($AG14="","",IFERROR(VALUE(INDEX(Kobo_Import!$A$2:$CZ$301,$AG14,Field_Map!$B$20)&amp;""),0))</f>
        <v>2</v>
      </c>
      <c r="M14" s="46">
        <f>IF($AG14="","",IFERROR(VALUE(INDEX(Kobo_Import!$A$2:$CZ$301,$AG14,Field_Map!$B$21)&amp;""),0))</f>
        <v>0</v>
      </c>
      <c r="N14" s="46">
        <f>IF($AG14="","",IFERROR(VALUE(INDEX(Kobo_Import!$A$2:$CZ$301,$AG14,Field_Map!$B$22)&amp;""),0))</f>
        <v>2</v>
      </c>
      <c r="O14" s="46">
        <f>IF($AG14="","",IFERROR(VALUE(INDEX(Kobo_Import!$A$2:$CZ$301,$AG14,Field_Map!$B$23)&amp;""),0))</f>
        <v>1</v>
      </c>
      <c r="P14" s="46">
        <f>IF($AG14="","",IFERROR(VALUE(INDEX(Kobo_Import!$A$2:$CZ$301,$AG14,Field_Map!$B$24)&amp;""),0))</f>
        <v>0</v>
      </c>
      <c r="Q14" s="46">
        <f>IF($AG14="","",IFERROR(VALUE(INDEX(Kobo_Import!$A$2:$CZ$301,$AG14,Field_Map!$B$25)&amp;""),0))</f>
        <v>2</v>
      </c>
      <c r="R14" s="46">
        <f>IF($AG14="","",IFERROR(VALUE(INDEX(Kobo_Import!$A$2:$CZ$301,$AG14,Field_Map!$B$26)&amp;""),0))</f>
        <v>7</v>
      </c>
      <c r="S14" s="46">
        <f>IF($AG14="","",IFERROR(VALUE(INDEX(Kobo_Import!$A$2:$CZ$301,$AG14,Field_Map!$B$27)&amp;""),0))</f>
        <v>4</v>
      </c>
      <c r="T14" s="46">
        <f>IF($AG14="","",IFERROR(VALUE(INDEX(Kobo_Import!$A$2:$CZ$301,$AG14,Field_Map!$B$28)&amp;""),0))</f>
        <v>1</v>
      </c>
      <c r="U14" s="46" t="str">
        <f>IF($AG14="","",IF(IFERROR(INDEX(Kobo_Import!$A$2:$CZ$301,$AG14,Field_Map!$B$29)&amp;"","")="","",IFERROR(INDEX(Lists!$N$5:$N$19,MATCH(INDEX(Kobo_Import!$A$2:$CZ$301,$AG14,Field_Map!$B$29)&amp;"",Lists!$M$5:$M$19,0)),INDEX(Kobo_Import!$A$2:$CZ$301,$AG14,Field_Map!$B$29)&amp;"")))</f>
        <v>No</v>
      </c>
      <c r="V14" s="50">
        <f>IF($A14="","",Settings!$B$5-F14)</f>
        <v>16</v>
      </c>
      <c r="W14" s="46">
        <f>IF($A14="","",(J14&gt;0)*Settings!$B$22+(P14&gt;0)*Settings!$B$23+(M14&gt;0)*Settings!$B$24+(O14&gt;0)*Settings!$B$25+(I14="Yes")*Settings!$B$26+(D14="Unusable")*Settings!$B$27+(D14="Damaged")*Settings!$B$28+(H14&gt;=Settings!$B$30)*Settings!$B$29)</f>
        <v>4</v>
      </c>
      <c r="X14" s="46" t="str">
        <f>IF($A14="","",IF(W14&gt;=Settings!$B$31,"High",IF(W14&gt;=Settings!$B$32,"Medium","Low")))</f>
        <v>Medium</v>
      </c>
      <c r="Y14" s="46" t="str">
        <f>IF($A14="","",IF(V14&gt;Settings!$B$21,"Yes",""))</f>
        <v/>
      </c>
      <c r="Z14" s="46">
        <f>IF($A14="","",COUNTIFS(Referrals!$B$5:$B$52,$A14,Referrals!$G$5:$G$52,"Referred")+COUNTIFS(Referrals!$B$5:$B$52,$A14,Referrals!$G$5:$G$52,"Acknowledged"))</f>
        <v>0</v>
      </c>
      <c r="AA14" s="46">
        <f>IF($A14="","",COUNTIFS(Referrals!$B$5:$B$52,$A14,Referrals!$K$5:$K$52,"Overdue"))</f>
        <v>0</v>
      </c>
      <c r="AB14" s="46" t="str">
        <f>IF($A14="","",IF(AND(J14&gt;0,U14="Yes"),IF(COUNTIFS(Referrals!$B$5:$B$52,$A14,Referrals!$D$5:$D$52,"Nutrition / IYCF")=0,"Referral needed","Referred"),""))</f>
        <v/>
      </c>
      <c r="AC14" s="46" t="str">
        <f>IF($A14="","",IF(N(Needs_Gaps!O14)&gt;0,"Yes",""))</f>
        <v/>
      </c>
      <c r="AD14" s="46" t="str">
        <f>IF($A14="","",IF(COUNTIFS(Maintenance_Log!$C$5:$C$40,$A14,Maintenance_Log!$H$5:$H$40,"&lt;&gt;Resolved")&gt;0,"Yes",""))</f>
        <v/>
      </c>
      <c r="AE14" s="46">
        <f t="shared" si="0"/>
        <v>0</v>
      </c>
      <c r="AF14" s="46">
        <f t="shared" si="1"/>
        <v>0</v>
      </c>
      <c r="AG14" s="46">
        <f>IFERROR(MATCH(ROW()-4,Import_Index!$H$5:$H$304,0),"")</f>
        <v>85</v>
      </c>
    </row>
    <row r="15" spans="1:33" x14ac:dyDescent="0.3">
      <c r="A15" s="46" t="str">
        <f>IF($AG15="","",IFERROR(INDEX(Kobo_Import!$A$2:$CZ$301,$AG15,Field_Map!$B$13)&amp;"",""))</f>
        <v>HH-011</v>
      </c>
      <c r="B15" s="46" t="str">
        <f>IF($AG15="","",IF(IFERROR(INDEX(Kobo_Import!$A$2:$CZ$301,$AG15,Field_Map!$B$9)&amp;"","")="","",IFERROR(INDEX(Lists!$N$5:$N$19,MATCH(INDEX(Kobo_Import!$A$2:$CZ$301,$AG15,Field_Map!$B$9)&amp;"",Lists!$M$5:$M$19,0)),INDEX(Kobo_Import!$A$2:$CZ$301,$AG15,Field_Map!$B$9)&amp;"")))</f>
        <v>Site A – School Shelter</v>
      </c>
      <c r="C15" s="46" t="str">
        <f>IF($AG15="","",IF(IFERROR(INDEX(Kobo_Import!$A$2:$CZ$301,$AG15,Field_Map!$B$14)&amp;"","")="","",IFERROR(INDEX(Lists!$N$5:$N$19,MATCH(INDEX(Kobo_Import!$A$2:$CZ$301,$AG15,Field_Map!$B$14)&amp;"",Lists!$M$5:$M$19,0)),INDEX(Kobo_Import!$A$2:$CZ$301,$AG15,Field_Map!$B$14)&amp;"")))</f>
        <v>Classroom</v>
      </c>
      <c r="D15" s="46" t="str">
        <f>IF($AG15="","",IF(IFERROR(INDEX(Kobo_Import!$A$2:$CZ$301,$AG15,Field_Map!$B$15)&amp;"","")="","",IFERROR(INDEX(Lists!$N$5:$N$19,MATCH(INDEX(Kobo_Import!$A$2:$CZ$301,$AG15,Field_Map!$B$15)&amp;"",Lists!$M$5:$M$19,0)),INDEX(Kobo_Import!$A$2:$CZ$301,$AG15,Field_Map!$B$15)&amp;"")))</f>
        <v>Adequate</v>
      </c>
      <c r="E15" s="49">
        <f>IF($A15="","",IFERROR(INDEX(Import_Index!$D$5:$D$304,MATCH($A15&amp;"|registration",Import_Index!$I$5:$I$304,0)),F15))</f>
        <v>46010</v>
      </c>
      <c r="F15" s="49">
        <f>IF($AG15="","",INDEX(Import_Index!$D$5:$D$304,$AG15))</f>
        <v>46040</v>
      </c>
      <c r="G15" s="46">
        <f>IF($A15="","",COUNTIFS(Import_Index!$B$5:$B$304,$A15,Import_Index!$C$5:$C$304,"yes"))</f>
        <v>2</v>
      </c>
      <c r="H15" s="46">
        <f>IF($AG15="","",IFERROR(VALUE(INDEX(Kobo_Import!$A$2:$CZ$301,$AG15,Field_Map!$B$16)&amp;""),0))</f>
        <v>9</v>
      </c>
      <c r="I15" s="46" t="str">
        <f>IF($AG15="","",IF(IFERROR(INDEX(Kobo_Import!$A$2:$CZ$301,$AG15,Field_Map!$B$17)&amp;"","")="","",IFERROR(INDEX(Lists!$N$5:$N$19,MATCH(INDEX(Kobo_Import!$A$2:$CZ$301,$AG15,Field_Map!$B$17)&amp;"",Lists!$M$5:$M$19,0)),INDEX(Kobo_Import!$A$2:$CZ$301,$AG15,Field_Map!$B$17)&amp;"")))</f>
        <v>No</v>
      </c>
      <c r="J15" s="46">
        <f>IF($AG15="","",IFERROR(VALUE(INDEX(Kobo_Import!$A$2:$CZ$301,$AG15,Field_Map!$B$18)&amp;""),0))</f>
        <v>0</v>
      </c>
      <c r="K15" s="46">
        <f>IF($AG15="","",IFERROR(VALUE(INDEX(Kobo_Import!$A$2:$CZ$301,$AG15,Field_Map!$B$19)&amp;""),0))</f>
        <v>7</v>
      </c>
      <c r="L15" s="46">
        <f>IF($AG15="","",IFERROR(VALUE(INDEX(Kobo_Import!$A$2:$CZ$301,$AG15,Field_Map!$B$20)&amp;""),0))</f>
        <v>2</v>
      </c>
      <c r="M15" s="46">
        <f>IF($AG15="","",IFERROR(VALUE(INDEX(Kobo_Import!$A$2:$CZ$301,$AG15,Field_Map!$B$21)&amp;""),0))</f>
        <v>0</v>
      </c>
      <c r="N15" s="46">
        <f>IF($AG15="","",IFERROR(VALUE(INDEX(Kobo_Import!$A$2:$CZ$301,$AG15,Field_Map!$B$22)&amp;""),0))</f>
        <v>1</v>
      </c>
      <c r="O15" s="46">
        <f>IF($AG15="","",IFERROR(VALUE(INDEX(Kobo_Import!$A$2:$CZ$301,$AG15,Field_Map!$B$23)&amp;""),0))</f>
        <v>1</v>
      </c>
      <c r="P15" s="46">
        <f>IF($AG15="","",IFERROR(VALUE(INDEX(Kobo_Import!$A$2:$CZ$301,$AG15,Field_Map!$B$24)&amp;""),0))</f>
        <v>1</v>
      </c>
      <c r="Q15" s="46">
        <f>IF($AG15="","",IFERROR(VALUE(INDEX(Kobo_Import!$A$2:$CZ$301,$AG15,Field_Map!$B$25)&amp;""),0))</f>
        <v>2</v>
      </c>
      <c r="R15" s="46">
        <f>IF($AG15="","",IFERROR(VALUE(INDEX(Kobo_Import!$A$2:$CZ$301,$AG15,Field_Map!$B$26)&amp;""),0))</f>
        <v>9</v>
      </c>
      <c r="S15" s="46">
        <f>IF($AG15="","",IFERROR(VALUE(INDEX(Kobo_Import!$A$2:$CZ$301,$AG15,Field_Map!$B$27)&amp;""),0))</f>
        <v>0</v>
      </c>
      <c r="T15" s="46">
        <f>IF($AG15="","",IFERROR(VALUE(INDEX(Kobo_Import!$A$2:$CZ$301,$AG15,Field_Map!$B$28)&amp;""),0))</f>
        <v>2</v>
      </c>
      <c r="U15" s="46" t="str">
        <f>IF($AG15="","",IF(IFERROR(INDEX(Kobo_Import!$A$2:$CZ$301,$AG15,Field_Map!$B$29)&amp;"","")="","",IFERROR(INDEX(Lists!$N$5:$N$19,MATCH(INDEX(Kobo_Import!$A$2:$CZ$301,$AG15,Field_Map!$B$29)&amp;"",Lists!$M$5:$M$19,0)),INDEX(Kobo_Import!$A$2:$CZ$301,$AG15,Field_Map!$B$29)&amp;"")))</f>
        <v/>
      </c>
      <c r="V15" s="50">
        <f>IF($A15="","",Settings!$B$5-F15)</f>
        <v>13</v>
      </c>
      <c r="W15" s="46">
        <f>IF($A15="","",(J15&gt;0)*Settings!$B$22+(P15&gt;0)*Settings!$B$23+(M15&gt;0)*Settings!$B$24+(O15&gt;0)*Settings!$B$25+(I15="Yes")*Settings!$B$26+(D15="Unusable")*Settings!$B$27+(D15="Damaged")*Settings!$B$28+(H15&gt;=Settings!$B$30)*Settings!$B$29)</f>
        <v>4</v>
      </c>
      <c r="X15" s="46" t="str">
        <f>IF($A15="","",IF(W15&gt;=Settings!$B$31,"High",IF(W15&gt;=Settings!$B$32,"Medium","Low")))</f>
        <v>Medium</v>
      </c>
      <c r="Y15" s="46" t="str">
        <f>IF($A15="","",IF(V15&gt;Settings!$B$21,"Yes",""))</f>
        <v/>
      </c>
      <c r="Z15" s="46">
        <f>IF($A15="","",COUNTIFS(Referrals!$B$5:$B$52,$A15,Referrals!$G$5:$G$52,"Referred")+COUNTIFS(Referrals!$B$5:$B$52,$A15,Referrals!$G$5:$G$52,"Acknowledged"))</f>
        <v>1</v>
      </c>
      <c r="AA15" s="46">
        <f>IF($A15="","",COUNTIFS(Referrals!$B$5:$B$52,$A15,Referrals!$K$5:$K$52,"Overdue"))</f>
        <v>1</v>
      </c>
      <c r="AB15" s="46" t="str">
        <f>IF($A15="","",IF(AND(J15&gt;0,U15="Yes"),IF(COUNTIFS(Referrals!$B$5:$B$52,$A15,Referrals!$D$5:$D$52,"Nutrition / IYCF")=0,"Referral needed","Referred"),""))</f>
        <v/>
      </c>
      <c r="AC15" s="46" t="str">
        <f>IF($A15="","",IF(N(Needs_Gaps!O15)&gt;0,"Yes",""))</f>
        <v/>
      </c>
      <c r="AD15" s="46" t="str">
        <f>IF($A15="","",IF(COUNTIFS(Maintenance_Log!$C$5:$C$40,$A15,Maintenance_Log!$H$5:$H$40,"&lt;&gt;Resolved")&gt;0,"Yes",""))</f>
        <v/>
      </c>
      <c r="AE15" s="46">
        <f t="shared" si="0"/>
        <v>1</v>
      </c>
      <c r="AF15" s="46">
        <f t="shared" si="1"/>
        <v>104989</v>
      </c>
      <c r="AG15" s="46">
        <f>IFERROR(MATCH(ROW()-4,Import_Index!$H$5:$H$304,0),"")</f>
        <v>101</v>
      </c>
    </row>
    <row r="16" spans="1:33" x14ac:dyDescent="0.3">
      <c r="A16" s="46" t="str">
        <f>IF($AG16="","",IFERROR(INDEX(Kobo_Import!$A$2:$CZ$301,$AG16,Field_Map!$B$13)&amp;"",""))</f>
        <v>HH-012</v>
      </c>
      <c r="B16" s="46" t="str">
        <f>IF($AG16="","",IF(IFERROR(INDEX(Kobo_Import!$A$2:$CZ$301,$AG16,Field_Map!$B$9)&amp;"","")="","",IFERROR(INDEX(Lists!$N$5:$N$19,MATCH(INDEX(Kobo_Import!$A$2:$CZ$301,$AG16,Field_Map!$B$9)&amp;"",Lists!$M$5:$M$19,0)),INDEX(Kobo_Import!$A$2:$CZ$301,$AG16,Field_Map!$B$9)&amp;"")))</f>
        <v>Site A – School Shelter</v>
      </c>
      <c r="C16" s="46" t="str">
        <f>IF($AG16="","",IF(IFERROR(INDEX(Kobo_Import!$A$2:$CZ$301,$AG16,Field_Map!$B$14)&amp;"","")="","",IFERROR(INDEX(Lists!$N$5:$N$19,MATCH(INDEX(Kobo_Import!$A$2:$CZ$301,$AG16,Field_Map!$B$14)&amp;"",Lists!$M$5:$M$19,0)),INDEX(Kobo_Import!$A$2:$CZ$301,$AG16,Field_Map!$B$14)&amp;"")))</f>
        <v>Classroom</v>
      </c>
      <c r="D16" s="46" t="str">
        <f>IF($AG16="","",IF(IFERROR(INDEX(Kobo_Import!$A$2:$CZ$301,$AG16,Field_Map!$B$15)&amp;"","")="","",IFERROR(INDEX(Lists!$N$5:$N$19,MATCH(INDEX(Kobo_Import!$A$2:$CZ$301,$AG16,Field_Map!$B$15)&amp;"",Lists!$M$5:$M$19,0)),INDEX(Kobo_Import!$A$2:$CZ$301,$AG16,Field_Map!$B$15)&amp;"")))</f>
        <v>Adequate</v>
      </c>
      <c r="E16" s="49">
        <f>IF($A16="","",IFERROR(INDEX(Import_Index!$D$5:$D$304,MATCH($A16&amp;"|registration",Import_Index!$I$5:$I$304,0)),F16))</f>
        <v>46016</v>
      </c>
      <c r="F16" s="49">
        <f>IF($AG16="","",INDEX(Import_Index!$D$5:$D$304,$AG16))</f>
        <v>46048</v>
      </c>
      <c r="G16" s="46">
        <f>IF($A16="","",COUNTIFS(Import_Index!$B$5:$B$304,$A16,Import_Index!$C$5:$C$304,"yes"))</f>
        <v>2</v>
      </c>
      <c r="H16" s="46">
        <f>IF($AG16="","",IFERROR(VALUE(INDEX(Kobo_Import!$A$2:$CZ$301,$AG16,Field_Map!$B$16)&amp;""),0))</f>
        <v>5</v>
      </c>
      <c r="I16" s="46" t="str">
        <f>IF($AG16="","",IF(IFERROR(INDEX(Kobo_Import!$A$2:$CZ$301,$AG16,Field_Map!$B$17)&amp;"","")="","",IFERROR(INDEX(Lists!$N$5:$N$19,MATCH(INDEX(Kobo_Import!$A$2:$CZ$301,$AG16,Field_Map!$B$17)&amp;"",Lists!$M$5:$M$19,0)),INDEX(Kobo_Import!$A$2:$CZ$301,$AG16,Field_Map!$B$17)&amp;"")))</f>
        <v>No</v>
      </c>
      <c r="J16" s="46">
        <f>IF($AG16="","",IFERROR(VALUE(INDEX(Kobo_Import!$A$2:$CZ$301,$AG16,Field_Map!$B$18)&amp;""),0))</f>
        <v>1</v>
      </c>
      <c r="K16" s="46">
        <f>IF($AG16="","",IFERROR(VALUE(INDEX(Kobo_Import!$A$2:$CZ$301,$AG16,Field_Map!$B$19)&amp;""),0))</f>
        <v>0</v>
      </c>
      <c r="L16" s="46">
        <f>IF($AG16="","",IFERROR(VALUE(INDEX(Kobo_Import!$A$2:$CZ$301,$AG16,Field_Map!$B$20)&amp;""),0))</f>
        <v>3</v>
      </c>
      <c r="M16" s="46">
        <f>IF($AG16="","",IFERROR(VALUE(INDEX(Kobo_Import!$A$2:$CZ$301,$AG16,Field_Map!$B$21)&amp;""),0))</f>
        <v>1</v>
      </c>
      <c r="N16" s="46">
        <f>IF($AG16="","",IFERROR(VALUE(INDEX(Kobo_Import!$A$2:$CZ$301,$AG16,Field_Map!$B$22)&amp;""),0))</f>
        <v>2</v>
      </c>
      <c r="O16" s="46">
        <f>IF($AG16="","",IFERROR(VALUE(INDEX(Kobo_Import!$A$2:$CZ$301,$AG16,Field_Map!$B$23)&amp;""),0))</f>
        <v>1</v>
      </c>
      <c r="P16" s="46">
        <f>IF($AG16="","",IFERROR(VALUE(INDEX(Kobo_Import!$A$2:$CZ$301,$AG16,Field_Map!$B$24)&amp;""),0))</f>
        <v>0</v>
      </c>
      <c r="Q16" s="46">
        <f>IF($AG16="","",IFERROR(VALUE(INDEX(Kobo_Import!$A$2:$CZ$301,$AG16,Field_Map!$B$25)&amp;""),0))</f>
        <v>9</v>
      </c>
      <c r="R16" s="46">
        <f>IF($AG16="","",IFERROR(VALUE(INDEX(Kobo_Import!$A$2:$CZ$301,$AG16,Field_Map!$B$26)&amp;""),0))</f>
        <v>1</v>
      </c>
      <c r="S16" s="46">
        <f>IF($AG16="","",IFERROR(VALUE(INDEX(Kobo_Import!$A$2:$CZ$301,$AG16,Field_Map!$B$27)&amp;""),0))</f>
        <v>0</v>
      </c>
      <c r="T16" s="46">
        <f>IF($AG16="","",IFERROR(VALUE(INDEX(Kobo_Import!$A$2:$CZ$301,$AG16,Field_Map!$B$28)&amp;""),0))</f>
        <v>3</v>
      </c>
      <c r="U16" s="46" t="str">
        <f>IF($AG16="","",IF(IFERROR(INDEX(Kobo_Import!$A$2:$CZ$301,$AG16,Field_Map!$B$29)&amp;"","")="","",IFERROR(INDEX(Lists!$N$5:$N$19,MATCH(INDEX(Kobo_Import!$A$2:$CZ$301,$AG16,Field_Map!$B$29)&amp;"",Lists!$M$5:$M$19,0)),INDEX(Kobo_Import!$A$2:$CZ$301,$AG16,Field_Map!$B$29)&amp;"")))</f>
        <v>No</v>
      </c>
      <c r="V16" s="50">
        <f>IF($A16="","",Settings!$B$5-F16)</f>
        <v>5</v>
      </c>
      <c r="W16" s="46">
        <f>IF($A16="","",(J16&gt;0)*Settings!$B$22+(P16&gt;0)*Settings!$B$23+(M16&gt;0)*Settings!$B$24+(O16&gt;0)*Settings!$B$25+(I16="Yes")*Settings!$B$26+(D16="Unusable")*Settings!$B$27+(D16="Damaged")*Settings!$B$28+(H16&gt;=Settings!$B$30)*Settings!$B$29)</f>
        <v>4</v>
      </c>
      <c r="X16" s="46" t="str">
        <f>IF($A16="","",IF(W16&gt;=Settings!$B$31,"High",IF(W16&gt;=Settings!$B$32,"Medium","Low")))</f>
        <v>Medium</v>
      </c>
      <c r="Y16" s="46" t="str">
        <f>IF($A16="","",IF(V16&gt;Settings!$B$21,"Yes",""))</f>
        <v/>
      </c>
      <c r="Z16" s="46">
        <f>IF($A16="","",COUNTIFS(Referrals!$B$5:$B$52,$A16,Referrals!$G$5:$G$52,"Referred")+COUNTIFS(Referrals!$B$5:$B$52,$A16,Referrals!$G$5:$G$52,"Acknowledged"))</f>
        <v>0</v>
      </c>
      <c r="AA16" s="46">
        <f>IF($A16="","",COUNTIFS(Referrals!$B$5:$B$52,$A16,Referrals!$K$5:$K$52,"Overdue"))</f>
        <v>0</v>
      </c>
      <c r="AB16" s="46" t="str">
        <f>IF($A16="","",IF(AND(J16&gt;0,U16="Yes"),IF(COUNTIFS(Referrals!$B$5:$B$52,$A16,Referrals!$D$5:$D$52,"Nutrition / IYCF")=0,"Referral needed","Referred"),""))</f>
        <v/>
      </c>
      <c r="AC16" s="46" t="str">
        <f>IF($A16="","",IF(N(Needs_Gaps!O16)&gt;0,"Yes",""))</f>
        <v/>
      </c>
      <c r="AD16" s="46" t="str">
        <f>IF($A16="","",IF(COUNTIFS(Maintenance_Log!$C$5:$C$40,$A16,Maintenance_Log!$H$5:$H$40,"&lt;&gt;Resolved")&gt;0,"Yes",""))</f>
        <v/>
      </c>
      <c r="AE16" s="46">
        <f t="shared" si="0"/>
        <v>0</v>
      </c>
      <c r="AF16" s="46">
        <f t="shared" si="1"/>
        <v>0</v>
      </c>
      <c r="AG16" s="46">
        <f>IFERROR(MATCH(ROW()-4,Import_Index!$H$5:$H$304,0),"")</f>
        <v>138</v>
      </c>
    </row>
    <row r="17" spans="1:33" x14ac:dyDescent="0.3">
      <c r="A17" s="46" t="str">
        <f>IF($AG17="","",IFERROR(INDEX(Kobo_Import!$A$2:$CZ$301,$AG17,Field_Map!$B$13)&amp;"",""))</f>
        <v>HH-013</v>
      </c>
      <c r="B17" s="46" t="str">
        <f>IF($AG17="","",IF(IFERROR(INDEX(Kobo_Import!$A$2:$CZ$301,$AG17,Field_Map!$B$9)&amp;"","")="","",IFERROR(INDEX(Lists!$N$5:$N$19,MATCH(INDEX(Kobo_Import!$A$2:$CZ$301,$AG17,Field_Map!$B$9)&amp;"",Lists!$M$5:$M$19,0)),INDEX(Kobo_Import!$A$2:$CZ$301,$AG17,Field_Map!$B$9)&amp;"")))</f>
        <v>Site A – School Shelter</v>
      </c>
      <c r="C17" s="46" t="str">
        <f>IF($AG17="","",IF(IFERROR(INDEX(Kobo_Import!$A$2:$CZ$301,$AG17,Field_Map!$B$14)&amp;"","")="","",IFERROR(INDEX(Lists!$N$5:$N$19,MATCH(INDEX(Kobo_Import!$A$2:$CZ$301,$AG17,Field_Map!$B$14)&amp;"",Lists!$M$5:$M$19,0)),INDEX(Kobo_Import!$A$2:$CZ$301,$AG17,Field_Map!$B$14)&amp;"")))</f>
        <v>Classroom</v>
      </c>
      <c r="D17" s="46" t="str">
        <f>IF($AG17="","",IF(IFERROR(INDEX(Kobo_Import!$A$2:$CZ$301,$AG17,Field_Map!$B$15)&amp;"","")="","",IFERROR(INDEX(Lists!$N$5:$N$19,MATCH(INDEX(Kobo_Import!$A$2:$CZ$301,$AG17,Field_Map!$B$15)&amp;"",Lists!$M$5:$M$19,0)),INDEX(Kobo_Import!$A$2:$CZ$301,$AG17,Field_Map!$B$15)&amp;"")))</f>
        <v>Adequate</v>
      </c>
      <c r="E17" s="49">
        <f>IF($A17="","",IFERROR(INDEX(Import_Index!$D$5:$D$304,MATCH($A17&amp;"|registration",Import_Index!$I$5:$I$304,0)),F17))</f>
        <v>46043</v>
      </c>
      <c r="F17" s="49">
        <f>IF($AG17="","",INDEX(Import_Index!$D$5:$D$304,$AG17))</f>
        <v>46043</v>
      </c>
      <c r="G17" s="46">
        <f>IF($A17="","",COUNTIFS(Import_Index!$B$5:$B$304,$A17,Import_Index!$C$5:$C$304,"yes"))</f>
        <v>1</v>
      </c>
      <c r="H17" s="46">
        <f>IF($AG17="","",IFERROR(VALUE(INDEX(Kobo_Import!$A$2:$CZ$301,$AG17,Field_Map!$B$16)&amp;""),0))</f>
        <v>8</v>
      </c>
      <c r="I17" s="46" t="str">
        <f>IF($AG17="","",IF(IFERROR(INDEX(Kobo_Import!$A$2:$CZ$301,$AG17,Field_Map!$B$17)&amp;"","")="","",IFERROR(INDEX(Lists!$N$5:$N$19,MATCH(INDEX(Kobo_Import!$A$2:$CZ$301,$AG17,Field_Map!$B$17)&amp;"",Lists!$M$5:$M$19,0)),INDEX(Kobo_Import!$A$2:$CZ$301,$AG17,Field_Map!$B$17)&amp;"")))</f>
        <v>No</v>
      </c>
      <c r="J17" s="46">
        <f>IF($AG17="","",IFERROR(VALUE(INDEX(Kobo_Import!$A$2:$CZ$301,$AG17,Field_Map!$B$18)&amp;""),0))</f>
        <v>0</v>
      </c>
      <c r="K17" s="46">
        <f>IF($AG17="","",IFERROR(VALUE(INDEX(Kobo_Import!$A$2:$CZ$301,$AG17,Field_Map!$B$19)&amp;""),0))</f>
        <v>5</v>
      </c>
      <c r="L17" s="46">
        <f>IF($AG17="","",IFERROR(VALUE(INDEX(Kobo_Import!$A$2:$CZ$301,$AG17,Field_Map!$B$20)&amp;""),0))</f>
        <v>2</v>
      </c>
      <c r="M17" s="46">
        <f>IF($AG17="","",IFERROR(VALUE(INDEX(Kobo_Import!$A$2:$CZ$301,$AG17,Field_Map!$B$21)&amp;""),0))</f>
        <v>1</v>
      </c>
      <c r="N17" s="46">
        <f>IF($AG17="","",IFERROR(VALUE(INDEX(Kobo_Import!$A$2:$CZ$301,$AG17,Field_Map!$B$22)&amp;""),0))</f>
        <v>1</v>
      </c>
      <c r="O17" s="46">
        <f>IF($AG17="","",IFERROR(VALUE(INDEX(Kobo_Import!$A$2:$CZ$301,$AG17,Field_Map!$B$23)&amp;""),0))</f>
        <v>0</v>
      </c>
      <c r="P17" s="46">
        <f>IF($AG17="","",IFERROR(VALUE(INDEX(Kobo_Import!$A$2:$CZ$301,$AG17,Field_Map!$B$24)&amp;""),0))</f>
        <v>0</v>
      </c>
      <c r="Q17" s="46">
        <f>IF($AG17="","",IFERROR(VALUE(INDEX(Kobo_Import!$A$2:$CZ$301,$AG17,Field_Map!$B$25)&amp;""),0))</f>
        <v>1</v>
      </c>
      <c r="R17" s="46">
        <f>IF($AG17="","",IFERROR(VALUE(INDEX(Kobo_Import!$A$2:$CZ$301,$AG17,Field_Map!$B$26)&amp;""),0))</f>
        <v>6</v>
      </c>
      <c r="S17" s="46">
        <f>IF($AG17="","",IFERROR(VALUE(INDEX(Kobo_Import!$A$2:$CZ$301,$AG17,Field_Map!$B$27)&amp;""),0))</f>
        <v>4</v>
      </c>
      <c r="T17" s="46">
        <f>IF($AG17="","",IFERROR(VALUE(INDEX(Kobo_Import!$A$2:$CZ$301,$AG17,Field_Map!$B$28)&amp;""),0))</f>
        <v>0</v>
      </c>
      <c r="U17" s="46" t="str">
        <f>IF($AG17="","",IF(IFERROR(INDEX(Kobo_Import!$A$2:$CZ$301,$AG17,Field_Map!$B$29)&amp;"","")="","",IFERROR(INDEX(Lists!$N$5:$N$19,MATCH(INDEX(Kobo_Import!$A$2:$CZ$301,$AG17,Field_Map!$B$29)&amp;"",Lists!$M$5:$M$19,0)),INDEX(Kobo_Import!$A$2:$CZ$301,$AG17,Field_Map!$B$29)&amp;"")))</f>
        <v/>
      </c>
      <c r="V17" s="50">
        <f>IF($A17="","",Settings!$B$5-F17)</f>
        <v>10</v>
      </c>
      <c r="W17" s="46">
        <f>IF($A17="","",(J17&gt;0)*Settings!$B$22+(P17&gt;0)*Settings!$B$23+(M17&gt;0)*Settings!$B$24+(O17&gt;0)*Settings!$B$25+(I17="Yes")*Settings!$B$26+(D17="Unusable")*Settings!$B$27+(D17="Damaged")*Settings!$B$28+(H17&gt;=Settings!$B$30)*Settings!$B$29)</f>
        <v>1</v>
      </c>
      <c r="X17" s="46" t="str">
        <f>IF($A17="","",IF(W17&gt;=Settings!$B$31,"High",IF(W17&gt;=Settings!$B$32,"Medium","Low")))</f>
        <v>Low</v>
      </c>
      <c r="Y17" s="46" t="str">
        <f>IF($A17="","",IF(V17&gt;Settings!$B$21,"Yes",""))</f>
        <v/>
      </c>
      <c r="Z17" s="46">
        <f>IF($A17="","",COUNTIFS(Referrals!$B$5:$B$52,$A17,Referrals!$G$5:$G$52,"Referred")+COUNTIFS(Referrals!$B$5:$B$52,$A17,Referrals!$G$5:$G$52,"Acknowledged"))</f>
        <v>0</v>
      </c>
      <c r="AA17" s="46">
        <f>IF($A17="","",COUNTIFS(Referrals!$B$5:$B$52,$A17,Referrals!$K$5:$K$52,"Overdue"))</f>
        <v>0</v>
      </c>
      <c r="AB17" s="46" t="str">
        <f>IF($A17="","",IF(AND(J17&gt;0,U17="Yes"),IF(COUNTIFS(Referrals!$B$5:$B$52,$A17,Referrals!$D$5:$D$52,"Nutrition / IYCF")=0,"Referral needed","Referred"),""))</f>
        <v/>
      </c>
      <c r="AC17" s="46" t="str">
        <f>IF($A17="","",IF(N(Needs_Gaps!O17)&gt;0,"Yes",""))</f>
        <v/>
      </c>
      <c r="AD17" s="46" t="str">
        <f>IF($A17="","",IF(COUNTIFS(Maintenance_Log!$C$5:$C$40,$A17,Maintenance_Log!$H$5:$H$40,"&lt;&gt;Resolved")&gt;0,"Yes",""))</f>
        <v/>
      </c>
      <c r="AE17" s="46">
        <f t="shared" si="0"/>
        <v>0</v>
      </c>
      <c r="AF17" s="46">
        <f t="shared" si="1"/>
        <v>0</v>
      </c>
      <c r="AG17" s="46">
        <f>IFERROR(MATCH(ROW()-4,Import_Index!$H$5:$H$304,0),"")</f>
        <v>112</v>
      </c>
    </row>
    <row r="18" spans="1:33" x14ac:dyDescent="0.3">
      <c r="A18" s="46" t="str">
        <f>IF($AG18="","",IFERROR(INDEX(Kobo_Import!$A$2:$CZ$301,$AG18,Field_Map!$B$13)&amp;"",""))</f>
        <v>HH-014</v>
      </c>
      <c r="B18" s="46" t="str">
        <f>IF($AG18="","",IF(IFERROR(INDEX(Kobo_Import!$A$2:$CZ$301,$AG18,Field_Map!$B$9)&amp;"","")="","",IFERROR(INDEX(Lists!$N$5:$N$19,MATCH(INDEX(Kobo_Import!$A$2:$CZ$301,$AG18,Field_Map!$B$9)&amp;"",Lists!$M$5:$M$19,0)),INDEX(Kobo_Import!$A$2:$CZ$301,$AG18,Field_Map!$B$9)&amp;"")))</f>
        <v>Site A – School Shelter</v>
      </c>
      <c r="C18" s="46" t="str">
        <f>IF($AG18="","",IF(IFERROR(INDEX(Kobo_Import!$A$2:$CZ$301,$AG18,Field_Map!$B$14)&amp;"","")="","",IFERROR(INDEX(Lists!$N$5:$N$19,MATCH(INDEX(Kobo_Import!$A$2:$CZ$301,$AG18,Field_Map!$B$14)&amp;"",Lists!$M$5:$M$19,0)),INDEX(Kobo_Import!$A$2:$CZ$301,$AG18,Field_Map!$B$14)&amp;"")))</f>
        <v>Classroom</v>
      </c>
      <c r="D18" s="46" t="str">
        <f>IF($AG18="","",IF(IFERROR(INDEX(Kobo_Import!$A$2:$CZ$301,$AG18,Field_Map!$B$15)&amp;"","")="","",IFERROR(INDEX(Lists!$N$5:$N$19,MATCH(INDEX(Kobo_Import!$A$2:$CZ$301,$AG18,Field_Map!$B$15)&amp;"",Lists!$M$5:$M$19,0)),INDEX(Kobo_Import!$A$2:$CZ$301,$AG18,Field_Map!$B$15)&amp;"")))</f>
        <v>Adequate</v>
      </c>
      <c r="E18" s="49">
        <f>IF($A18="","",IFERROR(INDEX(Import_Index!$D$5:$D$304,MATCH($A18&amp;"|registration",Import_Index!$I$5:$I$304,0)),F18))</f>
        <v>46026</v>
      </c>
      <c r="F18" s="49">
        <f>IF($AG18="","",INDEX(Import_Index!$D$5:$D$304,$AG18))</f>
        <v>46026</v>
      </c>
      <c r="G18" s="46">
        <f>IF($A18="","",COUNTIFS(Import_Index!$B$5:$B$304,$A18,Import_Index!$C$5:$C$304,"yes"))</f>
        <v>1</v>
      </c>
      <c r="H18" s="46">
        <f>IF($AG18="","",IFERROR(VALUE(INDEX(Kobo_Import!$A$2:$CZ$301,$AG18,Field_Map!$B$16)&amp;""),0))</f>
        <v>4</v>
      </c>
      <c r="I18" s="46" t="str">
        <f>IF($AG18="","",IF(IFERROR(INDEX(Kobo_Import!$A$2:$CZ$301,$AG18,Field_Map!$B$17)&amp;"","")="","",IFERROR(INDEX(Lists!$N$5:$N$19,MATCH(INDEX(Kobo_Import!$A$2:$CZ$301,$AG18,Field_Map!$B$17)&amp;"",Lists!$M$5:$M$19,0)),INDEX(Kobo_Import!$A$2:$CZ$301,$AG18,Field_Map!$B$17)&amp;"")))</f>
        <v>Yes</v>
      </c>
      <c r="J18" s="46">
        <f>IF($AG18="","",IFERROR(VALUE(INDEX(Kobo_Import!$A$2:$CZ$301,$AG18,Field_Map!$B$18)&amp;""),0))</f>
        <v>1</v>
      </c>
      <c r="K18" s="46">
        <f>IF($AG18="","",IFERROR(VALUE(INDEX(Kobo_Import!$A$2:$CZ$301,$AG18,Field_Map!$B$19)&amp;""),0))</f>
        <v>1</v>
      </c>
      <c r="L18" s="46">
        <f>IF($AG18="","",IFERROR(VALUE(INDEX(Kobo_Import!$A$2:$CZ$301,$AG18,Field_Map!$B$20)&amp;""),0))</f>
        <v>2</v>
      </c>
      <c r="M18" s="46">
        <f>IF($AG18="","",IFERROR(VALUE(INDEX(Kobo_Import!$A$2:$CZ$301,$AG18,Field_Map!$B$21)&amp;""),0))</f>
        <v>0</v>
      </c>
      <c r="N18" s="46">
        <f>IF($AG18="","",IFERROR(VALUE(INDEX(Kobo_Import!$A$2:$CZ$301,$AG18,Field_Map!$B$22)&amp;""),0))</f>
        <v>2</v>
      </c>
      <c r="O18" s="46">
        <f>IF($AG18="","",IFERROR(VALUE(INDEX(Kobo_Import!$A$2:$CZ$301,$AG18,Field_Map!$B$23)&amp;""),0))</f>
        <v>1</v>
      </c>
      <c r="P18" s="46">
        <f>IF($AG18="","",IFERROR(VALUE(INDEX(Kobo_Import!$A$2:$CZ$301,$AG18,Field_Map!$B$24)&amp;""),0))</f>
        <v>1</v>
      </c>
      <c r="Q18" s="46">
        <f>IF($AG18="","",IFERROR(VALUE(INDEX(Kobo_Import!$A$2:$CZ$301,$AG18,Field_Map!$B$25)&amp;""),0))</f>
        <v>4</v>
      </c>
      <c r="R18" s="46">
        <f>IF($AG18="","",IFERROR(VALUE(INDEX(Kobo_Import!$A$2:$CZ$301,$AG18,Field_Map!$B$26)&amp;""),0))</f>
        <v>0</v>
      </c>
      <c r="S18" s="46">
        <f>IF($AG18="","",IFERROR(VALUE(INDEX(Kobo_Import!$A$2:$CZ$301,$AG18,Field_Map!$B$27)&amp;""),0))</f>
        <v>1</v>
      </c>
      <c r="T18" s="46">
        <f>IF($AG18="","",IFERROR(VALUE(INDEX(Kobo_Import!$A$2:$CZ$301,$AG18,Field_Map!$B$28)&amp;""),0))</f>
        <v>1</v>
      </c>
      <c r="U18" s="46" t="str">
        <f>IF($AG18="","",IF(IFERROR(INDEX(Kobo_Import!$A$2:$CZ$301,$AG18,Field_Map!$B$29)&amp;"","")="","",IFERROR(INDEX(Lists!$N$5:$N$19,MATCH(INDEX(Kobo_Import!$A$2:$CZ$301,$AG18,Field_Map!$B$29)&amp;"",Lists!$M$5:$M$19,0)),INDEX(Kobo_Import!$A$2:$CZ$301,$AG18,Field_Map!$B$29)&amp;"")))</f>
        <v>No</v>
      </c>
      <c r="V18" s="50">
        <f>IF($A18="","",Settings!$B$5-F18)</f>
        <v>27</v>
      </c>
      <c r="W18" s="46">
        <f>IF($A18="","",(J18&gt;0)*Settings!$B$22+(P18&gt;0)*Settings!$B$23+(M18&gt;0)*Settings!$B$24+(O18&gt;0)*Settings!$B$25+(I18="Yes")*Settings!$B$26+(D18="Unusable")*Settings!$B$27+(D18="Damaged")*Settings!$B$28+(H18&gt;=Settings!$B$30)*Settings!$B$29)</f>
        <v>6</v>
      </c>
      <c r="X18" s="46" t="str">
        <f>IF($A18="","",IF(W18&gt;=Settings!$B$31,"High",IF(W18&gt;=Settings!$B$32,"Medium","Low")))</f>
        <v>High</v>
      </c>
      <c r="Y18" s="46" t="str">
        <f>IF($A18="","",IF(V18&gt;Settings!$B$21,"Yes",""))</f>
        <v/>
      </c>
      <c r="Z18" s="46">
        <f>IF($A18="","",COUNTIFS(Referrals!$B$5:$B$52,$A18,Referrals!$G$5:$G$52,"Referred")+COUNTIFS(Referrals!$B$5:$B$52,$A18,Referrals!$G$5:$G$52,"Acknowledged"))</f>
        <v>1</v>
      </c>
      <c r="AA18" s="46">
        <f>IF($A18="","",COUNTIFS(Referrals!$B$5:$B$52,$A18,Referrals!$K$5:$K$52,"Overdue"))</f>
        <v>1</v>
      </c>
      <c r="AB18" s="46" t="str">
        <f>IF($A18="","",IF(AND(J18&gt;0,U18="Yes"),IF(COUNTIFS(Referrals!$B$5:$B$52,$A18,Referrals!$D$5:$D$52,"Nutrition / IYCF")=0,"Referral needed","Referred"),""))</f>
        <v/>
      </c>
      <c r="AC18" s="46" t="str">
        <f>IF($A18="","",IF(N(Needs_Gaps!O18)&gt;0,"Yes",""))</f>
        <v/>
      </c>
      <c r="AD18" s="46" t="str">
        <f>IF($A18="","",IF(COUNTIFS(Maintenance_Log!$C$5:$C$40,$A18,Maintenance_Log!$H$5:$H$40,"&lt;&gt;Resolved")&gt;0,"Yes",""))</f>
        <v/>
      </c>
      <c r="AE18" s="46">
        <f t="shared" si="0"/>
        <v>1</v>
      </c>
      <c r="AF18" s="46">
        <f t="shared" si="1"/>
        <v>106986</v>
      </c>
      <c r="AG18" s="46">
        <f>IFERROR(MATCH(ROW()-4,Import_Index!$H$5:$H$304,0),"")</f>
        <v>48</v>
      </c>
    </row>
    <row r="19" spans="1:33" x14ac:dyDescent="0.3">
      <c r="A19" s="46" t="str">
        <f>IF($AG19="","",IFERROR(INDEX(Kobo_Import!$A$2:$CZ$301,$AG19,Field_Map!$B$13)&amp;"",""))</f>
        <v>HH-015</v>
      </c>
      <c r="B19" s="46" t="str">
        <f>IF($AG19="","",IF(IFERROR(INDEX(Kobo_Import!$A$2:$CZ$301,$AG19,Field_Map!$B$9)&amp;"","")="","",IFERROR(INDEX(Lists!$N$5:$N$19,MATCH(INDEX(Kobo_Import!$A$2:$CZ$301,$AG19,Field_Map!$B$9)&amp;"",Lists!$M$5:$M$19,0)),INDEX(Kobo_Import!$A$2:$CZ$301,$AG19,Field_Map!$B$9)&amp;"")))</f>
        <v>Site A – School Shelter</v>
      </c>
      <c r="C19" s="46" t="str">
        <f>IF($AG19="","",IF(IFERROR(INDEX(Kobo_Import!$A$2:$CZ$301,$AG19,Field_Map!$B$14)&amp;"","")="","",IFERROR(INDEX(Lists!$N$5:$N$19,MATCH(INDEX(Kobo_Import!$A$2:$CZ$301,$AG19,Field_Map!$B$14)&amp;"",Lists!$M$5:$M$19,0)),INDEX(Kobo_Import!$A$2:$CZ$301,$AG19,Field_Map!$B$14)&amp;"")))</f>
        <v>Classroom</v>
      </c>
      <c r="D19" s="46" t="str">
        <f>IF($AG19="","",IF(IFERROR(INDEX(Kobo_Import!$A$2:$CZ$301,$AG19,Field_Map!$B$15)&amp;"","")="","",IFERROR(INDEX(Lists!$N$5:$N$19,MATCH(INDEX(Kobo_Import!$A$2:$CZ$301,$AG19,Field_Map!$B$15)&amp;"",Lists!$M$5:$M$19,0)),INDEX(Kobo_Import!$A$2:$CZ$301,$AG19,Field_Map!$B$15)&amp;"")))</f>
        <v>Adequate</v>
      </c>
      <c r="E19" s="49">
        <f>IF($A19="","",IFERROR(INDEX(Import_Index!$D$5:$D$304,MATCH($A19&amp;"|registration",Import_Index!$I$5:$I$304,0)),F19))</f>
        <v>46048</v>
      </c>
      <c r="F19" s="49">
        <f>IF($AG19="","",INDEX(Import_Index!$D$5:$D$304,$AG19))</f>
        <v>46048</v>
      </c>
      <c r="G19" s="46">
        <f>IF($A19="","",COUNTIFS(Import_Index!$B$5:$B$304,$A19,Import_Index!$C$5:$C$304,"yes"))</f>
        <v>1</v>
      </c>
      <c r="H19" s="46">
        <f>IF($AG19="","",IFERROR(VALUE(INDEX(Kobo_Import!$A$2:$CZ$301,$AG19,Field_Map!$B$16)&amp;""),0))</f>
        <v>5</v>
      </c>
      <c r="I19" s="46" t="str">
        <f>IF($AG19="","",IF(IFERROR(INDEX(Kobo_Import!$A$2:$CZ$301,$AG19,Field_Map!$B$17)&amp;"","")="","",IFERROR(INDEX(Lists!$N$5:$N$19,MATCH(INDEX(Kobo_Import!$A$2:$CZ$301,$AG19,Field_Map!$B$17)&amp;"",Lists!$M$5:$M$19,0)),INDEX(Kobo_Import!$A$2:$CZ$301,$AG19,Field_Map!$B$17)&amp;"")))</f>
        <v>No</v>
      </c>
      <c r="J19" s="46">
        <f>IF($AG19="","",IFERROR(VALUE(INDEX(Kobo_Import!$A$2:$CZ$301,$AG19,Field_Map!$B$18)&amp;""),0))</f>
        <v>1</v>
      </c>
      <c r="K19" s="46">
        <f>IF($AG19="","",IFERROR(VALUE(INDEX(Kobo_Import!$A$2:$CZ$301,$AG19,Field_Map!$B$19)&amp;""),0))</f>
        <v>2</v>
      </c>
      <c r="L19" s="46">
        <f>IF($AG19="","",IFERROR(VALUE(INDEX(Kobo_Import!$A$2:$CZ$301,$AG19,Field_Map!$B$20)&amp;""),0))</f>
        <v>2</v>
      </c>
      <c r="M19" s="46">
        <f>IF($AG19="","",IFERROR(VALUE(INDEX(Kobo_Import!$A$2:$CZ$301,$AG19,Field_Map!$B$21)&amp;""),0))</f>
        <v>0</v>
      </c>
      <c r="N19" s="46">
        <f>IF($AG19="","",IFERROR(VALUE(INDEX(Kobo_Import!$A$2:$CZ$301,$AG19,Field_Map!$B$22)&amp;""),0))</f>
        <v>1</v>
      </c>
      <c r="O19" s="46">
        <f>IF($AG19="","",IFERROR(VALUE(INDEX(Kobo_Import!$A$2:$CZ$301,$AG19,Field_Map!$B$23)&amp;""),0))</f>
        <v>1</v>
      </c>
      <c r="P19" s="46">
        <f>IF($AG19="","",IFERROR(VALUE(INDEX(Kobo_Import!$A$2:$CZ$301,$AG19,Field_Map!$B$24)&amp;""),0))</f>
        <v>0</v>
      </c>
      <c r="Q19" s="46">
        <f>IF($AG19="","",IFERROR(VALUE(INDEX(Kobo_Import!$A$2:$CZ$301,$AG19,Field_Map!$B$25)&amp;""),0))</f>
        <v>5</v>
      </c>
      <c r="R19" s="46">
        <f>IF($AG19="","",IFERROR(VALUE(INDEX(Kobo_Import!$A$2:$CZ$301,$AG19,Field_Map!$B$26)&amp;""),0))</f>
        <v>4</v>
      </c>
      <c r="S19" s="46">
        <f>IF($AG19="","",IFERROR(VALUE(INDEX(Kobo_Import!$A$2:$CZ$301,$AG19,Field_Map!$B$27)&amp;""),0))</f>
        <v>2</v>
      </c>
      <c r="T19" s="46">
        <f>IF($AG19="","",IFERROR(VALUE(INDEX(Kobo_Import!$A$2:$CZ$301,$AG19,Field_Map!$B$28)&amp;""),0))</f>
        <v>2</v>
      </c>
      <c r="U19" s="46" t="str">
        <f>IF($AG19="","",IF(IFERROR(INDEX(Kobo_Import!$A$2:$CZ$301,$AG19,Field_Map!$B$29)&amp;"","")="","",IFERROR(INDEX(Lists!$N$5:$N$19,MATCH(INDEX(Kobo_Import!$A$2:$CZ$301,$AG19,Field_Map!$B$29)&amp;"",Lists!$M$5:$M$19,0)),INDEX(Kobo_Import!$A$2:$CZ$301,$AG19,Field_Map!$B$29)&amp;"")))</f>
        <v>No</v>
      </c>
      <c r="V19" s="50">
        <f>IF($A19="","",Settings!$B$5-F19)</f>
        <v>5</v>
      </c>
      <c r="W19" s="46">
        <f>IF($A19="","",(J19&gt;0)*Settings!$B$22+(P19&gt;0)*Settings!$B$23+(M19&gt;0)*Settings!$B$24+(O19&gt;0)*Settings!$B$25+(I19="Yes")*Settings!$B$26+(D19="Unusable")*Settings!$B$27+(D19="Damaged")*Settings!$B$28+(H19&gt;=Settings!$B$30)*Settings!$B$29)</f>
        <v>3</v>
      </c>
      <c r="X19" s="46" t="str">
        <f>IF($A19="","",IF(W19&gt;=Settings!$B$31,"High",IF(W19&gt;=Settings!$B$32,"Medium","Low")))</f>
        <v>Medium</v>
      </c>
      <c r="Y19" s="46" t="str">
        <f>IF($A19="","",IF(V19&gt;Settings!$B$21,"Yes",""))</f>
        <v/>
      </c>
      <c r="Z19" s="46">
        <f>IF($A19="","",COUNTIFS(Referrals!$B$5:$B$52,$A19,Referrals!$G$5:$G$52,"Referred")+COUNTIFS(Referrals!$B$5:$B$52,$A19,Referrals!$G$5:$G$52,"Acknowledged"))</f>
        <v>0</v>
      </c>
      <c r="AA19" s="46">
        <f>IF($A19="","",COUNTIFS(Referrals!$B$5:$B$52,$A19,Referrals!$K$5:$K$52,"Overdue"))</f>
        <v>0</v>
      </c>
      <c r="AB19" s="46" t="str">
        <f>IF($A19="","",IF(AND(J19&gt;0,U19="Yes"),IF(COUNTIFS(Referrals!$B$5:$B$52,$A19,Referrals!$D$5:$D$52,"Nutrition / IYCF")=0,"Referral needed","Referred"),""))</f>
        <v/>
      </c>
      <c r="AC19" s="46" t="str">
        <f>IF($A19="","",IF(N(Needs_Gaps!O19)&gt;0,"Yes",""))</f>
        <v/>
      </c>
      <c r="AD19" s="46" t="str">
        <f>IF($A19="","",IF(COUNTIFS(Maintenance_Log!$C$5:$C$40,$A19,Maintenance_Log!$H$5:$H$40,"&lt;&gt;Resolved")&gt;0,"Yes",""))</f>
        <v/>
      </c>
      <c r="AE19" s="46">
        <f t="shared" si="0"/>
        <v>0</v>
      </c>
      <c r="AF19" s="46">
        <f t="shared" si="1"/>
        <v>0</v>
      </c>
      <c r="AG19" s="46">
        <f>IFERROR(MATCH(ROW()-4,Import_Index!$H$5:$H$304,0),"")</f>
        <v>133</v>
      </c>
    </row>
    <row r="20" spans="1:33" x14ac:dyDescent="0.3">
      <c r="A20" s="46" t="str">
        <f>IF($AG20="","",IFERROR(INDEX(Kobo_Import!$A$2:$CZ$301,$AG20,Field_Map!$B$13)&amp;"",""))</f>
        <v>HH-016</v>
      </c>
      <c r="B20" s="46" t="str">
        <f>IF($AG20="","",IF(IFERROR(INDEX(Kobo_Import!$A$2:$CZ$301,$AG20,Field_Map!$B$9)&amp;"","")="","",IFERROR(INDEX(Lists!$N$5:$N$19,MATCH(INDEX(Kobo_Import!$A$2:$CZ$301,$AG20,Field_Map!$B$9)&amp;"",Lists!$M$5:$M$19,0)),INDEX(Kobo_Import!$A$2:$CZ$301,$AG20,Field_Map!$B$9)&amp;"")))</f>
        <v>Site A – School Shelter</v>
      </c>
      <c r="C20" s="46" t="str">
        <f>IF($AG20="","",IF(IFERROR(INDEX(Kobo_Import!$A$2:$CZ$301,$AG20,Field_Map!$B$14)&amp;"","")="","",IFERROR(INDEX(Lists!$N$5:$N$19,MATCH(INDEX(Kobo_Import!$A$2:$CZ$301,$AG20,Field_Map!$B$14)&amp;"",Lists!$M$5:$M$19,0)),INDEX(Kobo_Import!$A$2:$CZ$301,$AG20,Field_Map!$B$14)&amp;"")))</f>
        <v>Classroom</v>
      </c>
      <c r="D20" s="46" t="str">
        <f>IF($AG20="","",IF(IFERROR(INDEX(Kobo_Import!$A$2:$CZ$301,$AG20,Field_Map!$B$15)&amp;"","")="","",IFERROR(INDEX(Lists!$N$5:$N$19,MATCH(INDEX(Kobo_Import!$A$2:$CZ$301,$AG20,Field_Map!$B$15)&amp;"",Lists!$M$5:$M$19,0)),INDEX(Kobo_Import!$A$2:$CZ$301,$AG20,Field_Map!$B$15)&amp;"")))</f>
        <v>Adequate</v>
      </c>
      <c r="E20" s="49">
        <f>IF($A20="","",IFERROR(INDEX(Import_Index!$D$5:$D$304,MATCH($A20&amp;"|registration",Import_Index!$I$5:$I$304,0)),F20))</f>
        <v>46017</v>
      </c>
      <c r="F20" s="49">
        <f>IF($AG20="","",INDEX(Import_Index!$D$5:$D$304,$AG20))</f>
        <v>46017</v>
      </c>
      <c r="G20" s="46">
        <f>IF($A20="","",COUNTIFS(Import_Index!$B$5:$B$304,$A20,Import_Index!$C$5:$C$304,"yes"))</f>
        <v>1</v>
      </c>
      <c r="H20" s="46">
        <f>IF($AG20="","",IFERROR(VALUE(INDEX(Kobo_Import!$A$2:$CZ$301,$AG20,Field_Map!$B$16)&amp;""),0))</f>
        <v>8</v>
      </c>
      <c r="I20" s="46" t="str">
        <f>IF($AG20="","",IF(IFERROR(INDEX(Kobo_Import!$A$2:$CZ$301,$AG20,Field_Map!$B$17)&amp;"","")="","",IFERROR(INDEX(Lists!$N$5:$N$19,MATCH(INDEX(Kobo_Import!$A$2:$CZ$301,$AG20,Field_Map!$B$17)&amp;"",Lists!$M$5:$M$19,0)),INDEX(Kobo_Import!$A$2:$CZ$301,$AG20,Field_Map!$B$17)&amp;"")))</f>
        <v>No</v>
      </c>
      <c r="J20" s="46">
        <f>IF($AG20="","",IFERROR(VALUE(INDEX(Kobo_Import!$A$2:$CZ$301,$AG20,Field_Map!$B$18)&amp;""),0))</f>
        <v>0</v>
      </c>
      <c r="K20" s="46">
        <f>IF($AG20="","",IFERROR(VALUE(INDEX(Kobo_Import!$A$2:$CZ$301,$AG20,Field_Map!$B$19)&amp;""),0))</f>
        <v>5</v>
      </c>
      <c r="L20" s="46">
        <f>IF($AG20="","",IFERROR(VALUE(INDEX(Kobo_Import!$A$2:$CZ$301,$AG20,Field_Map!$B$20)&amp;""),0))</f>
        <v>2</v>
      </c>
      <c r="M20" s="46">
        <f>IF($AG20="","",IFERROR(VALUE(INDEX(Kobo_Import!$A$2:$CZ$301,$AG20,Field_Map!$B$21)&amp;""),0))</f>
        <v>1</v>
      </c>
      <c r="N20" s="46">
        <f>IF($AG20="","",IFERROR(VALUE(INDEX(Kobo_Import!$A$2:$CZ$301,$AG20,Field_Map!$B$22)&amp;""),0))</f>
        <v>1</v>
      </c>
      <c r="O20" s="46">
        <f>IF($AG20="","",IFERROR(VALUE(INDEX(Kobo_Import!$A$2:$CZ$301,$AG20,Field_Map!$B$23)&amp;""),0))</f>
        <v>0</v>
      </c>
      <c r="P20" s="46">
        <f>IF($AG20="","",IFERROR(VALUE(INDEX(Kobo_Import!$A$2:$CZ$301,$AG20,Field_Map!$B$24)&amp;""),0))</f>
        <v>0</v>
      </c>
      <c r="Q20" s="46">
        <f>IF($AG20="","",IFERROR(VALUE(INDEX(Kobo_Import!$A$2:$CZ$301,$AG20,Field_Map!$B$25)&amp;""),0))</f>
        <v>12</v>
      </c>
      <c r="R20" s="46">
        <f>IF($AG20="","",IFERROR(VALUE(INDEX(Kobo_Import!$A$2:$CZ$301,$AG20,Field_Map!$B$26)&amp;""),0))</f>
        <v>4</v>
      </c>
      <c r="S20" s="46">
        <f>IF($AG20="","",IFERROR(VALUE(INDEX(Kobo_Import!$A$2:$CZ$301,$AG20,Field_Map!$B$27)&amp;""),0))</f>
        <v>3</v>
      </c>
      <c r="T20" s="46">
        <f>IF($AG20="","",IFERROR(VALUE(INDEX(Kobo_Import!$A$2:$CZ$301,$AG20,Field_Map!$B$28)&amp;""),0))</f>
        <v>3</v>
      </c>
      <c r="U20" s="46" t="str">
        <f>IF($AG20="","",IF(IFERROR(INDEX(Kobo_Import!$A$2:$CZ$301,$AG20,Field_Map!$B$29)&amp;"","")="","",IFERROR(INDEX(Lists!$N$5:$N$19,MATCH(INDEX(Kobo_Import!$A$2:$CZ$301,$AG20,Field_Map!$B$29)&amp;"",Lists!$M$5:$M$19,0)),INDEX(Kobo_Import!$A$2:$CZ$301,$AG20,Field_Map!$B$29)&amp;"")))</f>
        <v/>
      </c>
      <c r="V20" s="50">
        <f>IF($A20="","",Settings!$B$5-F20)</f>
        <v>36</v>
      </c>
      <c r="W20" s="46">
        <f>IF($A20="","",(J20&gt;0)*Settings!$B$22+(P20&gt;0)*Settings!$B$23+(M20&gt;0)*Settings!$B$24+(O20&gt;0)*Settings!$B$25+(I20="Yes")*Settings!$B$26+(D20="Unusable")*Settings!$B$27+(D20="Damaged")*Settings!$B$28+(H20&gt;=Settings!$B$30)*Settings!$B$29)</f>
        <v>1</v>
      </c>
      <c r="X20" s="46" t="str">
        <f>IF($A20="","",IF(W20&gt;=Settings!$B$31,"High",IF(W20&gt;=Settings!$B$32,"Medium","Low")))</f>
        <v>Low</v>
      </c>
      <c r="Y20" s="46" t="str">
        <f>IF($A20="","",IF(V20&gt;Settings!$B$21,"Yes",""))</f>
        <v>Yes</v>
      </c>
      <c r="Z20" s="46">
        <f>IF($A20="","",COUNTIFS(Referrals!$B$5:$B$52,$A20,Referrals!$G$5:$G$52,"Referred")+COUNTIFS(Referrals!$B$5:$B$52,$A20,Referrals!$G$5:$G$52,"Acknowledged"))</f>
        <v>0</v>
      </c>
      <c r="AA20" s="46">
        <f>IF($A20="","",COUNTIFS(Referrals!$B$5:$B$52,$A20,Referrals!$K$5:$K$52,"Overdue"))</f>
        <v>0</v>
      </c>
      <c r="AB20" s="46" t="str">
        <f>IF($A20="","",IF(AND(J20&gt;0,U20="Yes"),IF(COUNTIFS(Referrals!$B$5:$B$52,$A20,Referrals!$D$5:$D$52,"Nutrition / IYCF")=0,"Referral needed","Referred"),""))</f>
        <v/>
      </c>
      <c r="AC20" s="46" t="str">
        <f>IF($A20="","",IF(N(Needs_Gaps!O20)&gt;0,"Yes",""))</f>
        <v/>
      </c>
      <c r="AD20" s="46" t="str">
        <f>IF($A20="","",IF(COUNTIFS(Maintenance_Log!$C$5:$C$40,$A20,Maintenance_Log!$H$5:$H$40,"&lt;&gt;Resolved")&gt;0,"Yes",""))</f>
        <v/>
      </c>
      <c r="AE20" s="46">
        <f t="shared" si="0"/>
        <v>1</v>
      </c>
      <c r="AF20" s="46">
        <f t="shared" si="1"/>
        <v>101984</v>
      </c>
      <c r="AG20" s="46">
        <f>IFERROR(MATCH(ROW()-4,Import_Index!$H$5:$H$304,0),"")</f>
        <v>29</v>
      </c>
    </row>
    <row r="21" spans="1:33" x14ac:dyDescent="0.3">
      <c r="A21" s="46" t="str">
        <f>IF($AG21="","",IFERROR(INDEX(Kobo_Import!$A$2:$CZ$301,$AG21,Field_Map!$B$13)&amp;"",""))</f>
        <v>HH-017</v>
      </c>
      <c r="B21" s="46" t="str">
        <f>IF($AG21="","",IF(IFERROR(INDEX(Kobo_Import!$A$2:$CZ$301,$AG21,Field_Map!$B$9)&amp;"","")="","",IFERROR(INDEX(Lists!$N$5:$N$19,MATCH(INDEX(Kobo_Import!$A$2:$CZ$301,$AG21,Field_Map!$B$9)&amp;"",Lists!$M$5:$M$19,0)),INDEX(Kobo_Import!$A$2:$CZ$301,$AG21,Field_Map!$B$9)&amp;"")))</f>
        <v>Site A – School Shelter</v>
      </c>
      <c r="C21" s="46" t="str">
        <f>IF($AG21="","",IF(IFERROR(INDEX(Kobo_Import!$A$2:$CZ$301,$AG21,Field_Map!$B$14)&amp;"","")="","",IFERROR(INDEX(Lists!$N$5:$N$19,MATCH(INDEX(Kobo_Import!$A$2:$CZ$301,$AG21,Field_Map!$B$14)&amp;"",Lists!$M$5:$M$19,0)),INDEX(Kobo_Import!$A$2:$CZ$301,$AG21,Field_Map!$B$14)&amp;"")))</f>
        <v>Classroom</v>
      </c>
      <c r="D21" s="46" t="str">
        <f>IF($AG21="","",IF(IFERROR(INDEX(Kobo_Import!$A$2:$CZ$301,$AG21,Field_Map!$B$15)&amp;"","")="","",IFERROR(INDEX(Lists!$N$5:$N$19,MATCH(INDEX(Kobo_Import!$A$2:$CZ$301,$AG21,Field_Map!$B$15)&amp;"",Lists!$M$5:$M$19,0)),INDEX(Kobo_Import!$A$2:$CZ$301,$AG21,Field_Map!$B$15)&amp;"")))</f>
        <v>Adequate</v>
      </c>
      <c r="E21" s="49">
        <f>IF($A21="","",IFERROR(INDEX(Import_Index!$D$5:$D$304,MATCH($A21&amp;"|registration",Import_Index!$I$5:$I$304,0)),F21))</f>
        <v>46052</v>
      </c>
      <c r="F21" s="49">
        <f>IF($AG21="","",INDEX(Import_Index!$D$5:$D$304,$AG21))</f>
        <v>46052</v>
      </c>
      <c r="G21" s="46">
        <f>IF($A21="","",COUNTIFS(Import_Index!$B$5:$B$304,$A21,Import_Index!$C$5:$C$304,"yes"))</f>
        <v>1</v>
      </c>
      <c r="H21" s="46">
        <f>IF($AG21="","",IFERROR(VALUE(INDEX(Kobo_Import!$A$2:$CZ$301,$AG21,Field_Map!$B$16)&amp;""),0))</f>
        <v>7</v>
      </c>
      <c r="I21" s="46" t="str">
        <f>IF($AG21="","",IF(IFERROR(INDEX(Kobo_Import!$A$2:$CZ$301,$AG21,Field_Map!$B$17)&amp;"","")="","",IFERROR(INDEX(Lists!$N$5:$N$19,MATCH(INDEX(Kobo_Import!$A$2:$CZ$301,$AG21,Field_Map!$B$17)&amp;"",Lists!$M$5:$M$19,0)),INDEX(Kobo_Import!$A$2:$CZ$301,$AG21,Field_Map!$B$17)&amp;"")))</f>
        <v>No</v>
      </c>
      <c r="J21" s="46">
        <f>IF($AG21="","",IFERROR(VALUE(INDEX(Kobo_Import!$A$2:$CZ$301,$AG21,Field_Map!$B$18)&amp;""),0))</f>
        <v>1</v>
      </c>
      <c r="K21" s="46">
        <f>IF($AG21="","",IFERROR(VALUE(INDEX(Kobo_Import!$A$2:$CZ$301,$AG21,Field_Map!$B$19)&amp;""),0))</f>
        <v>4</v>
      </c>
      <c r="L21" s="46">
        <f>IF($AG21="","",IFERROR(VALUE(INDEX(Kobo_Import!$A$2:$CZ$301,$AG21,Field_Map!$B$20)&amp;""),0))</f>
        <v>2</v>
      </c>
      <c r="M21" s="46">
        <f>IF($AG21="","",IFERROR(VALUE(INDEX(Kobo_Import!$A$2:$CZ$301,$AG21,Field_Map!$B$21)&amp;""),0))</f>
        <v>0</v>
      </c>
      <c r="N21" s="46">
        <f>IF($AG21="","",IFERROR(VALUE(INDEX(Kobo_Import!$A$2:$CZ$301,$AG21,Field_Map!$B$22)&amp;""),0))</f>
        <v>1</v>
      </c>
      <c r="O21" s="46">
        <f>IF($AG21="","",IFERROR(VALUE(INDEX(Kobo_Import!$A$2:$CZ$301,$AG21,Field_Map!$B$23)&amp;""),0))</f>
        <v>0</v>
      </c>
      <c r="P21" s="46">
        <f>IF($AG21="","",IFERROR(VALUE(INDEX(Kobo_Import!$A$2:$CZ$301,$AG21,Field_Map!$B$24)&amp;""),0))</f>
        <v>1</v>
      </c>
      <c r="Q21" s="46">
        <f>IF($AG21="","",IFERROR(VALUE(INDEX(Kobo_Import!$A$2:$CZ$301,$AG21,Field_Map!$B$25)&amp;""),0))</f>
        <v>9</v>
      </c>
      <c r="R21" s="46">
        <f>IF($AG21="","",IFERROR(VALUE(INDEX(Kobo_Import!$A$2:$CZ$301,$AG21,Field_Map!$B$26)&amp;""),0))</f>
        <v>5</v>
      </c>
      <c r="S21" s="46">
        <f>IF($AG21="","",IFERROR(VALUE(INDEX(Kobo_Import!$A$2:$CZ$301,$AG21,Field_Map!$B$27)&amp;""),0))</f>
        <v>3</v>
      </c>
      <c r="T21" s="46">
        <f>IF($AG21="","",IFERROR(VALUE(INDEX(Kobo_Import!$A$2:$CZ$301,$AG21,Field_Map!$B$28)&amp;""),0))</f>
        <v>2</v>
      </c>
      <c r="U21" s="46" t="str">
        <f>IF($AG21="","",IF(IFERROR(INDEX(Kobo_Import!$A$2:$CZ$301,$AG21,Field_Map!$B$29)&amp;"","")="","",IFERROR(INDEX(Lists!$N$5:$N$19,MATCH(INDEX(Kobo_Import!$A$2:$CZ$301,$AG21,Field_Map!$B$29)&amp;"",Lists!$M$5:$M$19,0)),INDEX(Kobo_Import!$A$2:$CZ$301,$AG21,Field_Map!$B$29)&amp;"")))</f>
        <v>Yes</v>
      </c>
      <c r="V21" s="50">
        <f>IF($A21="","",Settings!$B$5-F21)</f>
        <v>1</v>
      </c>
      <c r="W21" s="46">
        <f>IF($A21="","",(J21&gt;0)*Settings!$B$22+(P21&gt;0)*Settings!$B$23+(M21&gt;0)*Settings!$B$24+(O21&gt;0)*Settings!$B$25+(I21="Yes")*Settings!$B$26+(D21="Unusable")*Settings!$B$27+(D21="Damaged")*Settings!$B$28+(H21&gt;=Settings!$B$30)*Settings!$B$29)</f>
        <v>4</v>
      </c>
      <c r="X21" s="46" t="str">
        <f>IF($A21="","",IF(W21&gt;=Settings!$B$31,"High",IF(W21&gt;=Settings!$B$32,"Medium","Low")))</f>
        <v>Medium</v>
      </c>
      <c r="Y21" s="46" t="str">
        <f>IF($A21="","",IF(V21&gt;Settings!$B$21,"Yes",""))</f>
        <v/>
      </c>
      <c r="Z21" s="46">
        <f>IF($A21="","",COUNTIFS(Referrals!$B$5:$B$52,$A21,Referrals!$G$5:$G$52,"Referred")+COUNTIFS(Referrals!$B$5:$B$52,$A21,Referrals!$G$5:$G$52,"Acknowledged"))</f>
        <v>0</v>
      </c>
      <c r="AA21" s="46">
        <f>IF($A21="","",COUNTIFS(Referrals!$B$5:$B$52,$A21,Referrals!$K$5:$K$52,"Overdue"))</f>
        <v>0</v>
      </c>
      <c r="AB21" s="46" t="str">
        <f>IF($A21="","",IF(AND(J21&gt;0,U21="Yes"),IF(COUNTIFS(Referrals!$B$5:$B$52,$A21,Referrals!$D$5:$D$52,"Nutrition / IYCF")=0,"Referral needed","Referred"),""))</f>
        <v>Referral needed</v>
      </c>
      <c r="AC21" s="46" t="str">
        <f>IF($A21="","",IF(N(Needs_Gaps!O21)&gt;0,"Yes",""))</f>
        <v/>
      </c>
      <c r="AD21" s="46" t="str">
        <f>IF($A21="","",IF(COUNTIFS(Maintenance_Log!$C$5:$C$40,$A21,Maintenance_Log!$H$5:$H$40,"&lt;&gt;Resolved")&gt;0,"Yes",""))</f>
        <v/>
      </c>
      <c r="AE21" s="46">
        <f t="shared" si="0"/>
        <v>1</v>
      </c>
      <c r="AF21" s="46">
        <f t="shared" si="1"/>
        <v>104983</v>
      </c>
      <c r="AG21" s="46">
        <f>IFERROR(MATCH(ROW()-4,Import_Index!$H$5:$H$304,0),"")</f>
        <v>148</v>
      </c>
    </row>
    <row r="22" spans="1:33" x14ac:dyDescent="0.3">
      <c r="A22" s="46" t="str">
        <f>IF($AG22="","",IFERROR(INDEX(Kobo_Import!$A$2:$CZ$301,$AG22,Field_Map!$B$13)&amp;"",""))</f>
        <v>HH-018</v>
      </c>
      <c r="B22" s="46" t="str">
        <f>IF($AG22="","",IF(IFERROR(INDEX(Kobo_Import!$A$2:$CZ$301,$AG22,Field_Map!$B$9)&amp;"","")="","",IFERROR(INDEX(Lists!$N$5:$N$19,MATCH(INDEX(Kobo_Import!$A$2:$CZ$301,$AG22,Field_Map!$B$9)&amp;"",Lists!$M$5:$M$19,0)),INDEX(Kobo_Import!$A$2:$CZ$301,$AG22,Field_Map!$B$9)&amp;"")))</f>
        <v>Site A – School Shelter</v>
      </c>
      <c r="C22" s="46" t="str">
        <f>IF($AG22="","",IF(IFERROR(INDEX(Kobo_Import!$A$2:$CZ$301,$AG22,Field_Map!$B$14)&amp;"","")="","",IFERROR(INDEX(Lists!$N$5:$N$19,MATCH(INDEX(Kobo_Import!$A$2:$CZ$301,$AG22,Field_Map!$B$14)&amp;"",Lists!$M$5:$M$19,0)),INDEX(Kobo_Import!$A$2:$CZ$301,$AG22,Field_Map!$B$14)&amp;"")))</f>
        <v>Classroom</v>
      </c>
      <c r="D22" s="46" t="str">
        <f>IF($AG22="","",IF(IFERROR(INDEX(Kobo_Import!$A$2:$CZ$301,$AG22,Field_Map!$B$15)&amp;"","")="","",IFERROR(INDEX(Lists!$N$5:$N$19,MATCH(INDEX(Kobo_Import!$A$2:$CZ$301,$AG22,Field_Map!$B$15)&amp;"",Lists!$M$5:$M$19,0)),INDEX(Kobo_Import!$A$2:$CZ$301,$AG22,Field_Map!$B$15)&amp;"")))</f>
        <v>Adequate</v>
      </c>
      <c r="E22" s="49">
        <f>IF($A22="","",IFERROR(INDEX(Import_Index!$D$5:$D$304,MATCH($A22&amp;"|registration",Import_Index!$I$5:$I$304,0)),F22))</f>
        <v>46027</v>
      </c>
      <c r="F22" s="49">
        <f>IF($AG22="","",INDEX(Import_Index!$D$5:$D$304,$AG22))</f>
        <v>46027</v>
      </c>
      <c r="G22" s="46">
        <f>IF($A22="","",COUNTIFS(Import_Index!$B$5:$B$304,$A22,Import_Index!$C$5:$C$304,"yes"))</f>
        <v>1</v>
      </c>
      <c r="H22" s="46">
        <f>IF($AG22="","",IFERROR(VALUE(INDEX(Kobo_Import!$A$2:$CZ$301,$AG22,Field_Map!$B$16)&amp;""),0))</f>
        <v>8</v>
      </c>
      <c r="I22" s="46" t="str">
        <f>IF($AG22="","",IF(IFERROR(INDEX(Kobo_Import!$A$2:$CZ$301,$AG22,Field_Map!$B$17)&amp;"","")="","",IFERROR(INDEX(Lists!$N$5:$N$19,MATCH(INDEX(Kobo_Import!$A$2:$CZ$301,$AG22,Field_Map!$B$17)&amp;"",Lists!$M$5:$M$19,0)),INDEX(Kobo_Import!$A$2:$CZ$301,$AG22,Field_Map!$B$17)&amp;"")))</f>
        <v>No</v>
      </c>
      <c r="J22" s="46">
        <f>IF($AG22="","",IFERROR(VALUE(INDEX(Kobo_Import!$A$2:$CZ$301,$AG22,Field_Map!$B$18)&amp;""),0))</f>
        <v>0</v>
      </c>
      <c r="K22" s="46">
        <f>IF($AG22="","",IFERROR(VALUE(INDEX(Kobo_Import!$A$2:$CZ$301,$AG22,Field_Map!$B$19)&amp;""),0))</f>
        <v>6</v>
      </c>
      <c r="L22" s="46">
        <f>IF($AG22="","",IFERROR(VALUE(INDEX(Kobo_Import!$A$2:$CZ$301,$AG22,Field_Map!$B$20)&amp;""),0))</f>
        <v>2</v>
      </c>
      <c r="M22" s="46">
        <f>IF($AG22="","",IFERROR(VALUE(INDEX(Kobo_Import!$A$2:$CZ$301,$AG22,Field_Map!$B$21)&amp;""),0))</f>
        <v>0</v>
      </c>
      <c r="N22" s="46">
        <f>IF($AG22="","",IFERROR(VALUE(INDEX(Kobo_Import!$A$2:$CZ$301,$AG22,Field_Map!$B$22)&amp;""),0))</f>
        <v>1</v>
      </c>
      <c r="O22" s="46">
        <f>IF($AG22="","",IFERROR(VALUE(INDEX(Kobo_Import!$A$2:$CZ$301,$AG22,Field_Map!$B$23)&amp;""),0))</f>
        <v>0</v>
      </c>
      <c r="P22" s="46">
        <f>IF($AG22="","",IFERROR(VALUE(INDEX(Kobo_Import!$A$2:$CZ$301,$AG22,Field_Map!$B$24)&amp;""),0))</f>
        <v>0</v>
      </c>
      <c r="Q22" s="46">
        <f>IF($AG22="","",IFERROR(VALUE(INDEX(Kobo_Import!$A$2:$CZ$301,$AG22,Field_Map!$B$25)&amp;""),0))</f>
        <v>8</v>
      </c>
      <c r="R22" s="46">
        <f>IF($AG22="","",IFERROR(VALUE(INDEX(Kobo_Import!$A$2:$CZ$301,$AG22,Field_Map!$B$26)&amp;""),0))</f>
        <v>0</v>
      </c>
      <c r="S22" s="46">
        <f>IF($AG22="","",IFERROR(VALUE(INDEX(Kobo_Import!$A$2:$CZ$301,$AG22,Field_Map!$B$27)&amp;""),0))</f>
        <v>5</v>
      </c>
      <c r="T22" s="46">
        <f>IF($AG22="","",IFERROR(VALUE(INDEX(Kobo_Import!$A$2:$CZ$301,$AG22,Field_Map!$B$28)&amp;""),0))</f>
        <v>2</v>
      </c>
      <c r="U22" s="46" t="str">
        <f>IF($AG22="","",IF(IFERROR(INDEX(Kobo_Import!$A$2:$CZ$301,$AG22,Field_Map!$B$29)&amp;"","")="","",IFERROR(INDEX(Lists!$N$5:$N$19,MATCH(INDEX(Kobo_Import!$A$2:$CZ$301,$AG22,Field_Map!$B$29)&amp;"",Lists!$M$5:$M$19,0)),INDEX(Kobo_Import!$A$2:$CZ$301,$AG22,Field_Map!$B$29)&amp;"")))</f>
        <v/>
      </c>
      <c r="V22" s="50">
        <f>IF($A22="","",Settings!$B$5-F22)</f>
        <v>26</v>
      </c>
      <c r="W22" s="46">
        <f>IF($A22="","",(J22&gt;0)*Settings!$B$22+(P22&gt;0)*Settings!$B$23+(M22&gt;0)*Settings!$B$24+(O22&gt;0)*Settings!$B$25+(I22="Yes")*Settings!$B$26+(D22="Unusable")*Settings!$B$27+(D22="Damaged")*Settings!$B$28+(H22&gt;=Settings!$B$30)*Settings!$B$29)</f>
        <v>0</v>
      </c>
      <c r="X22" s="46" t="str">
        <f>IF($A22="","",IF(W22&gt;=Settings!$B$31,"High",IF(W22&gt;=Settings!$B$32,"Medium","Low")))</f>
        <v>Low</v>
      </c>
      <c r="Y22" s="46" t="str">
        <f>IF($A22="","",IF(V22&gt;Settings!$B$21,"Yes",""))</f>
        <v/>
      </c>
      <c r="Z22" s="46">
        <f>IF($A22="","",COUNTIFS(Referrals!$B$5:$B$52,$A22,Referrals!$G$5:$G$52,"Referred")+COUNTIFS(Referrals!$B$5:$B$52,$A22,Referrals!$G$5:$G$52,"Acknowledged"))</f>
        <v>0</v>
      </c>
      <c r="AA22" s="46">
        <f>IF($A22="","",COUNTIFS(Referrals!$B$5:$B$52,$A22,Referrals!$K$5:$K$52,"Overdue"))</f>
        <v>0</v>
      </c>
      <c r="AB22" s="46" t="str">
        <f>IF($A22="","",IF(AND(J22&gt;0,U22="Yes"),IF(COUNTIFS(Referrals!$B$5:$B$52,$A22,Referrals!$D$5:$D$52,"Nutrition / IYCF")=0,"Referral needed","Referred"),""))</f>
        <v/>
      </c>
      <c r="AC22" s="46" t="str">
        <f>IF($A22="","",IF(N(Needs_Gaps!O22)&gt;0,"Yes",""))</f>
        <v/>
      </c>
      <c r="AD22" s="46" t="str">
        <f>IF($A22="","",IF(COUNTIFS(Maintenance_Log!$C$5:$C$40,$A22,Maintenance_Log!$H$5:$H$40,"&lt;&gt;Resolved")&gt;0,"Yes",""))</f>
        <v/>
      </c>
      <c r="AE22" s="46">
        <f t="shared" si="0"/>
        <v>0</v>
      </c>
      <c r="AF22" s="46">
        <f t="shared" si="1"/>
        <v>0</v>
      </c>
      <c r="AG22" s="46">
        <f>IFERROR(MATCH(ROW()-4,Import_Index!$H$5:$H$304,0),"")</f>
        <v>52</v>
      </c>
    </row>
    <row r="23" spans="1:33" x14ac:dyDescent="0.3">
      <c r="A23" s="46" t="str">
        <f>IF($AG23="","",IFERROR(INDEX(Kobo_Import!$A$2:$CZ$301,$AG23,Field_Map!$B$13)&amp;"",""))</f>
        <v>HH-019</v>
      </c>
      <c r="B23" s="46" t="str">
        <f>IF($AG23="","",IF(IFERROR(INDEX(Kobo_Import!$A$2:$CZ$301,$AG23,Field_Map!$B$9)&amp;"","")="","",IFERROR(INDEX(Lists!$N$5:$N$19,MATCH(INDEX(Kobo_Import!$A$2:$CZ$301,$AG23,Field_Map!$B$9)&amp;"",Lists!$M$5:$M$19,0)),INDEX(Kobo_Import!$A$2:$CZ$301,$AG23,Field_Map!$B$9)&amp;"")))</f>
        <v>Site A – School Shelter</v>
      </c>
      <c r="C23" s="46" t="str">
        <f>IF($AG23="","",IF(IFERROR(INDEX(Kobo_Import!$A$2:$CZ$301,$AG23,Field_Map!$B$14)&amp;"","")="","",IFERROR(INDEX(Lists!$N$5:$N$19,MATCH(INDEX(Kobo_Import!$A$2:$CZ$301,$AG23,Field_Map!$B$14)&amp;"",Lists!$M$5:$M$19,0)),INDEX(Kobo_Import!$A$2:$CZ$301,$AG23,Field_Map!$B$14)&amp;"")))</f>
        <v>Classroom</v>
      </c>
      <c r="D23" s="46" t="str">
        <f>IF($AG23="","",IF(IFERROR(INDEX(Kobo_Import!$A$2:$CZ$301,$AG23,Field_Map!$B$15)&amp;"","")="","",IFERROR(INDEX(Lists!$N$5:$N$19,MATCH(INDEX(Kobo_Import!$A$2:$CZ$301,$AG23,Field_Map!$B$15)&amp;"",Lists!$M$5:$M$19,0)),INDEX(Kobo_Import!$A$2:$CZ$301,$AG23,Field_Map!$B$15)&amp;"")))</f>
        <v>Adequate</v>
      </c>
      <c r="E23" s="49">
        <f>IF($A23="","",IFERROR(INDEX(Import_Index!$D$5:$D$304,MATCH($A23&amp;"|registration",Import_Index!$I$5:$I$304,0)),F23))</f>
        <v>46033</v>
      </c>
      <c r="F23" s="49">
        <f>IF($AG23="","",INDEX(Import_Index!$D$5:$D$304,$AG23))</f>
        <v>46033</v>
      </c>
      <c r="G23" s="46">
        <f>IF($A23="","",COUNTIFS(Import_Index!$B$5:$B$304,$A23,Import_Index!$C$5:$C$304,"yes"))</f>
        <v>1</v>
      </c>
      <c r="H23" s="46">
        <f>IF($AG23="","",IFERROR(VALUE(INDEX(Kobo_Import!$A$2:$CZ$301,$AG23,Field_Map!$B$16)&amp;""),0))</f>
        <v>6</v>
      </c>
      <c r="I23" s="46" t="str">
        <f>IF($AG23="","",IF(IFERROR(INDEX(Kobo_Import!$A$2:$CZ$301,$AG23,Field_Map!$B$17)&amp;"","")="","",IFERROR(INDEX(Lists!$N$5:$N$19,MATCH(INDEX(Kobo_Import!$A$2:$CZ$301,$AG23,Field_Map!$B$17)&amp;"",Lists!$M$5:$M$19,0)),INDEX(Kobo_Import!$A$2:$CZ$301,$AG23,Field_Map!$B$17)&amp;"")))</f>
        <v>No</v>
      </c>
      <c r="J23" s="46">
        <f>IF($AG23="","",IFERROR(VALUE(INDEX(Kobo_Import!$A$2:$CZ$301,$AG23,Field_Map!$B$18)&amp;""),0))</f>
        <v>1</v>
      </c>
      <c r="K23" s="46">
        <f>IF($AG23="","",IFERROR(VALUE(INDEX(Kobo_Import!$A$2:$CZ$301,$AG23,Field_Map!$B$19)&amp;""),0))</f>
        <v>3</v>
      </c>
      <c r="L23" s="46">
        <f>IF($AG23="","",IFERROR(VALUE(INDEX(Kobo_Import!$A$2:$CZ$301,$AG23,Field_Map!$B$20)&amp;""),0))</f>
        <v>2</v>
      </c>
      <c r="M23" s="46">
        <f>IF($AG23="","",IFERROR(VALUE(INDEX(Kobo_Import!$A$2:$CZ$301,$AG23,Field_Map!$B$21)&amp;""),0))</f>
        <v>0</v>
      </c>
      <c r="N23" s="46">
        <f>IF($AG23="","",IFERROR(VALUE(INDEX(Kobo_Import!$A$2:$CZ$301,$AG23,Field_Map!$B$22)&amp;""),0))</f>
        <v>1</v>
      </c>
      <c r="O23" s="46">
        <f>IF($AG23="","",IFERROR(VALUE(INDEX(Kobo_Import!$A$2:$CZ$301,$AG23,Field_Map!$B$23)&amp;""),0))</f>
        <v>1</v>
      </c>
      <c r="P23" s="46">
        <f>IF($AG23="","",IFERROR(VALUE(INDEX(Kobo_Import!$A$2:$CZ$301,$AG23,Field_Map!$B$24)&amp;""),0))</f>
        <v>1</v>
      </c>
      <c r="Q23" s="46">
        <f>IF($AG23="","",IFERROR(VALUE(INDEX(Kobo_Import!$A$2:$CZ$301,$AG23,Field_Map!$B$25)&amp;""),0))</f>
        <v>5</v>
      </c>
      <c r="R23" s="46">
        <f>IF($AG23="","",IFERROR(VALUE(INDEX(Kobo_Import!$A$2:$CZ$301,$AG23,Field_Map!$B$26)&amp;""),0))</f>
        <v>0</v>
      </c>
      <c r="S23" s="46">
        <f>IF($AG23="","",IFERROR(VALUE(INDEX(Kobo_Import!$A$2:$CZ$301,$AG23,Field_Map!$B$27)&amp;""),0))</f>
        <v>4</v>
      </c>
      <c r="T23" s="46">
        <f>IF($AG23="","",IFERROR(VALUE(INDEX(Kobo_Import!$A$2:$CZ$301,$AG23,Field_Map!$B$28)&amp;""),0))</f>
        <v>1</v>
      </c>
      <c r="U23" s="46" t="str">
        <f>IF($AG23="","",IF(IFERROR(INDEX(Kobo_Import!$A$2:$CZ$301,$AG23,Field_Map!$B$29)&amp;"","")="","",IFERROR(INDEX(Lists!$N$5:$N$19,MATCH(INDEX(Kobo_Import!$A$2:$CZ$301,$AG23,Field_Map!$B$29)&amp;"",Lists!$M$5:$M$19,0)),INDEX(Kobo_Import!$A$2:$CZ$301,$AG23,Field_Map!$B$29)&amp;"")))</f>
        <v>No</v>
      </c>
      <c r="V23" s="50">
        <f>IF($A23="","",Settings!$B$5-F23)</f>
        <v>20</v>
      </c>
      <c r="W23" s="46">
        <f>IF($A23="","",(J23&gt;0)*Settings!$B$22+(P23&gt;0)*Settings!$B$23+(M23&gt;0)*Settings!$B$24+(O23&gt;0)*Settings!$B$25+(I23="Yes")*Settings!$B$26+(D23="Unusable")*Settings!$B$27+(D23="Damaged")*Settings!$B$28+(H23&gt;=Settings!$B$30)*Settings!$B$29)</f>
        <v>5</v>
      </c>
      <c r="X23" s="46" t="str">
        <f>IF($A23="","",IF(W23&gt;=Settings!$B$31,"High",IF(W23&gt;=Settings!$B$32,"Medium","Low")))</f>
        <v>High</v>
      </c>
      <c r="Y23" s="46" t="str">
        <f>IF($A23="","",IF(V23&gt;Settings!$B$21,"Yes",""))</f>
        <v/>
      </c>
      <c r="Z23" s="46">
        <f>IF($A23="","",COUNTIFS(Referrals!$B$5:$B$52,$A23,Referrals!$G$5:$G$52,"Referred")+COUNTIFS(Referrals!$B$5:$B$52,$A23,Referrals!$G$5:$G$52,"Acknowledged"))</f>
        <v>1</v>
      </c>
      <c r="AA23" s="46">
        <f>IF($A23="","",COUNTIFS(Referrals!$B$5:$B$52,$A23,Referrals!$K$5:$K$52,"Overdue"))</f>
        <v>0</v>
      </c>
      <c r="AB23" s="46" t="str">
        <f>IF($A23="","",IF(AND(J23&gt;0,U23="Yes"),IF(COUNTIFS(Referrals!$B$5:$B$52,$A23,Referrals!$D$5:$D$52,"Nutrition / IYCF")=0,"Referral needed","Referred"),""))</f>
        <v/>
      </c>
      <c r="AC23" s="46" t="str">
        <f>IF($A23="","",IF(N(Needs_Gaps!O23)&gt;0,"Yes",""))</f>
        <v/>
      </c>
      <c r="AD23" s="46" t="str">
        <f>IF($A23="","",IF(COUNTIFS(Maintenance_Log!$C$5:$C$40,$A23,Maintenance_Log!$H$5:$H$40,"&lt;&gt;Resolved")&gt;0,"Yes",""))</f>
        <v/>
      </c>
      <c r="AE23" s="46">
        <f t="shared" si="0"/>
        <v>0</v>
      </c>
      <c r="AF23" s="46">
        <f t="shared" si="1"/>
        <v>0</v>
      </c>
      <c r="AG23" s="46">
        <f>IFERROR(MATCH(ROW()-4,Import_Index!$H$5:$H$304,0),"")</f>
        <v>70</v>
      </c>
    </row>
    <row r="24" spans="1:33" x14ac:dyDescent="0.3">
      <c r="A24" s="46" t="str">
        <f>IF($AG24="","",IFERROR(INDEX(Kobo_Import!$A$2:$CZ$301,$AG24,Field_Map!$B$13)&amp;"",""))</f>
        <v>HH-020</v>
      </c>
      <c r="B24" s="46" t="str">
        <f>IF($AG24="","",IF(IFERROR(INDEX(Kobo_Import!$A$2:$CZ$301,$AG24,Field_Map!$B$9)&amp;"","")="","",IFERROR(INDEX(Lists!$N$5:$N$19,MATCH(INDEX(Kobo_Import!$A$2:$CZ$301,$AG24,Field_Map!$B$9)&amp;"",Lists!$M$5:$M$19,0)),INDEX(Kobo_Import!$A$2:$CZ$301,$AG24,Field_Map!$B$9)&amp;"")))</f>
        <v>Site A – School Shelter</v>
      </c>
      <c r="C24" s="46" t="str">
        <f>IF($AG24="","",IF(IFERROR(INDEX(Kobo_Import!$A$2:$CZ$301,$AG24,Field_Map!$B$14)&amp;"","")="","",IFERROR(INDEX(Lists!$N$5:$N$19,MATCH(INDEX(Kobo_Import!$A$2:$CZ$301,$AG24,Field_Map!$B$14)&amp;"",Lists!$M$5:$M$19,0)),INDEX(Kobo_Import!$A$2:$CZ$301,$AG24,Field_Map!$B$14)&amp;"")))</f>
        <v>Classroom</v>
      </c>
      <c r="D24" s="46" t="str">
        <f>IF($AG24="","",IF(IFERROR(INDEX(Kobo_Import!$A$2:$CZ$301,$AG24,Field_Map!$B$15)&amp;"","")="","",IFERROR(INDEX(Lists!$N$5:$N$19,MATCH(INDEX(Kobo_Import!$A$2:$CZ$301,$AG24,Field_Map!$B$15)&amp;"",Lists!$M$5:$M$19,0)),INDEX(Kobo_Import!$A$2:$CZ$301,$AG24,Field_Map!$B$15)&amp;"")))</f>
        <v>Adequate</v>
      </c>
      <c r="E24" s="49">
        <f>IF($A24="","",IFERROR(INDEX(Import_Index!$D$5:$D$304,MATCH($A24&amp;"|registration",Import_Index!$I$5:$I$304,0)),F24))</f>
        <v>46012</v>
      </c>
      <c r="F24" s="49">
        <f>IF($AG24="","",INDEX(Import_Index!$D$5:$D$304,$AG24))</f>
        <v>46012</v>
      </c>
      <c r="G24" s="46">
        <f>IF($A24="","",COUNTIFS(Import_Index!$B$5:$B$304,$A24,Import_Index!$C$5:$C$304,"yes"))</f>
        <v>1</v>
      </c>
      <c r="H24" s="46">
        <f>IF($AG24="","",IFERROR(VALUE(INDEX(Kobo_Import!$A$2:$CZ$301,$AG24,Field_Map!$B$16)&amp;""),0))</f>
        <v>6</v>
      </c>
      <c r="I24" s="46" t="str">
        <f>IF($AG24="","",IF(IFERROR(INDEX(Kobo_Import!$A$2:$CZ$301,$AG24,Field_Map!$B$17)&amp;"","")="","",IFERROR(INDEX(Lists!$N$5:$N$19,MATCH(INDEX(Kobo_Import!$A$2:$CZ$301,$AG24,Field_Map!$B$17)&amp;"",Lists!$M$5:$M$19,0)),INDEX(Kobo_Import!$A$2:$CZ$301,$AG24,Field_Map!$B$17)&amp;"")))</f>
        <v>No</v>
      </c>
      <c r="J24" s="46">
        <f>IF($AG24="","",IFERROR(VALUE(INDEX(Kobo_Import!$A$2:$CZ$301,$AG24,Field_Map!$B$18)&amp;""),0))</f>
        <v>2</v>
      </c>
      <c r="K24" s="46">
        <f>IF($AG24="","",IFERROR(VALUE(INDEX(Kobo_Import!$A$2:$CZ$301,$AG24,Field_Map!$B$19)&amp;""),0))</f>
        <v>2</v>
      </c>
      <c r="L24" s="46">
        <f>IF($AG24="","",IFERROR(VALUE(INDEX(Kobo_Import!$A$2:$CZ$301,$AG24,Field_Map!$B$20)&amp;""),0))</f>
        <v>2</v>
      </c>
      <c r="M24" s="46">
        <f>IF($AG24="","",IFERROR(VALUE(INDEX(Kobo_Import!$A$2:$CZ$301,$AG24,Field_Map!$B$21)&amp;""),0))</f>
        <v>0</v>
      </c>
      <c r="N24" s="46">
        <f>IF($AG24="","",IFERROR(VALUE(INDEX(Kobo_Import!$A$2:$CZ$301,$AG24,Field_Map!$B$22)&amp;""),0))</f>
        <v>1</v>
      </c>
      <c r="O24" s="46">
        <f>IF($AG24="","",IFERROR(VALUE(INDEX(Kobo_Import!$A$2:$CZ$301,$AG24,Field_Map!$B$23)&amp;""),0))</f>
        <v>1</v>
      </c>
      <c r="P24" s="46">
        <f>IF($AG24="","",IFERROR(VALUE(INDEX(Kobo_Import!$A$2:$CZ$301,$AG24,Field_Map!$B$24)&amp;""),0))</f>
        <v>1</v>
      </c>
      <c r="Q24" s="46">
        <f>IF($AG24="","",IFERROR(VALUE(INDEX(Kobo_Import!$A$2:$CZ$301,$AG24,Field_Map!$B$25)&amp;""),0))</f>
        <v>5</v>
      </c>
      <c r="R24" s="46">
        <f>IF($AG24="","",IFERROR(VALUE(INDEX(Kobo_Import!$A$2:$CZ$301,$AG24,Field_Map!$B$26)&amp;""),0))</f>
        <v>6</v>
      </c>
      <c r="S24" s="46">
        <f>IF($AG24="","",IFERROR(VALUE(INDEX(Kobo_Import!$A$2:$CZ$301,$AG24,Field_Map!$B$27)&amp;""),0))</f>
        <v>1</v>
      </c>
      <c r="T24" s="46">
        <f>IF($AG24="","",IFERROR(VALUE(INDEX(Kobo_Import!$A$2:$CZ$301,$AG24,Field_Map!$B$28)&amp;""),0))</f>
        <v>0</v>
      </c>
      <c r="U24" s="46" t="str">
        <f>IF($AG24="","",IF(IFERROR(INDEX(Kobo_Import!$A$2:$CZ$301,$AG24,Field_Map!$B$29)&amp;"","")="","",IFERROR(INDEX(Lists!$N$5:$N$19,MATCH(INDEX(Kobo_Import!$A$2:$CZ$301,$AG24,Field_Map!$B$29)&amp;"",Lists!$M$5:$M$19,0)),INDEX(Kobo_Import!$A$2:$CZ$301,$AG24,Field_Map!$B$29)&amp;"")))</f>
        <v>No</v>
      </c>
      <c r="V24" s="50">
        <f>IF($A24="","",Settings!$B$5-F24)</f>
        <v>41</v>
      </c>
      <c r="W24" s="46">
        <f>IF($A24="","",(J24&gt;0)*Settings!$B$22+(P24&gt;0)*Settings!$B$23+(M24&gt;0)*Settings!$B$24+(O24&gt;0)*Settings!$B$25+(I24="Yes")*Settings!$B$26+(D24="Unusable")*Settings!$B$27+(D24="Damaged")*Settings!$B$28+(H24&gt;=Settings!$B$30)*Settings!$B$29)</f>
        <v>5</v>
      </c>
      <c r="X24" s="46" t="str">
        <f>IF($A24="","",IF(W24&gt;=Settings!$B$31,"High",IF(W24&gt;=Settings!$B$32,"Medium","Low")))</f>
        <v>High</v>
      </c>
      <c r="Y24" s="46" t="str">
        <f>IF($A24="","",IF(V24&gt;Settings!$B$21,"Yes",""))</f>
        <v>Yes</v>
      </c>
      <c r="Z24" s="46">
        <f>IF($A24="","",COUNTIFS(Referrals!$B$5:$B$52,$A24,Referrals!$G$5:$G$52,"Referred")+COUNTIFS(Referrals!$B$5:$B$52,$A24,Referrals!$G$5:$G$52,"Acknowledged"))</f>
        <v>0</v>
      </c>
      <c r="AA24" s="46">
        <f>IF($A24="","",COUNTIFS(Referrals!$B$5:$B$52,$A24,Referrals!$K$5:$K$52,"Overdue"))</f>
        <v>0</v>
      </c>
      <c r="AB24" s="46" t="str">
        <f>IF($A24="","",IF(AND(J24&gt;0,U24="Yes"),IF(COUNTIFS(Referrals!$B$5:$B$52,$A24,Referrals!$D$5:$D$52,"Nutrition / IYCF")=0,"Referral needed","Referred"),""))</f>
        <v/>
      </c>
      <c r="AC24" s="46" t="str">
        <f>IF($A24="","",IF(N(Needs_Gaps!O24)&gt;0,"Yes",""))</f>
        <v/>
      </c>
      <c r="AD24" s="46" t="str">
        <f>IF($A24="","",IF(COUNTIFS(Maintenance_Log!$C$5:$C$40,$A24,Maintenance_Log!$H$5:$H$40,"&lt;&gt;Resolved")&gt;0,"Yes",""))</f>
        <v/>
      </c>
      <c r="AE24" s="46">
        <f t="shared" si="0"/>
        <v>1</v>
      </c>
      <c r="AF24" s="46">
        <f t="shared" si="1"/>
        <v>105980</v>
      </c>
      <c r="AG24" s="46">
        <f>IFERROR(MATCH(ROW()-4,Import_Index!$H$5:$H$304,0),"")</f>
        <v>16</v>
      </c>
    </row>
    <row r="25" spans="1:33" x14ac:dyDescent="0.3">
      <c r="A25" s="46" t="str">
        <f>IF($AG25="","",IFERROR(INDEX(Kobo_Import!$A$2:$CZ$301,$AG25,Field_Map!$B$13)&amp;"",""))</f>
        <v>HH-021</v>
      </c>
      <c r="B25" s="46" t="str">
        <f>IF($AG25="","",IF(IFERROR(INDEX(Kobo_Import!$A$2:$CZ$301,$AG25,Field_Map!$B$9)&amp;"","")="","",IFERROR(INDEX(Lists!$N$5:$N$19,MATCH(INDEX(Kobo_Import!$A$2:$CZ$301,$AG25,Field_Map!$B$9)&amp;"",Lists!$M$5:$M$19,0)),INDEX(Kobo_Import!$A$2:$CZ$301,$AG25,Field_Map!$B$9)&amp;"")))</f>
        <v>Site A – School Shelter</v>
      </c>
      <c r="C25" s="46" t="str">
        <f>IF($AG25="","",IF(IFERROR(INDEX(Kobo_Import!$A$2:$CZ$301,$AG25,Field_Map!$B$14)&amp;"","")="","",IFERROR(INDEX(Lists!$N$5:$N$19,MATCH(INDEX(Kobo_Import!$A$2:$CZ$301,$AG25,Field_Map!$B$14)&amp;"",Lists!$M$5:$M$19,0)),INDEX(Kobo_Import!$A$2:$CZ$301,$AG25,Field_Map!$B$14)&amp;"")))</f>
        <v>Classroom</v>
      </c>
      <c r="D25" s="46" t="str">
        <f>IF($AG25="","",IF(IFERROR(INDEX(Kobo_Import!$A$2:$CZ$301,$AG25,Field_Map!$B$15)&amp;"","")="","",IFERROR(INDEX(Lists!$N$5:$N$19,MATCH(INDEX(Kobo_Import!$A$2:$CZ$301,$AG25,Field_Map!$B$15)&amp;"",Lists!$M$5:$M$19,0)),INDEX(Kobo_Import!$A$2:$CZ$301,$AG25,Field_Map!$B$15)&amp;"")))</f>
        <v>Damaged</v>
      </c>
      <c r="E25" s="49">
        <f>IF($A25="","",IFERROR(INDEX(Import_Index!$D$5:$D$304,MATCH($A25&amp;"|registration",Import_Index!$I$5:$I$304,0)),F25))</f>
        <v>46035</v>
      </c>
      <c r="F25" s="49">
        <f>IF($AG25="","",INDEX(Import_Index!$D$5:$D$304,$AG25))</f>
        <v>46035</v>
      </c>
      <c r="G25" s="46">
        <f>IF($A25="","",COUNTIFS(Import_Index!$B$5:$B$304,$A25,Import_Index!$C$5:$C$304,"yes"))</f>
        <v>1</v>
      </c>
      <c r="H25" s="46">
        <f>IF($AG25="","",IFERROR(VALUE(INDEX(Kobo_Import!$A$2:$CZ$301,$AG25,Field_Map!$B$16)&amp;""),0))</f>
        <v>8</v>
      </c>
      <c r="I25" s="46" t="str">
        <f>IF($AG25="","",IF(IFERROR(INDEX(Kobo_Import!$A$2:$CZ$301,$AG25,Field_Map!$B$17)&amp;"","")="","",IFERROR(INDEX(Lists!$N$5:$N$19,MATCH(INDEX(Kobo_Import!$A$2:$CZ$301,$AG25,Field_Map!$B$17)&amp;"",Lists!$M$5:$M$19,0)),INDEX(Kobo_Import!$A$2:$CZ$301,$AG25,Field_Map!$B$17)&amp;"")))</f>
        <v>No</v>
      </c>
      <c r="J25" s="46">
        <f>IF($AG25="","",IFERROR(VALUE(INDEX(Kobo_Import!$A$2:$CZ$301,$AG25,Field_Map!$B$18)&amp;""),0))</f>
        <v>0</v>
      </c>
      <c r="K25" s="46">
        <f>IF($AG25="","",IFERROR(VALUE(INDEX(Kobo_Import!$A$2:$CZ$301,$AG25,Field_Map!$B$19)&amp;""),0))</f>
        <v>6</v>
      </c>
      <c r="L25" s="46">
        <f>IF($AG25="","",IFERROR(VALUE(INDEX(Kobo_Import!$A$2:$CZ$301,$AG25,Field_Map!$B$20)&amp;""),0))</f>
        <v>2</v>
      </c>
      <c r="M25" s="46">
        <f>IF($AG25="","",IFERROR(VALUE(INDEX(Kobo_Import!$A$2:$CZ$301,$AG25,Field_Map!$B$21)&amp;""),0))</f>
        <v>0</v>
      </c>
      <c r="N25" s="46">
        <f>IF($AG25="","",IFERROR(VALUE(INDEX(Kobo_Import!$A$2:$CZ$301,$AG25,Field_Map!$B$22)&amp;""),0))</f>
        <v>1</v>
      </c>
      <c r="O25" s="46">
        <f>IF($AG25="","",IFERROR(VALUE(INDEX(Kobo_Import!$A$2:$CZ$301,$AG25,Field_Map!$B$23)&amp;""),0))</f>
        <v>0</v>
      </c>
      <c r="P25" s="46">
        <f>IF($AG25="","",IFERROR(VALUE(INDEX(Kobo_Import!$A$2:$CZ$301,$AG25,Field_Map!$B$24)&amp;""),0))</f>
        <v>0</v>
      </c>
      <c r="Q25" s="46">
        <f>IF($AG25="","",IFERROR(VALUE(INDEX(Kobo_Import!$A$2:$CZ$301,$AG25,Field_Map!$B$25)&amp;""),0))</f>
        <v>6</v>
      </c>
      <c r="R25" s="46">
        <f>IF($AG25="","",IFERROR(VALUE(INDEX(Kobo_Import!$A$2:$CZ$301,$AG25,Field_Map!$B$26)&amp;""),0))</f>
        <v>3</v>
      </c>
      <c r="S25" s="46">
        <f>IF($AG25="","",IFERROR(VALUE(INDEX(Kobo_Import!$A$2:$CZ$301,$AG25,Field_Map!$B$27)&amp;""),0))</f>
        <v>6</v>
      </c>
      <c r="T25" s="46">
        <f>IF($AG25="","",IFERROR(VALUE(INDEX(Kobo_Import!$A$2:$CZ$301,$AG25,Field_Map!$B$28)&amp;""),0))</f>
        <v>1</v>
      </c>
      <c r="U25" s="46" t="str">
        <f>IF($AG25="","",IF(IFERROR(INDEX(Kobo_Import!$A$2:$CZ$301,$AG25,Field_Map!$B$29)&amp;"","")="","",IFERROR(INDEX(Lists!$N$5:$N$19,MATCH(INDEX(Kobo_Import!$A$2:$CZ$301,$AG25,Field_Map!$B$29)&amp;"",Lists!$M$5:$M$19,0)),INDEX(Kobo_Import!$A$2:$CZ$301,$AG25,Field_Map!$B$29)&amp;"")))</f>
        <v/>
      </c>
      <c r="V25" s="50">
        <f>IF($A25="","",Settings!$B$5-F25)</f>
        <v>18</v>
      </c>
      <c r="W25" s="46">
        <f>IF($A25="","",(J25&gt;0)*Settings!$B$22+(P25&gt;0)*Settings!$B$23+(M25&gt;0)*Settings!$B$24+(O25&gt;0)*Settings!$B$25+(I25="Yes")*Settings!$B$26+(D25="Unusable")*Settings!$B$27+(D25="Damaged")*Settings!$B$28+(H25&gt;=Settings!$B$30)*Settings!$B$29)</f>
        <v>1</v>
      </c>
      <c r="X25" s="46" t="str">
        <f>IF($A25="","",IF(W25&gt;=Settings!$B$31,"High",IF(W25&gt;=Settings!$B$32,"Medium","Low")))</f>
        <v>Low</v>
      </c>
      <c r="Y25" s="46" t="str">
        <f>IF($A25="","",IF(V25&gt;Settings!$B$21,"Yes",""))</f>
        <v/>
      </c>
      <c r="Z25" s="46">
        <f>IF($A25="","",COUNTIFS(Referrals!$B$5:$B$52,$A25,Referrals!$G$5:$G$52,"Referred")+COUNTIFS(Referrals!$B$5:$B$52,$A25,Referrals!$G$5:$G$52,"Acknowledged"))</f>
        <v>0</v>
      </c>
      <c r="AA25" s="46">
        <f>IF($A25="","",COUNTIFS(Referrals!$B$5:$B$52,$A25,Referrals!$K$5:$K$52,"Overdue"))</f>
        <v>0</v>
      </c>
      <c r="AB25" s="46" t="str">
        <f>IF($A25="","",IF(AND(J25&gt;0,U25="Yes"),IF(COUNTIFS(Referrals!$B$5:$B$52,$A25,Referrals!$D$5:$D$52,"Nutrition / IYCF")=0,"Referral needed","Referred"),""))</f>
        <v/>
      </c>
      <c r="AC25" s="46" t="str">
        <f>IF($A25="","",IF(N(Needs_Gaps!O25)&gt;0,"Yes",""))</f>
        <v/>
      </c>
      <c r="AD25" s="46" t="str">
        <f>IF($A25="","",IF(COUNTIFS(Maintenance_Log!$C$5:$C$40,$A25,Maintenance_Log!$H$5:$H$40,"&lt;&gt;Resolved")&gt;0,"Yes",""))</f>
        <v/>
      </c>
      <c r="AE25" s="46">
        <f t="shared" si="0"/>
        <v>0</v>
      </c>
      <c r="AF25" s="46">
        <f t="shared" si="1"/>
        <v>0</v>
      </c>
      <c r="AG25" s="46">
        <f>IFERROR(MATCH(ROW()-4,Import_Index!$H$5:$H$304,0),"")</f>
        <v>79</v>
      </c>
    </row>
    <row r="26" spans="1:33" x14ac:dyDescent="0.3">
      <c r="A26" s="46" t="str">
        <f>IF($AG26="","",IFERROR(INDEX(Kobo_Import!$A$2:$CZ$301,$AG26,Field_Map!$B$13)&amp;"",""))</f>
        <v>HH-022</v>
      </c>
      <c r="B26" s="46" t="str">
        <f>IF($AG26="","",IF(IFERROR(INDEX(Kobo_Import!$A$2:$CZ$301,$AG26,Field_Map!$B$9)&amp;"","")="","",IFERROR(INDEX(Lists!$N$5:$N$19,MATCH(INDEX(Kobo_Import!$A$2:$CZ$301,$AG26,Field_Map!$B$9)&amp;"",Lists!$M$5:$M$19,0)),INDEX(Kobo_Import!$A$2:$CZ$301,$AG26,Field_Map!$B$9)&amp;"")))</f>
        <v>Site A – School Shelter</v>
      </c>
      <c r="C26" s="46" t="str">
        <f>IF($AG26="","",IF(IFERROR(INDEX(Kobo_Import!$A$2:$CZ$301,$AG26,Field_Map!$B$14)&amp;"","")="","",IFERROR(INDEX(Lists!$N$5:$N$19,MATCH(INDEX(Kobo_Import!$A$2:$CZ$301,$AG26,Field_Map!$B$14)&amp;"",Lists!$M$5:$M$19,0)),INDEX(Kobo_Import!$A$2:$CZ$301,$AG26,Field_Map!$B$14)&amp;"")))</f>
        <v>Classroom</v>
      </c>
      <c r="D26" s="46" t="str">
        <f>IF($AG26="","",IF(IFERROR(INDEX(Kobo_Import!$A$2:$CZ$301,$AG26,Field_Map!$B$15)&amp;"","")="","",IFERROR(INDEX(Lists!$N$5:$N$19,MATCH(INDEX(Kobo_Import!$A$2:$CZ$301,$AG26,Field_Map!$B$15)&amp;"",Lists!$M$5:$M$19,0)),INDEX(Kobo_Import!$A$2:$CZ$301,$AG26,Field_Map!$B$15)&amp;"")))</f>
        <v>Adequate</v>
      </c>
      <c r="E26" s="49">
        <f>IF($A26="","",IFERROR(INDEX(Import_Index!$D$5:$D$304,MATCH($A26&amp;"|registration",Import_Index!$I$5:$I$304,0)),F26))</f>
        <v>46044</v>
      </c>
      <c r="F26" s="49">
        <f>IF($AG26="","",INDEX(Import_Index!$D$5:$D$304,$AG26))</f>
        <v>46044</v>
      </c>
      <c r="G26" s="46">
        <f>IF($A26="","",COUNTIFS(Import_Index!$B$5:$B$304,$A26,Import_Index!$C$5:$C$304,"yes"))</f>
        <v>1</v>
      </c>
      <c r="H26" s="46">
        <f>IF($AG26="","",IFERROR(VALUE(INDEX(Kobo_Import!$A$2:$CZ$301,$AG26,Field_Map!$B$16)&amp;""),0))</f>
        <v>5</v>
      </c>
      <c r="I26" s="46" t="str">
        <f>IF($AG26="","",IF(IFERROR(INDEX(Kobo_Import!$A$2:$CZ$301,$AG26,Field_Map!$B$17)&amp;"","")="","",IFERROR(INDEX(Lists!$N$5:$N$19,MATCH(INDEX(Kobo_Import!$A$2:$CZ$301,$AG26,Field_Map!$B$17)&amp;"",Lists!$M$5:$M$19,0)),INDEX(Kobo_Import!$A$2:$CZ$301,$AG26,Field_Map!$B$17)&amp;"")))</f>
        <v>No</v>
      </c>
      <c r="J26" s="46">
        <f>IF($AG26="","",IFERROR(VALUE(INDEX(Kobo_Import!$A$2:$CZ$301,$AG26,Field_Map!$B$18)&amp;""),0))</f>
        <v>0</v>
      </c>
      <c r="K26" s="46">
        <f>IF($AG26="","",IFERROR(VALUE(INDEX(Kobo_Import!$A$2:$CZ$301,$AG26,Field_Map!$B$19)&amp;""),0))</f>
        <v>3</v>
      </c>
      <c r="L26" s="46">
        <f>IF($AG26="","",IFERROR(VALUE(INDEX(Kobo_Import!$A$2:$CZ$301,$AG26,Field_Map!$B$20)&amp;""),0))</f>
        <v>2</v>
      </c>
      <c r="M26" s="46">
        <f>IF($AG26="","",IFERROR(VALUE(INDEX(Kobo_Import!$A$2:$CZ$301,$AG26,Field_Map!$B$21)&amp;""),0))</f>
        <v>0</v>
      </c>
      <c r="N26" s="46">
        <f>IF($AG26="","",IFERROR(VALUE(INDEX(Kobo_Import!$A$2:$CZ$301,$AG26,Field_Map!$B$22)&amp;""),0))</f>
        <v>1</v>
      </c>
      <c r="O26" s="46">
        <f>IF($AG26="","",IFERROR(VALUE(INDEX(Kobo_Import!$A$2:$CZ$301,$AG26,Field_Map!$B$23)&amp;""),0))</f>
        <v>1</v>
      </c>
      <c r="P26" s="46">
        <f>IF($AG26="","",IFERROR(VALUE(INDEX(Kobo_Import!$A$2:$CZ$301,$AG26,Field_Map!$B$24)&amp;""),0))</f>
        <v>0</v>
      </c>
      <c r="Q26" s="46">
        <f>IF($AG26="","",IFERROR(VALUE(INDEX(Kobo_Import!$A$2:$CZ$301,$AG26,Field_Map!$B$25)&amp;""),0))</f>
        <v>8</v>
      </c>
      <c r="R26" s="46">
        <f>IF($AG26="","",IFERROR(VALUE(INDEX(Kobo_Import!$A$2:$CZ$301,$AG26,Field_Map!$B$26)&amp;""),0))</f>
        <v>2</v>
      </c>
      <c r="S26" s="46">
        <f>IF($AG26="","",IFERROR(VALUE(INDEX(Kobo_Import!$A$2:$CZ$301,$AG26,Field_Map!$B$27)&amp;""),0))</f>
        <v>0</v>
      </c>
      <c r="T26" s="46">
        <f>IF($AG26="","",IFERROR(VALUE(INDEX(Kobo_Import!$A$2:$CZ$301,$AG26,Field_Map!$B$28)&amp;""),0))</f>
        <v>2</v>
      </c>
      <c r="U26" s="46" t="str">
        <f>IF($AG26="","",IF(IFERROR(INDEX(Kobo_Import!$A$2:$CZ$301,$AG26,Field_Map!$B$29)&amp;"","")="","",IFERROR(INDEX(Lists!$N$5:$N$19,MATCH(INDEX(Kobo_Import!$A$2:$CZ$301,$AG26,Field_Map!$B$29)&amp;"",Lists!$M$5:$M$19,0)),INDEX(Kobo_Import!$A$2:$CZ$301,$AG26,Field_Map!$B$29)&amp;"")))</f>
        <v/>
      </c>
      <c r="V26" s="50">
        <f>IF($A26="","",Settings!$B$5-F26)</f>
        <v>9</v>
      </c>
      <c r="W26" s="46">
        <f>IF($A26="","",(J26&gt;0)*Settings!$B$22+(P26&gt;0)*Settings!$B$23+(M26&gt;0)*Settings!$B$24+(O26&gt;0)*Settings!$B$25+(I26="Yes")*Settings!$B$26+(D26="Unusable")*Settings!$B$27+(D26="Damaged")*Settings!$B$28+(H26&gt;=Settings!$B$30)*Settings!$B$29)</f>
        <v>1</v>
      </c>
      <c r="X26" s="46" t="str">
        <f>IF($A26="","",IF(W26&gt;=Settings!$B$31,"High",IF(W26&gt;=Settings!$B$32,"Medium","Low")))</f>
        <v>Low</v>
      </c>
      <c r="Y26" s="46" t="str">
        <f>IF($A26="","",IF(V26&gt;Settings!$B$21,"Yes",""))</f>
        <v/>
      </c>
      <c r="Z26" s="46">
        <f>IF($A26="","",COUNTIFS(Referrals!$B$5:$B$52,$A26,Referrals!$G$5:$G$52,"Referred")+COUNTIFS(Referrals!$B$5:$B$52,$A26,Referrals!$G$5:$G$52,"Acknowledged"))</f>
        <v>0</v>
      </c>
      <c r="AA26" s="46">
        <f>IF($A26="","",COUNTIFS(Referrals!$B$5:$B$52,$A26,Referrals!$K$5:$K$52,"Overdue"))</f>
        <v>0</v>
      </c>
      <c r="AB26" s="46" t="str">
        <f>IF($A26="","",IF(AND(J26&gt;0,U26="Yes"),IF(COUNTIFS(Referrals!$B$5:$B$52,$A26,Referrals!$D$5:$D$52,"Nutrition / IYCF")=0,"Referral needed","Referred"),""))</f>
        <v/>
      </c>
      <c r="AC26" s="46" t="str">
        <f>IF($A26="","",IF(N(Needs_Gaps!O26)&gt;0,"Yes",""))</f>
        <v/>
      </c>
      <c r="AD26" s="46" t="str">
        <f>IF($A26="","",IF(COUNTIFS(Maintenance_Log!$C$5:$C$40,$A26,Maintenance_Log!$H$5:$H$40,"&lt;&gt;Resolved")&gt;0,"Yes",""))</f>
        <v/>
      </c>
      <c r="AE26" s="46">
        <f t="shared" si="0"/>
        <v>0</v>
      </c>
      <c r="AF26" s="46">
        <f t="shared" si="1"/>
        <v>0</v>
      </c>
      <c r="AG26" s="46">
        <f>IFERROR(MATCH(ROW()-4,Import_Index!$H$5:$H$304,0),"")</f>
        <v>117</v>
      </c>
    </row>
    <row r="27" spans="1:33" x14ac:dyDescent="0.3">
      <c r="A27" s="46" t="str">
        <f>IF($AG27="","",IFERROR(INDEX(Kobo_Import!$A$2:$CZ$301,$AG27,Field_Map!$B$13)&amp;"",""))</f>
        <v>HH-023</v>
      </c>
      <c r="B27" s="46" t="str">
        <f>IF($AG27="","",IF(IFERROR(INDEX(Kobo_Import!$A$2:$CZ$301,$AG27,Field_Map!$B$9)&amp;"","")="","",IFERROR(INDEX(Lists!$N$5:$N$19,MATCH(INDEX(Kobo_Import!$A$2:$CZ$301,$AG27,Field_Map!$B$9)&amp;"",Lists!$M$5:$M$19,0)),INDEX(Kobo_Import!$A$2:$CZ$301,$AG27,Field_Map!$B$9)&amp;"")))</f>
        <v>Site A – School Shelter</v>
      </c>
      <c r="C27" s="46" t="str">
        <f>IF($AG27="","",IF(IFERROR(INDEX(Kobo_Import!$A$2:$CZ$301,$AG27,Field_Map!$B$14)&amp;"","")="","",IFERROR(INDEX(Lists!$N$5:$N$19,MATCH(INDEX(Kobo_Import!$A$2:$CZ$301,$AG27,Field_Map!$B$14)&amp;"",Lists!$M$5:$M$19,0)),INDEX(Kobo_Import!$A$2:$CZ$301,$AG27,Field_Map!$B$14)&amp;"")))</f>
        <v>Classroom</v>
      </c>
      <c r="D27" s="46" t="str">
        <f>IF($AG27="","",IF(IFERROR(INDEX(Kobo_Import!$A$2:$CZ$301,$AG27,Field_Map!$B$15)&amp;"","")="","",IFERROR(INDEX(Lists!$N$5:$N$19,MATCH(INDEX(Kobo_Import!$A$2:$CZ$301,$AG27,Field_Map!$B$15)&amp;"",Lists!$M$5:$M$19,0)),INDEX(Kobo_Import!$A$2:$CZ$301,$AG27,Field_Map!$B$15)&amp;"")))</f>
        <v>Adequate</v>
      </c>
      <c r="E27" s="49">
        <f>IF($A27="","",IFERROR(INDEX(Import_Index!$D$5:$D$304,MATCH($A27&amp;"|registration",Import_Index!$I$5:$I$304,0)),F27))</f>
        <v>46034</v>
      </c>
      <c r="F27" s="49">
        <f>IF($AG27="","",INDEX(Import_Index!$D$5:$D$304,$AG27))</f>
        <v>46034</v>
      </c>
      <c r="G27" s="46">
        <f>IF($A27="","",COUNTIFS(Import_Index!$B$5:$B$304,$A27,Import_Index!$C$5:$C$304,"yes"))</f>
        <v>1</v>
      </c>
      <c r="H27" s="46">
        <f>IF($AG27="","",IFERROR(VALUE(INDEX(Kobo_Import!$A$2:$CZ$301,$AG27,Field_Map!$B$16)&amp;""),0))</f>
        <v>5</v>
      </c>
      <c r="I27" s="46" t="str">
        <f>IF($AG27="","",IF(IFERROR(INDEX(Kobo_Import!$A$2:$CZ$301,$AG27,Field_Map!$B$17)&amp;"","")="","",IFERROR(INDEX(Lists!$N$5:$N$19,MATCH(INDEX(Kobo_Import!$A$2:$CZ$301,$AG27,Field_Map!$B$17)&amp;"",Lists!$M$5:$M$19,0)),INDEX(Kobo_Import!$A$2:$CZ$301,$AG27,Field_Map!$B$17)&amp;"")))</f>
        <v>Yes</v>
      </c>
      <c r="J27" s="46">
        <f>IF($AG27="","",IFERROR(VALUE(INDEX(Kobo_Import!$A$2:$CZ$301,$AG27,Field_Map!$B$18)&amp;""),0))</f>
        <v>0</v>
      </c>
      <c r="K27" s="46">
        <f>IF($AG27="","",IFERROR(VALUE(INDEX(Kobo_Import!$A$2:$CZ$301,$AG27,Field_Map!$B$19)&amp;""),0))</f>
        <v>3</v>
      </c>
      <c r="L27" s="46">
        <f>IF($AG27="","",IFERROR(VALUE(INDEX(Kobo_Import!$A$2:$CZ$301,$AG27,Field_Map!$B$20)&amp;""),0))</f>
        <v>2</v>
      </c>
      <c r="M27" s="46">
        <f>IF($AG27="","",IFERROR(VALUE(INDEX(Kobo_Import!$A$2:$CZ$301,$AG27,Field_Map!$B$21)&amp;""),0))</f>
        <v>0</v>
      </c>
      <c r="N27" s="46">
        <f>IF($AG27="","",IFERROR(VALUE(INDEX(Kobo_Import!$A$2:$CZ$301,$AG27,Field_Map!$B$22)&amp;""),0))</f>
        <v>3</v>
      </c>
      <c r="O27" s="46">
        <f>IF($AG27="","",IFERROR(VALUE(INDEX(Kobo_Import!$A$2:$CZ$301,$AG27,Field_Map!$B$23)&amp;""),0))</f>
        <v>1</v>
      </c>
      <c r="P27" s="46">
        <f>IF($AG27="","",IFERROR(VALUE(INDEX(Kobo_Import!$A$2:$CZ$301,$AG27,Field_Map!$B$24)&amp;""),0))</f>
        <v>0</v>
      </c>
      <c r="Q27" s="46">
        <f>IF($AG27="","",IFERROR(VALUE(INDEX(Kobo_Import!$A$2:$CZ$301,$AG27,Field_Map!$B$25)&amp;""),0))</f>
        <v>6</v>
      </c>
      <c r="R27" s="46">
        <f>IF($AG27="","",IFERROR(VALUE(INDEX(Kobo_Import!$A$2:$CZ$301,$AG27,Field_Map!$B$26)&amp;""),0))</f>
        <v>0</v>
      </c>
      <c r="S27" s="46">
        <f>IF($AG27="","",IFERROR(VALUE(INDEX(Kobo_Import!$A$2:$CZ$301,$AG27,Field_Map!$B$27)&amp;""),0))</f>
        <v>2</v>
      </c>
      <c r="T27" s="46">
        <f>IF($AG27="","",IFERROR(VALUE(INDEX(Kobo_Import!$A$2:$CZ$301,$AG27,Field_Map!$B$28)&amp;""),0))</f>
        <v>0</v>
      </c>
      <c r="U27" s="46" t="str">
        <f>IF($AG27="","",IF(IFERROR(INDEX(Kobo_Import!$A$2:$CZ$301,$AG27,Field_Map!$B$29)&amp;"","")="","",IFERROR(INDEX(Lists!$N$5:$N$19,MATCH(INDEX(Kobo_Import!$A$2:$CZ$301,$AG27,Field_Map!$B$29)&amp;"",Lists!$M$5:$M$19,0)),INDEX(Kobo_Import!$A$2:$CZ$301,$AG27,Field_Map!$B$29)&amp;"")))</f>
        <v/>
      </c>
      <c r="V27" s="50">
        <f>IF($A27="","",Settings!$B$5-F27)</f>
        <v>19</v>
      </c>
      <c r="W27" s="46">
        <f>IF($A27="","",(J27&gt;0)*Settings!$B$22+(P27&gt;0)*Settings!$B$23+(M27&gt;0)*Settings!$B$24+(O27&gt;0)*Settings!$B$25+(I27="Yes")*Settings!$B$26+(D27="Unusable")*Settings!$B$27+(D27="Damaged")*Settings!$B$28+(H27&gt;=Settings!$B$30)*Settings!$B$29)</f>
        <v>2</v>
      </c>
      <c r="X27" s="46" t="str">
        <f>IF($A27="","",IF(W27&gt;=Settings!$B$31,"High",IF(W27&gt;=Settings!$B$32,"Medium","Low")))</f>
        <v>Low</v>
      </c>
      <c r="Y27" s="46" t="str">
        <f>IF($A27="","",IF(V27&gt;Settings!$B$21,"Yes",""))</f>
        <v/>
      </c>
      <c r="Z27" s="46">
        <f>IF($A27="","",COUNTIFS(Referrals!$B$5:$B$52,$A27,Referrals!$G$5:$G$52,"Referred")+COUNTIFS(Referrals!$B$5:$B$52,$A27,Referrals!$G$5:$G$52,"Acknowledged"))</f>
        <v>0</v>
      </c>
      <c r="AA27" s="46">
        <f>IF($A27="","",COUNTIFS(Referrals!$B$5:$B$52,$A27,Referrals!$K$5:$K$52,"Overdue"))</f>
        <v>0</v>
      </c>
      <c r="AB27" s="46" t="str">
        <f>IF($A27="","",IF(AND(J27&gt;0,U27="Yes"),IF(COUNTIFS(Referrals!$B$5:$B$52,$A27,Referrals!$D$5:$D$52,"Nutrition / IYCF")=0,"Referral needed","Referred"),""))</f>
        <v/>
      </c>
      <c r="AC27" s="46" t="str">
        <f>IF($A27="","",IF(N(Needs_Gaps!O27)&gt;0,"Yes",""))</f>
        <v/>
      </c>
      <c r="AD27" s="46" t="str">
        <f>IF($A27="","",IF(COUNTIFS(Maintenance_Log!$C$5:$C$40,$A27,Maintenance_Log!$H$5:$H$40,"&lt;&gt;Resolved")&gt;0,"Yes",""))</f>
        <v/>
      </c>
      <c r="AE27" s="46">
        <f t="shared" si="0"/>
        <v>0</v>
      </c>
      <c r="AF27" s="46">
        <f t="shared" si="1"/>
        <v>0</v>
      </c>
      <c r="AG27" s="46">
        <f>IFERROR(MATCH(ROW()-4,Import_Index!$H$5:$H$304,0),"")</f>
        <v>75</v>
      </c>
    </row>
    <row r="28" spans="1:33" x14ac:dyDescent="0.3">
      <c r="A28" s="46" t="str">
        <f>IF($AG28="","",IFERROR(INDEX(Kobo_Import!$A$2:$CZ$301,$AG28,Field_Map!$B$13)&amp;"",""))</f>
        <v>HH-024</v>
      </c>
      <c r="B28" s="46" t="str">
        <f>IF($AG28="","",IF(IFERROR(INDEX(Kobo_Import!$A$2:$CZ$301,$AG28,Field_Map!$B$9)&amp;"","")="","",IFERROR(INDEX(Lists!$N$5:$N$19,MATCH(INDEX(Kobo_Import!$A$2:$CZ$301,$AG28,Field_Map!$B$9)&amp;"",Lists!$M$5:$M$19,0)),INDEX(Kobo_Import!$A$2:$CZ$301,$AG28,Field_Map!$B$9)&amp;"")))</f>
        <v>Site A – School Shelter</v>
      </c>
      <c r="C28" s="46" t="str">
        <f>IF($AG28="","",IF(IFERROR(INDEX(Kobo_Import!$A$2:$CZ$301,$AG28,Field_Map!$B$14)&amp;"","")="","",IFERROR(INDEX(Lists!$N$5:$N$19,MATCH(INDEX(Kobo_Import!$A$2:$CZ$301,$AG28,Field_Map!$B$14)&amp;"",Lists!$M$5:$M$19,0)),INDEX(Kobo_Import!$A$2:$CZ$301,$AG28,Field_Map!$B$14)&amp;"")))</f>
        <v>Classroom</v>
      </c>
      <c r="D28" s="46" t="str">
        <f>IF($AG28="","",IF(IFERROR(INDEX(Kobo_Import!$A$2:$CZ$301,$AG28,Field_Map!$B$15)&amp;"","")="","",IFERROR(INDEX(Lists!$N$5:$N$19,MATCH(INDEX(Kobo_Import!$A$2:$CZ$301,$AG28,Field_Map!$B$15)&amp;"",Lists!$M$5:$M$19,0)),INDEX(Kobo_Import!$A$2:$CZ$301,$AG28,Field_Map!$B$15)&amp;"")))</f>
        <v>Damaged</v>
      </c>
      <c r="E28" s="49">
        <f>IF($A28="","",IFERROR(INDEX(Import_Index!$D$5:$D$304,MATCH($A28&amp;"|registration",Import_Index!$I$5:$I$304,0)),F28))</f>
        <v>46017</v>
      </c>
      <c r="F28" s="49">
        <f>IF($AG28="","",INDEX(Import_Index!$D$5:$D$304,$AG28))</f>
        <v>46017</v>
      </c>
      <c r="G28" s="46">
        <f>IF($A28="","",COUNTIFS(Import_Index!$B$5:$B$304,$A28,Import_Index!$C$5:$C$304,"yes"))</f>
        <v>1</v>
      </c>
      <c r="H28" s="46">
        <f>IF($AG28="","",IFERROR(VALUE(INDEX(Kobo_Import!$A$2:$CZ$301,$AG28,Field_Map!$B$16)&amp;""),0))</f>
        <v>3</v>
      </c>
      <c r="I28" s="46" t="str">
        <f>IF($AG28="","",IF(IFERROR(INDEX(Kobo_Import!$A$2:$CZ$301,$AG28,Field_Map!$B$17)&amp;"","")="","",IFERROR(INDEX(Lists!$N$5:$N$19,MATCH(INDEX(Kobo_Import!$A$2:$CZ$301,$AG28,Field_Map!$B$17)&amp;"",Lists!$M$5:$M$19,0)),INDEX(Kobo_Import!$A$2:$CZ$301,$AG28,Field_Map!$B$17)&amp;"")))</f>
        <v>No</v>
      </c>
      <c r="J28" s="46">
        <f>IF($AG28="","",IFERROR(VALUE(INDEX(Kobo_Import!$A$2:$CZ$301,$AG28,Field_Map!$B$18)&amp;""),0))</f>
        <v>0</v>
      </c>
      <c r="K28" s="46">
        <f>IF($AG28="","",IFERROR(VALUE(INDEX(Kobo_Import!$A$2:$CZ$301,$AG28,Field_Map!$B$19)&amp;""),0))</f>
        <v>0</v>
      </c>
      <c r="L28" s="46">
        <f>IF($AG28="","",IFERROR(VALUE(INDEX(Kobo_Import!$A$2:$CZ$301,$AG28,Field_Map!$B$20)&amp;""),0))</f>
        <v>3</v>
      </c>
      <c r="M28" s="46">
        <f>IF($AG28="","",IFERROR(VALUE(INDEX(Kobo_Import!$A$2:$CZ$301,$AG28,Field_Map!$B$21)&amp;""),0))</f>
        <v>0</v>
      </c>
      <c r="N28" s="46">
        <f>IF($AG28="","",IFERROR(VALUE(INDEX(Kobo_Import!$A$2:$CZ$301,$AG28,Field_Map!$B$22)&amp;""),0))</f>
        <v>2</v>
      </c>
      <c r="O28" s="46">
        <f>IF($AG28="","",IFERROR(VALUE(INDEX(Kobo_Import!$A$2:$CZ$301,$AG28,Field_Map!$B$23)&amp;""),0))</f>
        <v>0</v>
      </c>
      <c r="P28" s="46">
        <f>IF($AG28="","",IFERROR(VALUE(INDEX(Kobo_Import!$A$2:$CZ$301,$AG28,Field_Map!$B$24)&amp;""),0))</f>
        <v>0</v>
      </c>
      <c r="Q28" s="46">
        <f>IF($AG28="","",IFERROR(VALUE(INDEX(Kobo_Import!$A$2:$CZ$301,$AG28,Field_Map!$B$25)&amp;""),0))</f>
        <v>0</v>
      </c>
      <c r="R28" s="46">
        <f>IF($AG28="","",IFERROR(VALUE(INDEX(Kobo_Import!$A$2:$CZ$301,$AG28,Field_Map!$B$26)&amp;""),0))</f>
        <v>3</v>
      </c>
      <c r="S28" s="46">
        <f>IF($AG28="","",IFERROR(VALUE(INDEX(Kobo_Import!$A$2:$CZ$301,$AG28,Field_Map!$B$27)&amp;""),0))</f>
        <v>0</v>
      </c>
      <c r="T28" s="46">
        <f>IF($AG28="","",IFERROR(VALUE(INDEX(Kobo_Import!$A$2:$CZ$301,$AG28,Field_Map!$B$28)&amp;""),0))</f>
        <v>0</v>
      </c>
      <c r="U28" s="46" t="str">
        <f>IF($AG28="","",IF(IFERROR(INDEX(Kobo_Import!$A$2:$CZ$301,$AG28,Field_Map!$B$29)&amp;"","")="","",IFERROR(INDEX(Lists!$N$5:$N$19,MATCH(INDEX(Kobo_Import!$A$2:$CZ$301,$AG28,Field_Map!$B$29)&amp;"",Lists!$M$5:$M$19,0)),INDEX(Kobo_Import!$A$2:$CZ$301,$AG28,Field_Map!$B$29)&amp;"")))</f>
        <v/>
      </c>
      <c r="V28" s="50">
        <f>IF($A28="","",Settings!$B$5-F28)</f>
        <v>36</v>
      </c>
      <c r="W28" s="46">
        <f>IF($A28="","",(J28&gt;0)*Settings!$B$22+(P28&gt;0)*Settings!$B$23+(M28&gt;0)*Settings!$B$24+(O28&gt;0)*Settings!$B$25+(I28="Yes")*Settings!$B$26+(D28="Unusable")*Settings!$B$27+(D28="Damaged")*Settings!$B$28+(H28&gt;=Settings!$B$30)*Settings!$B$29)</f>
        <v>1</v>
      </c>
      <c r="X28" s="46" t="str">
        <f>IF($A28="","",IF(W28&gt;=Settings!$B$31,"High",IF(W28&gt;=Settings!$B$32,"Medium","Low")))</f>
        <v>Low</v>
      </c>
      <c r="Y28" s="46" t="str">
        <f>IF($A28="","",IF(V28&gt;Settings!$B$21,"Yes",""))</f>
        <v>Yes</v>
      </c>
      <c r="Z28" s="46">
        <f>IF($A28="","",COUNTIFS(Referrals!$B$5:$B$52,$A28,Referrals!$G$5:$G$52,"Referred")+COUNTIFS(Referrals!$B$5:$B$52,$A28,Referrals!$G$5:$G$52,"Acknowledged"))</f>
        <v>0</v>
      </c>
      <c r="AA28" s="46">
        <f>IF($A28="","",COUNTIFS(Referrals!$B$5:$B$52,$A28,Referrals!$K$5:$K$52,"Overdue"))</f>
        <v>0</v>
      </c>
      <c r="AB28" s="46" t="str">
        <f>IF($A28="","",IF(AND(J28&gt;0,U28="Yes"),IF(COUNTIFS(Referrals!$B$5:$B$52,$A28,Referrals!$D$5:$D$52,"Nutrition / IYCF")=0,"Referral needed","Referred"),""))</f>
        <v/>
      </c>
      <c r="AC28" s="46" t="str">
        <f>IF($A28="","",IF(N(Needs_Gaps!O28)&gt;0,"Yes",""))</f>
        <v/>
      </c>
      <c r="AD28" s="46" t="str">
        <f>IF($A28="","",IF(COUNTIFS(Maintenance_Log!$C$5:$C$40,$A28,Maintenance_Log!$H$5:$H$40,"&lt;&gt;Resolved")&gt;0,"Yes",""))</f>
        <v/>
      </c>
      <c r="AE28" s="46">
        <f t="shared" si="0"/>
        <v>1</v>
      </c>
      <c r="AF28" s="46">
        <f t="shared" si="1"/>
        <v>101976</v>
      </c>
      <c r="AG28" s="46">
        <f>IFERROR(MATCH(ROW()-4,Import_Index!$H$5:$H$304,0),"")</f>
        <v>30</v>
      </c>
    </row>
    <row r="29" spans="1:33" x14ac:dyDescent="0.3">
      <c r="A29" s="46" t="str">
        <f>IF($AG29="","",IFERROR(INDEX(Kobo_Import!$A$2:$CZ$301,$AG29,Field_Map!$B$13)&amp;"",""))</f>
        <v>HH-025</v>
      </c>
      <c r="B29" s="46" t="str">
        <f>IF($AG29="","",IF(IFERROR(INDEX(Kobo_Import!$A$2:$CZ$301,$AG29,Field_Map!$B$9)&amp;"","")="","",IFERROR(INDEX(Lists!$N$5:$N$19,MATCH(INDEX(Kobo_Import!$A$2:$CZ$301,$AG29,Field_Map!$B$9)&amp;"",Lists!$M$5:$M$19,0)),INDEX(Kobo_Import!$A$2:$CZ$301,$AG29,Field_Map!$B$9)&amp;"")))</f>
        <v>Site A – School Shelter</v>
      </c>
      <c r="C29" s="46" t="str">
        <f>IF($AG29="","",IF(IFERROR(INDEX(Kobo_Import!$A$2:$CZ$301,$AG29,Field_Map!$B$14)&amp;"","")="","",IFERROR(INDEX(Lists!$N$5:$N$19,MATCH(INDEX(Kobo_Import!$A$2:$CZ$301,$AG29,Field_Map!$B$14)&amp;"",Lists!$M$5:$M$19,0)),INDEX(Kobo_Import!$A$2:$CZ$301,$AG29,Field_Map!$B$14)&amp;"")))</f>
        <v>Classroom</v>
      </c>
      <c r="D29" s="46" t="str">
        <f>IF($AG29="","",IF(IFERROR(INDEX(Kobo_Import!$A$2:$CZ$301,$AG29,Field_Map!$B$15)&amp;"","")="","",IFERROR(INDEX(Lists!$N$5:$N$19,MATCH(INDEX(Kobo_Import!$A$2:$CZ$301,$AG29,Field_Map!$B$15)&amp;"",Lists!$M$5:$M$19,0)),INDEX(Kobo_Import!$A$2:$CZ$301,$AG29,Field_Map!$B$15)&amp;"")))</f>
        <v>Adequate</v>
      </c>
      <c r="E29" s="49">
        <f>IF($A29="","",IFERROR(INDEX(Import_Index!$D$5:$D$304,MATCH($A29&amp;"|registration",Import_Index!$I$5:$I$304,0)),F29))</f>
        <v>46016</v>
      </c>
      <c r="F29" s="49">
        <f>IF($AG29="","",INDEX(Import_Index!$D$5:$D$304,$AG29))</f>
        <v>46016</v>
      </c>
      <c r="G29" s="46">
        <f>IF($A29="","",COUNTIFS(Import_Index!$B$5:$B$304,$A29,Import_Index!$C$5:$C$304,"yes"))</f>
        <v>1</v>
      </c>
      <c r="H29" s="46">
        <f>IF($AG29="","",IFERROR(VALUE(INDEX(Kobo_Import!$A$2:$CZ$301,$AG29,Field_Map!$B$16)&amp;""),0))</f>
        <v>5</v>
      </c>
      <c r="I29" s="46" t="str">
        <f>IF($AG29="","",IF(IFERROR(INDEX(Kobo_Import!$A$2:$CZ$301,$AG29,Field_Map!$B$17)&amp;"","")="","",IFERROR(INDEX(Lists!$N$5:$N$19,MATCH(INDEX(Kobo_Import!$A$2:$CZ$301,$AG29,Field_Map!$B$17)&amp;"",Lists!$M$5:$M$19,0)),INDEX(Kobo_Import!$A$2:$CZ$301,$AG29,Field_Map!$B$17)&amp;"")))</f>
        <v>No</v>
      </c>
      <c r="J29" s="46">
        <f>IF($AG29="","",IFERROR(VALUE(INDEX(Kobo_Import!$A$2:$CZ$301,$AG29,Field_Map!$B$18)&amp;""),0))</f>
        <v>1</v>
      </c>
      <c r="K29" s="46">
        <f>IF($AG29="","",IFERROR(VALUE(INDEX(Kobo_Import!$A$2:$CZ$301,$AG29,Field_Map!$B$19)&amp;""),0))</f>
        <v>0</v>
      </c>
      <c r="L29" s="46">
        <f>IF($AG29="","",IFERROR(VALUE(INDEX(Kobo_Import!$A$2:$CZ$301,$AG29,Field_Map!$B$20)&amp;""),0))</f>
        <v>2</v>
      </c>
      <c r="M29" s="46">
        <f>IF($AG29="","",IFERROR(VALUE(INDEX(Kobo_Import!$A$2:$CZ$301,$AG29,Field_Map!$B$21)&amp;""),0))</f>
        <v>2</v>
      </c>
      <c r="N29" s="46">
        <f>IF($AG29="","",IFERROR(VALUE(INDEX(Kobo_Import!$A$2:$CZ$301,$AG29,Field_Map!$B$22)&amp;""),0))</f>
        <v>1</v>
      </c>
      <c r="O29" s="46">
        <f>IF($AG29="","",IFERROR(VALUE(INDEX(Kobo_Import!$A$2:$CZ$301,$AG29,Field_Map!$B$23)&amp;""),0))</f>
        <v>1</v>
      </c>
      <c r="P29" s="46">
        <f>IF($AG29="","",IFERROR(VALUE(INDEX(Kobo_Import!$A$2:$CZ$301,$AG29,Field_Map!$B$24)&amp;""),0))</f>
        <v>0</v>
      </c>
      <c r="Q29" s="46">
        <f>IF($AG29="","",IFERROR(VALUE(INDEX(Kobo_Import!$A$2:$CZ$301,$AG29,Field_Map!$B$25)&amp;""),0))</f>
        <v>1</v>
      </c>
      <c r="R29" s="46">
        <f>IF($AG29="","",IFERROR(VALUE(INDEX(Kobo_Import!$A$2:$CZ$301,$AG29,Field_Map!$B$26)&amp;""),0))</f>
        <v>1</v>
      </c>
      <c r="S29" s="46">
        <f>IF($AG29="","",IFERROR(VALUE(INDEX(Kobo_Import!$A$2:$CZ$301,$AG29,Field_Map!$B$27)&amp;""),0))</f>
        <v>1</v>
      </c>
      <c r="T29" s="46">
        <f>IF($AG29="","",IFERROR(VALUE(INDEX(Kobo_Import!$A$2:$CZ$301,$AG29,Field_Map!$B$28)&amp;""),0))</f>
        <v>0</v>
      </c>
      <c r="U29" s="46" t="str">
        <f>IF($AG29="","",IF(IFERROR(INDEX(Kobo_Import!$A$2:$CZ$301,$AG29,Field_Map!$B$29)&amp;"","")="","",IFERROR(INDEX(Lists!$N$5:$N$19,MATCH(INDEX(Kobo_Import!$A$2:$CZ$301,$AG29,Field_Map!$B$29)&amp;"",Lists!$M$5:$M$19,0)),INDEX(Kobo_Import!$A$2:$CZ$301,$AG29,Field_Map!$B$29)&amp;"")))</f>
        <v>No</v>
      </c>
      <c r="V29" s="50">
        <f>IF($A29="","",Settings!$B$5-F29)</f>
        <v>37</v>
      </c>
      <c r="W29" s="46">
        <f>IF($A29="","",(J29&gt;0)*Settings!$B$22+(P29&gt;0)*Settings!$B$23+(M29&gt;0)*Settings!$B$24+(O29&gt;0)*Settings!$B$25+(I29="Yes")*Settings!$B$26+(D29="Unusable")*Settings!$B$27+(D29="Damaged")*Settings!$B$28+(H29&gt;=Settings!$B$30)*Settings!$B$29)</f>
        <v>4</v>
      </c>
      <c r="X29" s="46" t="str">
        <f>IF($A29="","",IF(W29&gt;=Settings!$B$31,"High",IF(W29&gt;=Settings!$B$32,"Medium","Low")))</f>
        <v>Medium</v>
      </c>
      <c r="Y29" s="46" t="str">
        <f>IF($A29="","",IF(V29&gt;Settings!$B$21,"Yes",""))</f>
        <v>Yes</v>
      </c>
      <c r="Z29" s="46">
        <f>IF($A29="","",COUNTIFS(Referrals!$B$5:$B$52,$A29,Referrals!$G$5:$G$52,"Referred")+COUNTIFS(Referrals!$B$5:$B$52,$A29,Referrals!$G$5:$G$52,"Acknowledged"))</f>
        <v>0</v>
      </c>
      <c r="AA29" s="46">
        <f>IF($A29="","",COUNTIFS(Referrals!$B$5:$B$52,$A29,Referrals!$K$5:$K$52,"Overdue"))</f>
        <v>0</v>
      </c>
      <c r="AB29" s="46" t="str">
        <f>IF($A29="","",IF(AND(J29&gt;0,U29="Yes"),IF(COUNTIFS(Referrals!$B$5:$B$52,$A29,Referrals!$D$5:$D$52,"Nutrition / IYCF")=0,"Referral needed","Referred"),""))</f>
        <v/>
      </c>
      <c r="AC29" s="46" t="str">
        <f>IF($A29="","",IF(N(Needs_Gaps!O29)&gt;0,"Yes",""))</f>
        <v/>
      </c>
      <c r="AD29" s="46" t="str">
        <f>IF($A29="","",IF(COUNTIFS(Maintenance_Log!$C$5:$C$40,$A29,Maintenance_Log!$H$5:$H$40,"&lt;&gt;Resolved")&gt;0,"Yes",""))</f>
        <v/>
      </c>
      <c r="AE29" s="46">
        <f t="shared" si="0"/>
        <v>1</v>
      </c>
      <c r="AF29" s="46">
        <f t="shared" si="1"/>
        <v>104975</v>
      </c>
      <c r="AG29" s="46">
        <f>IFERROR(MATCH(ROW()-4,Import_Index!$H$5:$H$304,0),"")</f>
        <v>25</v>
      </c>
    </row>
    <row r="30" spans="1:33" x14ac:dyDescent="0.3">
      <c r="A30" s="46" t="str">
        <f>IF($AG30="","",IFERROR(INDEX(Kobo_Import!$A$2:$CZ$301,$AG30,Field_Map!$B$13)&amp;"",""))</f>
        <v>HH-026</v>
      </c>
      <c r="B30" s="46" t="str">
        <f>IF($AG30="","",IF(IFERROR(INDEX(Kobo_Import!$A$2:$CZ$301,$AG30,Field_Map!$B$9)&amp;"","")="","",IFERROR(INDEX(Lists!$N$5:$N$19,MATCH(INDEX(Kobo_Import!$A$2:$CZ$301,$AG30,Field_Map!$B$9)&amp;"",Lists!$M$5:$M$19,0)),INDEX(Kobo_Import!$A$2:$CZ$301,$AG30,Field_Map!$B$9)&amp;"")))</f>
        <v>Site A – School Shelter</v>
      </c>
      <c r="C30" s="46" t="str">
        <f>IF($AG30="","",IF(IFERROR(INDEX(Kobo_Import!$A$2:$CZ$301,$AG30,Field_Map!$B$14)&amp;"","")="","",IFERROR(INDEX(Lists!$N$5:$N$19,MATCH(INDEX(Kobo_Import!$A$2:$CZ$301,$AG30,Field_Map!$B$14)&amp;"",Lists!$M$5:$M$19,0)),INDEX(Kobo_Import!$A$2:$CZ$301,$AG30,Field_Map!$B$14)&amp;"")))</f>
        <v>Classroom</v>
      </c>
      <c r="D30" s="46" t="str">
        <f>IF($AG30="","",IF(IFERROR(INDEX(Kobo_Import!$A$2:$CZ$301,$AG30,Field_Map!$B$15)&amp;"","")="","",IFERROR(INDEX(Lists!$N$5:$N$19,MATCH(INDEX(Kobo_Import!$A$2:$CZ$301,$AG30,Field_Map!$B$15)&amp;"",Lists!$M$5:$M$19,0)),INDEX(Kobo_Import!$A$2:$CZ$301,$AG30,Field_Map!$B$15)&amp;"")))</f>
        <v>Adequate</v>
      </c>
      <c r="E30" s="49">
        <f>IF($A30="","",IFERROR(INDEX(Import_Index!$D$5:$D$304,MATCH($A30&amp;"|registration",Import_Index!$I$5:$I$304,0)),F30))</f>
        <v>46048</v>
      </c>
      <c r="F30" s="49">
        <f>IF($AG30="","",INDEX(Import_Index!$D$5:$D$304,$AG30))</f>
        <v>46048</v>
      </c>
      <c r="G30" s="46">
        <f>IF($A30="","",COUNTIFS(Import_Index!$B$5:$B$304,$A30,Import_Index!$C$5:$C$304,"yes"))</f>
        <v>1</v>
      </c>
      <c r="H30" s="46">
        <f>IF($AG30="","",IFERROR(VALUE(INDEX(Kobo_Import!$A$2:$CZ$301,$AG30,Field_Map!$B$16)&amp;""),0))</f>
        <v>5</v>
      </c>
      <c r="I30" s="46" t="str">
        <f>IF($AG30="","",IF(IFERROR(INDEX(Kobo_Import!$A$2:$CZ$301,$AG30,Field_Map!$B$17)&amp;"","")="","",IFERROR(INDEX(Lists!$N$5:$N$19,MATCH(INDEX(Kobo_Import!$A$2:$CZ$301,$AG30,Field_Map!$B$17)&amp;"",Lists!$M$5:$M$19,0)),INDEX(Kobo_Import!$A$2:$CZ$301,$AG30,Field_Map!$B$17)&amp;"")))</f>
        <v>No</v>
      </c>
      <c r="J30" s="46">
        <f>IF($AG30="","",IFERROR(VALUE(INDEX(Kobo_Import!$A$2:$CZ$301,$AG30,Field_Map!$B$18)&amp;""),0))</f>
        <v>1</v>
      </c>
      <c r="K30" s="46">
        <f>IF($AG30="","",IFERROR(VALUE(INDEX(Kobo_Import!$A$2:$CZ$301,$AG30,Field_Map!$B$19)&amp;""),0))</f>
        <v>3</v>
      </c>
      <c r="L30" s="46">
        <f>IF($AG30="","",IFERROR(VALUE(INDEX(Kobo_Import!$A$2:$CZ$301,$AG30,Field_Map!$B$20)&amp;""),0))</f>
        <v>1</v>
      </c>
      <c r="M30" s="46">
        <f>IF($AG30="","",IFERROR(VALUE(INDEX(Kobo_Import!$A$2:$CZ$301,$AG30,Field_Map!$B$21)&amp;""),0))</f>
        <v>0</v>
      </c>
      <c r="N30" s="46">
        <f>IF($AG30="","",IFERROR(VALUE(INDEX(Kobo_Import!$A$2:$CZ$301,$AG30,Field_Map!$B$22)&amp;""),0))</f>
        <v>1</v>
      </c>
      <c r="O30" s="46">
        <f>IF($AG30="","",IFERROR(VALUE(INDEX(Kobo_Import!$A$2:$CZ$301,$AG30,Field_Map!$B$23)&amp;""),0))</f>
        <v>1</v>
      </c>
      <c r="P30" s="46">
        <f>IF($AG30="","",IFERROR(VALUE(INDEX(Kobo_Import!$A$2:$CZ$301,$AG30,Field_Map!$B$24)&amp;""),0))</f>
        <v>0</v>
      </c>
      <c r="Q30" s="46">
        <f>IF($AG30="","",IFERROR(VALUE(INDEX(Kobo_Import!$A$2:$CZ$301,$AG30,Field_Map!$B$25)&amp;""),0))</f>
        <v>0</v>
      </c>
      <c r="R30" s="46">
        <f>IF($AG30="","",IFERROR(VALUE(INDEX(Kobo_Import!$A$2:$CZ$301,$AG30,Field_Map!$B$26)&amp;""),0))</f>
        <v>2</v>
      </c>
      <c r="S30" s="46">
        <f>IF($AG30="","",IFERROR(VALUE(INDEX(Kobo_Import!$A$2:$CZ$301,$AG30,Field_Map!$B$27)&amp;""),0))</f>
        <v>4</v>
      </c>
      <c r="T30" s="46">
        <f>IF($AG30="","",IFERROR(VALUE(INDEX(Kobo_Import!$A$2:$CZ$301,$AG30,Field_Map!$B$28)&amp;""),0))</f>
        <v>1</v>
      </c>
      <c r="U30" s="46" t="str">
        <f>IF($AG30="","",IF(IFERROR(INDEX(Kobo_Import!$A$2:$CZ$301,$AG30,Field_Map!$B$29)&amp;"","")="","",IFERROR(INDEX(Lists!$N$5:$N$19,MATCH(INDEX(Kobo_Import!$A$2:$CZ$301,$AG30,Field_Map!$B$29)&amp;"",Lists!$M$5:$M$19,0)),INDEX(Kobo_Import!$A$2:$CZ$301,$AG30,Field_Map!$B$29)&amp;"")))</f>
        <v>No</v>
      </c>
      <c r="V30" s="50">
        <f>IF($A30="","",Settings!$B$5-F30)</f>
        <v>5</v>
      </c>
      <c r="W30" s="46">
        <f>IF($A30="","",(J30&gt;0)*Settings!$B$22+(P30&gt;0)*Settings!$B$23+(M30&gt;0)*Settings!$B$24+(O30&gt;0)*Settings!$B$25+(I30="Yes")*Settings!$B$26+(D30="Unusable")*Settings!$B$27+(D30="Damaged")*Settings!$B$28+(H30&gt;=Settings!$B$30)*Settings!$B$29)</f>
        <v>3</v>
      </c>
      <c r="X30" s="46" t="str">
        <f>IF($A30="","",IF(W30&gt;=Settings!$B$31,"High",IF(W30&gt;=Settings!$B$32,"Medium","Low")))</f>
        <v>Medium</v>
      </c>
      <c r="Y30" s="46" t="str">
        <f>IF($A30="","",IF(V30&gt;Settings!$B$21,"Yes",""))</f>
        <v/>
      </c>
      <c r="Z30" s="46">
        <f>IF($A30="","",COUNTIFS(Referrals!$B$5:$B$52,$A30,Referrals!$G$5:$G$52,"Referred")+COUNTIFS(Referrals!$B$5:$B$52,$A30,Referrals!$G$5:$G$52,"Acknowledged"))</f>
        <v>0</v>
      </c>
      <c r="AA30" s="46">
        <f>IF($A30="","",COUNTIFS(Referrals!$B$5:$B$52,$A30,Referrals!$K$5:$K$52,"Overdue"))</f>
        <v>0</v>
      </c>
      <c r="AB30" s="46" t="str">
        <f>IF($A30="","",IF(AND(J30&gt;0,U30="Yes"),IF(COUNTIFS(Referrals!$B$5:$B$52,$A30,Referrals!$D$5:$D$52,"Nutrition / IYCF")=0,"Referral needed","Referred"),""))</f>
        <v/>
      </c>
      <c r="AC30" s="46" t="str">
        <f>IF($A30="","",IF(N(Needs_Gaps!O30)&gt;0,"Yes",""))</f>
        <v/>
      </c>
      <c r="AD30" s="46" t="str">
        <f>IF($A30="","",IF(COUNTIFS(Maintenance_Log!$C$5:$C$40,$A30,Maintenance_Log!$H$5:$H$40,"&lt;&gt;Resolved")&gt;0,"Yes",""))</f>
        <v>Yes</v>
      </c>
      <c r="AE30" s="46">
        <f t="shared" si="0"/>
        <v>1</v>
      </c>
      <c r="AF30" s="46">
        <f t="shared" si="1"/>
        <v>103974</v>
      </c>
      <c r="AG30" s="46">
        <f>IFERROR(MATCH(ROW()-4,Import_Index!$H$5:$H$304,0),"")</f>
        <v>136</v>
      </c>
    </row>
    <row r="31" spans="1:33" x14ac:dyDescent="0.3">
      <c r="A31" s="46" t="str">
        <f>IF($AG31="","",IFERROR(INDEX(Kobo_Import!$A$2:$CZ$301,$AG31,Field_Map!$B$13)&amp;"",""))</f>
        <v>HH-027</v>
      </c>
      <c r="B31" s="46" t="str">
        <f>IF($AG31="","",IF(IFERROR(INDEX(Kobo_Import!$A$2:$CZ$301,$AG31,Field_Map!$B$9)&amp;"","")="","",IFERROR(INDEX(Lists!$N$5:$N$19,MATCH(INDEX(Kobo_Import!$A$2:$CZ$301,$AG31,Field_Map!$B$9)&amp;"",Lists!$M$5:$M$19,0)),INDEX(Kobo_Import!$A$2:$CZ$301,$AG31,Field_Map!$B$9)&amp;"")))</f>
        <v>Site A – School Shelter</v>
      </c>
      <c r="C31" s="46" t="str">
        <f>IF($AG31="","",IF(IFERROR(INDEX(Kobo_Import!$A$2:$CZ$301,$AG31,Field_Map!$B$14)&amp;"","")="","",IFERROR(INDEX(Lists!$N$5:$N$19,MATCH(INDEX(Kobo_Import!$A$2:$CZ$301,$AG31,Field_Map!$B$14)&amp;"",Lists!$M$5:$M$19,0)),INDEX(Kobo_Import!$A$2:$CZ$301,$AG31,Field_Map!$B$14)&amp;"")))</f>
        <v>Classroom</v>
      </c>
      <c r="D31" s="46" t="str">
        <f>IF($AG31="","",IF(IFERROR(INDEX(Kobo_Import!$A$2:$CZ$301,$AG31,Field_Map!$B$15)&amp;"","")="","",IFERROR(INDEX(Lists!$N$5:$N$19,MATCH(INDEX(Kobo_Import!$A$2:$CZ$301,$AG31,Field_Map!$B$15)&amp;"",Lists!$M$5:$M$19,0)),INDEX(Kobo_Import!$A$2:$CZ$301,$AG31,Field_Map!$B$15)&amp;"")))</f>
        <v>Adequate</v>
      </c>
      <c r="E31" s="49">
        <f>IF($A31="","",IFERROR(INDEX(Import_Index!$D$5:$D$304,MATCH($A31&amp;"|registration",Import_Index!$I$5:$I$304,0)),F31))</f>
        <v>46027</v>
      </c>
      <c r="F31" s="49">
        <f>IF($AG31="","",INDEX(Import_Index!$D$5:$D$304,$AG31))</f>
        <v>46027</v>
      </c>
      <c r="G31" s="46">
        <f>IF($A31="","",COUNTIFS(Import_Index!$B$5:$B$304,$A31,Import_Index!$C$5:$C$304,"yes"))</f>
        <v>1</v>
      </c>
      <c r="H31" s="46">
        <f>IF($AG31="","",IFERROR(VALUE(INDEX(Kobo_Import!$A$2:$CZ$301,$AG31,Field_Map!$B$16)&amp;""),0))</f>
        <v>9</v>
      </c>
      <c r="I31" s="46" t="str">
        <f>IF($AG31="","",IF(IFERROR(INDEX(Kobo_Import!$A$2:$CZ$301,$AG31,Field_Map!$B$17)&amp;"","")="","",IFERROR(INDEX(Lists!$N$5:$N$19,MATCH(INDEX(Kobo_Import!$A$2:$CZ$301,$AG31,Field_Map!$B$17)&amp;"",Lists!$M$5:$M$19,0)),INDEX(Kobo_Import!$A$2:$CZ$301,$AG31,Field_Map!$B$17)&amp;"")))</f>
        <v>No</v>
      </c>
      <c r="J31" s="46">
        <f>IF($AG31="","",IFERROR(VALUE(INDEX(Kobo_Import!$A$2:$CZ$301,$AG31,Field_Map!$B$18)&amp;""),0))</f>
        <v>1</v>
      </c>
      <c r="K31" s="46">
        <f>IF($AG31="","",IFERROR(VALUE(INDEX(Kobo_Import!$A$2:$CZ$301,$AG31,Field_Map!$B$19)&amp;""),0))</f>
        <v>5</v>
      </c>
      <c r="L31" s="46">
        <f>IF($AG31="","",IFERROR(VALUE(INDEX(Kobo_Import!$A$2:$CZ$301,$AG31,Field_Map!$B$20)&amp;""),0))</f>
        <v>2</v>
      </c>
      <c r="M31" s="46">
        <f>IF($AG31="","",IFERROR(VALUE(INDEX(Kobo_Import!$A$2:$CZ$301,$AG31,Field_Map!$B$21)&amp;""),0))</f>
        <v>1</v>
      </c>
      <c r="N31" s="46">
        <f>IF($AG31="","",IFERROR(VALUE(INDEX(Kobo_Import!$A$2:$CZ$301,$AG31,Field_Map!$B$22)&amp;""),0))</f>
        <v>2</v>
      </c>
      <c r="O31" s="46">
        <f>IF($AG31="","",IFERROR(VALUE(INDEX(Kobo_Import!$A$2:$CZ$301,$AG31,Field_Map!$B$23)&amp;""),0))</f>
        <v>1</v>
      </c>
      <c r="P31" s="46">
        <f>IF($AG31="","",IFERROR(VALUE(INDEX(Kobo_Import!$A$2:$CZ$301,$AG31,Field_Map!$B$24)&amp;""),0))</f>
        <v>0</v>
      </c>
      <c r="Q31" s="46">
        <f>IF($AG31="","",IFERROR(VALUE(INDEX(Kobo_Import!$A$2:$CZ$301,$AG31,Field_Map!$B$25)&amp;""),0))</f>
        <v>6</v>
      </c>
      <c r="R31" s="46">
        <f>IF($AG31="","",IFERROR(VALUE(INDEX(Kobo_Import!$A$2:$CZ$301,$AG31,Field_Map!$B$26)&amp;""),0))</f>
        <v>7</v>
      </c>
      <c r="S31" s="46">
        <f>IF($AG31="","",IFERROR(VALUE(INDEX(Kobo_Import!$A$2:$CZ$301,$AG31,Field_Map!$B$27)&amp;""),0))</f>
        <v>1</v>
      </c>
      <c r="T31" s="46">
        <f>IF($AG31="","",IFERROR(VALUE(INDEX(Kobo_Import!$A$2:$CZ$301,$AG31,Field_Map!$B$28)&amp;""),0))</f>
        <v>2</v>
      </c>
      <c r="U31" s="46" t="str">
        <f>IF($AG31="","",IF(IFERROR(INDEX(Kobo_Import!$A$2:$CZ$301,$AG31,Field_Map!$B$29)&amp;"","")="","",IFERROR(INDEX(Lists!$N$5:$N$19,MATCH(INDEX(Kobo_Import!$A$2:$CZ$301,$AG31,Field_Map!$B$29)&amp;"",Lists!$M$5:$M$19,0)),INDEX(Kobo_Import!$A$2:$CZ$301,$AG31,Field_Map!$B$29)&amp;"")))</f>
        <v>No</v>
      </c>
      <c r="V31" s="50">
        <f>IF($A31="","",Settings!$B$5-F31)</f>
        <v>26</v>
      </c>
      <c r="W31" s="46">
        <f>IF($A31="","",(J31&gt;0)*Settings!$B$22+(P31&gt;0)*Settings!$B$23+(M31&gt;0)*Settings!$B$24+(O31&gt;0)*Settings!$B$25+(I31="Yes")*Settings!$B$26+(D31="Unusable")*Settings!$B$27+(D31="Damaged")*Settings!$B$28+(H31&gt;=Settings!$B$30)*Settings!$B$29)</f>
        <v>5</v>
      </c>
      <c r="X31" s="46" t="str">
        <f>IF($A31="","",IF(W31&gt;=Settings!$B$31,"High",IF(W31&gt;=Settings!$B$32,"Medium","Low")))</f>
        <v>High</v>
      </c>
      <c r="Y31" s="46" t="str">
        <f>IF($A31="","",IF(V31&gt;Settings!$B$21,"Yes",""))</f>
        <v/>
      </c>
      <c r="Z31" s="46">
        <f>IF($A31="","",COUNTIFS(Referrals!$B$5:$B$52,$A31,Referrals!$G$5:$G$52,"Referred")+COUNTIFS(Referrals!$B$5:$B$52,$A31,Referrals!$G$5:$G$52,"Acknowledged"))</f>
        <v>0</v>
      </c>
      <c r="AA31" s="46">
        <f>IF($A31="","",COUNTIFS(Referrals!$B$5:$B$52,$A31,Referrals!$K$5:$K$52,"Overdue"))</f>
        <v>0</v>
      </c>
      <c r="AB31" s="46" t="str">
        <f>IF($A31="","",IF(AND(J31&gt;0,U31="Yes"),IF(COUNTIFS(Referrals!$B$5:$B$52,$A31,Referrals!$D$5:$D$52,"Nutrition / IYCF")=0,"Referral needed","Referred"),""))</f>
        <v/>
      </c>
      <c r="AC31" s="46" t="str">
        <f>IF($A31="","",IF(N(Needs_Gaps!O31)&gt;0,"Yes",""))</f>
        <v/>
      </c>
      <c r="AD31" s="46" t="str">
        <f>IF($A31="","",IF(COUNTIFS(Maintenance_Log!$C$5:$C$40,$A31,Maintenance_Log!$H$5:$H$40,"&lt;&gt;Resolved")&gt;0,"Yes",""))</f>
        <v/>
      </c>
      <c r="AE31" s="46">
        <f t="shared" si="0"/>
        <v>0</v>
      </c>
      <c r="AF31" s="46">
        <f t="shared" si="1"/>
        <v>0</v>
      </c>
      <c r="AG31" s="46">
        <f>IFERROR(MATCH(ROW()-4,Import_Index!$H$5:$H$304,0),"")</f>
        <v>53</v>
      </c>
    </row>
    <row r="32" spans="1:33" x14ac:dyDescent="0.3">
      <c r="A32" s="46" t="str">
        <f>IF($AG32="","",IFERROR(INDEX(Kobo_Import!$A$2:$CZ$301,$AG32,Field_Map!$B$13)&amp;"",""))</f>
        <v>HH-028</v>
      </c>
      <c r="B32" s="46" t="str">
        <f>IF($AG32="","",IF(IFERROR(INDEX(Kobo_Import!$A$2:$CZ$301,$AG32,Field_Map!$B$9)&amp;"","")="","",IFERROR(INDEX(Lists!$N$5:$N$19,MATCH(INDEX(Kobo_Import!$A$2:$CZ$301,$AG32,Field_Map!$B$9)&amp;"",Lists!$M$5:$M$19,0)),INDEX(Kobo_Import!$A$2:$CZ$301,$AG32,Field_Map!$B$9)&amp;"")))</f>
        <v>Site A – School Shelter</v>
      </c>
      <c r="C32" s="46" t="str">
        <f>IF($AG32="","",IF(IFERROR(INDEX(Kobo_Import!$A$2:$CZ$301,$AG32,Field_Map!$B$14)&amp;"","")="","",IFERROR(INDEX(Lists!$N$5:$N$19,MATCH(INDEX(Kobo_Import!$A$2:$CZ$301,$AG32,Field_Map!$B$14)&amp;"",Lists!$M$5:$M$19,0)),INDEX(Kobo_Import!$A$2:$CZ$301,$AG32,Field_Map!$B$14)&amp;"")))</f>
        <v>Classroom</v>
      </c>
      <c r="D32" s="46" t="str">
        <f>IF($AG32="","",IF(IFERROR(INDEX(Kobo_Import!$A$2:$CZ$301,$AG32,Field_Map!$B$15)&amp;"","")="","",IFERROR(INDEX(Lists!$N$5:$N$19,MATCH(INDEX(Kobo_Import!$A$2:$CZ$301,$AG32,Field_Map!$B$15)&amp;"",Lists!$M$5:$M$19,0)),INDEX(Kobo_Import!$A$2:$CZ$301,$AG32,Field_Map!$B$15)&amp;"")))</f>
        <v>Adequate</v>
      </c>
      <c r="E32" s="49">
        <f>IF($A32="","",IFERROR(INDEX(Import_Index!$D$5:$D$304,MATCH($A32&amp;"|registration",Import_Index!$I$5:$I$304,0)),F32))</f>
        <v>46044</v>
      </c>
      <c r="F32" s="49">
        <f>IF($AG32="","",INDEX(Import_Index!$D$5:$D$304,$AG32))</f>
        <v>46044</v>
      </c>
      <c r="G32" s="46">
        <f>IF($A32="","",COUNTIFS(Import_Index!$B$5:$B$304,$A32,Import_Index!$C$5:$C$304,"yes"))</f>
        <v>1</v>
      </c>
      <c r="H32" s="46">
        <f>IF($AG32="","",IFERROR(VALUE(INDEX(Kobo_Import!$A$2:$CZ$301,$AG32,Field_Map!$B$16)&amp;""),0))</f>
        <v>4</v>
      </c>
      <c r="I32" s="46" t="str">
        <f>IF($AG32="","",IF(IFERROR(INDEX(Kobo_Import!$A$2:$CZ$301,$AG32,Field_Map!$B$17)&amp;"","")="","",IFERROR(INDEX(Lists!$N$5:$N$19,MATCH(INDEX(Kobo_Import!$A$2:$CZ$301,$AG32,Field_Map!$B$17)&amp;"",Lists!$M$5:$M$19,0)),INDEX(Kobo_Import!$A$2:$CZ$301,$AG32,Field_Map!$B$17)&amp;"")))</f>
        <v>No</v>
      </c>
      <c r="J32" s="46">
        <f>IF($AG32="","",IFERROR(VALUE(INDEX(Kobo_Import!$A$2:$CZ$301,$AG32,Field_Map!$B$18)&amp;""),0))</f>
        <v>1</v>
      </c>
      <c r="K32" s="46">
        <f>IF($AG32="","",IFERROR(VALUE(INDEX(Kobo_Import!$A$2:$CZ$301,$AG32,Field_Map!$B$19)&amp;""),0))</f>
        <v>2</v>
      </c>
      <c r="L32" s="46">
        <f>IF($AG32="","",IFERROR(VALUE(INDEX(Kobo_Import!$A$2:$CZ$301,$AG32,Field_Map!$B$20)&amp;""),0))</f>
        <v>1</v>
      </c>
      <c r="M32" s="46">
        <f>IF($AG32="","",IFERROR(VALUE(INDEX(Kobo_Import!$A$2:$CZ$301,$AG32,Field_Map!$B$21)&amp;""),0))</f>
        <v>0</v>
      </c>
      <c r="N32" s="46">
        <f>IF($AG32="","",IFERROR(VALUE(INDEX(Kobo_Import!$A$2:$CZ$301,$AG32,Field_Map!$B$22)&amp;""),0))</f>
        <v>1</v>
      </c>
      <c r="O32" s="46">
        <f>IF($AG32="","",IFERROR(VALUE(INDEX(Kobo_Import!$A$2:$CZ$301,$AG32,Field_Map!$B$23)&amp;""),0))</f>
        <v>0</v>
      </c>
      <c r="P32" s="46">
        <f>IF($AG32="","",IFERROR(VALUE(INDEX(Kobo_Import!$A$2:$CZ$301,$AG32,Field_Map!$B$24)&amp;""),0))</f>
        <v>0</v>
      </c>
      <c r="Q32" s="46">
        <f>IF($AG32="","",IFERROR(VALUE(INDEX(Kobo_Import!$A$2:$CZ$301,$AG32,Field_Map!$B$25)&amp;""),0))</f>
        <v>1</v>
      </c>
      <c r="R32" s="46">
        <f>IF($AG32="","",IFERROR(VALUE(INDEX(Kobo_Import!$A$2:$CZ$301,$AG32,Field_Map!$B$26)&amp;""),0))</f>
        <v>3</v>
      </c>
      <c r="S32" s="46">
        <f>IF($AG32="","",IFERROR(VALUE(INDEX(Kobo_Import!$A$2:$CZ$301,$AG32,Field_Map!$B$27)&amp;""),0))</f>
        <v>0</v>
      </c>
      <c r="T32" s="46">
        <f>IF($AG32="","",IFERROR(VALUE(INDEX(Kobo_Import!$A$2:$CZ$301,$AG32,Field_Map!$B$28)&amp;""),0))</f>
        <v>0</v>
      </c>
      <c r="U32" s="46" t="str">
        <f>IF($AG32="","",IF(IFERROR(INDEX(Kobo_Import!$A$2:$CZ$301,$AG32,Field_Map!$B$29)&amp;"","")="","",IFERROR(INDEX(Lists!$N$5:$N$19,MATCH(INDEX(Kobo_Import!$A$2:$CZ$301,$AG32,Field_Map!$B$29)&amp;"",Lists!$M$5:$M$19,0)),INDEX(Kobo_Import!$A$2:$CZ$301,$AG32,Field_Map!$B$29)&amp;"")))</f>
        <v>No</v>
      </c>
      <c r="V32" s="50">
        <f>IF($A32="","",Settings!$B$5-F32)</f>
        <v>9</v>
      </c>
      <c r="W32" s="46">
        <f>IF($A32="","",(J32&gt;0)*Settings!$B$22+(P32&gt;0)*Settings!$B$23+(M32&gt;0)*Settings!$B$24+(O32&gt;0)*Settings!$B$25+(I32="Yes")*Settings!$B$26+(D32="Unusable")*Settings!$B$27+(D32="Damaged")*Settings!$B$28+(H32&gt;=Settings!$B$30)*Settings!$B$29)</f>
        <v>2</v>
      </c>
      <c r="X32" s="46" t="str">
        <f>IF($A32="","",IF(W32&gt;=Settings!$B$31,"High",IF(W32&gt;=Settings!$B$32,"Medium","Low")))</f>
        <v>Low</v>
      </c>
      <c r="Y32" s="46" t="str">
        <f>IF($A32="","",IF(V32&gt;Settings!$B$21,"Yes",""))</f>
        <v/>
      </c>
      <c r="Z32" s="46">
        <f>IF($A32="","",COUNTIFS(Referrals!$B$5:$B$52,$A32,Referrals!$G$5:$G$52,"Referred")+COUNTIFS(Referrals!$B$5:$B$52,$A32,Referrals!$G$5:$G$52,"Acknowledged"))</f>
        <v>0</v>
      </c>
      <c r="AA32" s="46">
        <f>IF($A32="","",COUNTIFS(Referrals!$B$5:$B$52,$A32,Referrals!$K$5:$K$52,"Overdue"))</f>
        <v>0</v>
      </c>
      <c r="AB32" s="46" t="str">
        <f>IF($A32="","",IF(AND(J32&gt;0,U32="Yes"),IF(COUNTIFS(Referrals!$B$5:$B$52,$A32,Referrals!$D$5:$D$52,"Nutrition / IYCF")=0,"Referral needed","Referred"),""))</f>
        <v/>
      </c>
      <c r="AC32" s="46" t="str">
        <f>IF($A32="","",IF(N(Needs_Gaps!O32)&gt;0,"Yes",""))</f>
        <v/>
      </c>
      <c r="AD32" s="46" t="str">
        <f>IF($A32="","",IF(COUNTIFS(Maintenance_Log!$C$5:$C$40,$A32,Maintenance_Log!$H$5:$H$40,"&lt;&gt;Resolved")&gt;0,"Yes",""))</f>
        <v/>
      </c>
      <c r="AE32" s="46">
        <f t="shared" si="0"/>
        <v>0</v>
      </c>
      <c r="AF32" s="46">
        <f t="shared" si="1"/>
        <v>0</v>
      </c>
      <c r="AG32" s="46">
        <f>IFERROR(MATCH(ROW()-4,Import_Index!$H$5:$H$304,0),"")</f>
        <v>118</v>
      </c>
    </row>
    <row r="33" spans="1:33" x14ac:dyDescent="0.3">
      <c r="A33" s="46" t="str">
        <f>IF($AG33="","",IFERROR(INDEX(Kobo_Import!$A$2:$CZ$301,$AG33,Field_Map!$B$13)&amp;"",""))</f>
        <v>HH-029</v>
      </c>
      <c r="B33" s="46" t="str">
        <f>IF($AG33="","",IF(IFERROR(INDEX(Kobo_Import!$A$2:$CZ$301,$AG33,Field_Map!$B$9)&amp;"","")="","",IFERROR(INDEX(Lists!$N$5:$N$19,MATCH(INDEX(Kobo_Import!$A$2:$CZ$301,$AG33,Field_Map!$B$9)&amp;"",Lists!$M$5:$M$19,0)),INDEX(Kobo_Import!$A$2:$CZ$301,$AG33,Field_Map!$B$9)&amp;"")))</f>
        <v>Site A – School Shelter</v>
      </c>
      <c r="C33" s="46" t="str">
        <f>IF($AG33="","",IF(IFERROR(INDEX(Kobo_Import!$A$2:$CZ$301,$AG33,Field_Map!$B$14)&amp;"","")="","",IFERROR(INDEX(Lists!$N$5:$N$19,MATCH(INDEX(Kobo_Import!$A$2:$CZ$301,$AG33,Field_Map!$B$14)&amp;"",Lists!$M$5:$M$19,0)),INDEX(Kobo_Import!$A$2:$CZ$301,$AG33,Field_Map!$B$14)&amp;"")))</f>
        <v>Classroom</v>
      </c>
      <c r="D33" s="46" t="str">
        <f>IF($AG33="","",IF(IFERROR(INDEX(Kobo_Import!$A$2:$CZ$301,$AG33,Field_Map!$B$15)&amp;"","")="","",IFERROR(INDEX(Lists!$N$5:$N$19,MATCH(INDEX(Kobo_Import!$A$2:$CZ$301,$AG33,Field_Map!$B$15)&amp;"",Lists!$M$5:$M$19,0)),INDEX(Kobo_Import!$A$2:$CZ$301,$AG33,Field_Map!$B$15)&amp;"")))</f>
        <v>Damaged</v>
      </c>
      <c r="E33" s="49">
        <f>IF($A33="","",IFERROR(INDEX(Import_Index!$D$5:$D$304,MATCH($A33&amp;"|registration",Import_Index!$I$5:$I$304,0)),F33))</f>
        <v>46007</v>
      </c>
      <c r="F33" s="49">
        <f>IF($AG33="","",INDEX(Import_Index!$D$5:$D$304,$AG33))</f>
        <v>46007</v>
      </c>
      <c r="G33" s="46">
        <f>IF($A33="","",COUNTIFS(Import_Index!$B$5:$B$304,$A33,Import_Index!$C$5:$C$304,"yes"))</f>
        <v>1</v>
      </c>
      <c r="H33" s="46">
        <f>IF($AG33="","",IFERROR(VALUE(INDEX(Kobo_Import!$A$2:$CZ$301,$AG33,Field_Map!$B$16)&amp;""),0))</f>
        <v>10</v>
      </c>
      <c r="I33" s="46" t="str">
        <f>IF($AG33="","",IF(IFERROR(INDEX(Kobo_Import!$A$2:$CZ$301,$AG33,Field_Map!$B$17)&amp;"","")="","",IFERROR(INDEX(Lists!$N$5:$N$19,MATCH(INDEX(Kobo_Import!$A$2:$CZ$301,$AG33,Field_Map!$B$17)&amp;"",Lists!$M$5:$M$19,0)),INDEX(Kobo_Import!$A$2:$CZ$301,$AG33,Field_Map!$B$17)&amp;"")))</f>
        <v>No</v>
      </c>
      <c r="J33" s="46">
        <f>IF($AG33="","",IFERROR(VALUE(INDEX(Kobo_Import!$A$2:$CZ$301,$AG33,Field_Map!$B$18)&amp;""),0))</f>
        <v>1</v>
      </c>
      <c r="K33" s="46">
        <f>IF($AG33="","",IFERROR(VALUE(INDEX(Kobo_Import!$A$2:$CZ$301,$AG33,Field_Map!$B$19)&amp;""),0))</f>
        <v>7</v>
      </c>
      <c r="L33" s="46">
        <f>IF($AG33="","",IFERROR(VALUE(INDEX(Kobo_Import!$A$2:$CZ$301,$AG33,Field_Map!$B$20)&amp;""),0))</f>
        <v>2</v>
      </c>
      <c r="M33" s="46">
        <f>IF($AG33="","",IFERROR(VALUE(INDEX(Kobo_Import!$A$2:$CZ$301,$AG33,Field_Map!$B$21)&amp;""),0))</f>
        <v>0</v>
      </c>
      <c r="N33" s="46">
        <f>IF($AG33="","",IFERROR(VALUE(INDEX(Kobo_Import!$A$2:$CZ$301,$AG33,Field_Map!$B$22)&amp;""),0))</f>
        <v>1</v>
      </c>
      <c r="O33" s="46">
        <f>IF($AG33="","",IFERROR(VALUE(INDEX(Kobo_Import!$A$2:$CZ$301,$AG33,Field_Map!$B$23)&amp;""),0))</f>
        <v>1</v>
      </c>
      <c r="P33" s="46">
        <f>IF($AG33="","",IFERROR(VALUE(INDEX(Kobo_Import!$A$2:$CZ$301,$AG33,Field_Map!$B$24)&amp;""),0))</f>
        <v>1</v>
      </c>
      <c r="Q33" s="46">
        <f>IF($AG33="","",IFERROR(VALUE(INDEX(Kobo_Import!$A$2:$CZ$301,$AG33,Field_Map!$B$25)&amp;""),0))</f>
        <v>11</v>
      </c>
      <c r="R33" s="46">
        <f>IF($AG33="","",IFERROR(VALUE(INDEX(Kobo_Import!$A$2:$CZ$301,$AG33,Field_Map!$B$26)&amp;""),0))</f>
        <v>8</v>
      </c>
      <c r="S33" s="46">
        <f>IF($AG33="","",IFERROR(VALUE(INDEX(Kobo_Import!$A$2:$CZ$301,$AG33,Field_Map!$B$27)&amp;""),0))</f>
        <v>7</v>
      </c>
      <c r="T33" s="46">
        <f>IF($AG33="","",IFERROR(VALUE(INDEX(Kobo_Import!$A$2:$CZ$301,$AG33,Field_Map!$B$28)&amp;""),0))</f>
        <v>2</v>
      </c>
      <c r="U33" s="46" t="str">
        <f>IF($AG33="","",IF(IFERROR(INDEX(Kobo_Import!$A$2:$CZ$301,$AG33,Field_Map!$B$29)&amp;"","")="","",IFERROR(INDEX(Lists!$N$5:$N$19,MATCH(INDEX(Kobo_Import!$A$2:$CZ$301,$AG33,Field_Map!$B$29)&amp;"",Lists!$M$5:$M$19,0)),INDEX(Kobo_Import!$A$2:$CZ$301,$AG33,Field_Map!$B$29)&amp;"")))</f>
        <v>Yes</v>
      </c>
      <c r="V33" s="50">
        <f>IF($A33="","",Settings!$B$5-F33)</f>
        <v>46</v>
      </c>
      <c r="W33" s="46">
        <f>IF($A33="","",(J33&gt;0)*Settings!$B$22+(P33&gt;0)*Settings!$B$23+(M33&gt;0)*Settings!$B$24+(O33&gt;0)*Settings!$B$25+(I33="Yes")*Settings!$B$26+(D33="Unusable")*Settings!$B$27+(D33="Damaged")*Settings!$B$28+(H33&gt;=Settings!$B$30)*Settings!$B$29)</f>
        <v>7</v>
      </c>
      <c r="X33" s="46" t="str">
        <f>IF($A33="","",IF(W33&gt;=Settings!$B$31,"High",IF(W33&gt;=Settings!$B$32,"Medium","Low")))</f>
        <v>High</v>
      </c>
      <c r="Y33" s="46" t="str">
        <f>IF($A33="","",IF(V33&gt;Settings!$B$21,"Yes",""))</f>
        <v>Yes</v>
      </c>
      <c r="Z33" s="46">
        <f>IF($A33="","",COUNTIFS(Referrals!$B$5:$B$52,$A33,Referrals!$G$5:$G$52,"Referred")+COUNTIFS(Referrals!$B$5:$B$52,$A33,Referrals!$G$5:$G$52,"Acknowledged"))</f>
        <v>0</v>
      </c>
      <c r="AA33" s="46">
        <f>IF($A33="","",COUNTIFS(Referrals!$B$5:$B$52,$A33,Referrals!$K$5:$K$52,"Overdue"))</f>
        <v>0</v>
      </c>
      <c r="AB33" s="46" t="str">
        <f>IF($A33="","",IF(AND(J33&gt;0,U33="Yes"),IF(COUNTIFS(Referrals!$B$5:$B$52,$A33,Referrals!$D$5:$D$52,"Nutrition / IYCF")=0,"Referral needed","Referred"),""))</f>
        <v>Referred</v>
      </c>
      <c r="AC33" s="46" t="str">
        <f>IF($A33="","",IF(N(Needs_Gaps!O33)&gt;0,"Yes",""))</f>
        <v/>
      </c>
      <c r="AD33" s="46" t="str">
        <f>IF($A33="","",IF(COUNTIFS(Maintenance_Log!$C$5:$C$40,$A33,Maintenance_Log!$H$5:$H$40,"&lt;&gt;Resolved")&gt;0,"Yes",""))</f>
        <v/>
      </c>
      <c r="AE33" s="46">
        <f t="shared" si="0"/>
        <v>1</v>
      </c>
      <c r="AF33" s="46">
        <f t="shared" si="1"/>
        <v>107971</v>
      </c>
      <c r="AG33" s="46">
        <f>IFERROR(MATCH(ROW()-4,Import_Index!$H$5:$H$304,0),"")</f>
        <v>5</v>
      </c>
    </row>
    <row r="34" spans="1:33" x14ac:dyDescent="0.3">
      <c r="A34" s="46" t="str">
        <f>IF($AG34="","",IFERROR(INDEX(Kobo_Import!$A$2:$CZ$301,$AG34,Field_Map!$B$13)&amp;"",""))</f>
        <v>HH-030</v>
      </c>
      <c r="B34" s="46" t="str">
        <f>IF($AG34="","",IF(IFERROR(INDEX(Kobo_Import!$A$2:$CZ$301,$AG34,Field_Map!$B$9)&amp;"","")="","",IFERROR(INDEX(Lists!$N$5:$N$19,MATCH(INDEX(Kobo_Import!$A$2:$CZ$301,$AG34,Field_Map!$B$9)&amp;"",Lists!$M$5:$M$19,0)),INDEX(Kobo_Import!$A$2:$CZ$301,$AG34,Field_Map!$B$9)&amp;"")))</f>
        <v>Site A – School Shelter</v>
      </c>
      <c r="C34" s="46" t="str">
        <f>IF($AG34="","",IF(IFERROR(INDEX(Kobo_Import!$A$2:$CZ$301,$AG34,Field_Map!$B$14)&amp;"","")="","",IFERROR(INDEX(Lists!$N$5:$N$19,MATCH(INDEX(Kobo_Import!$A$2:$CZ$301,$AG34,Field_Map!$B$14)&amp;"",Lists!$M$5:$M$19,0)),INDEX(Kobo_Import!$A$2:$CZ$301,$AG34,Field_Map!$B$14)&amp;"")))</f>
        <v>Classroom</v>
      </c>
      <c r="D34" s="46" t="str">
        <f>IF($AG34="","",IF(IFERROR(INDEX(Kobo_Import!$A$2:$CZ$301,$AG34,Field_Map!$B$15)&amp;"","")="","",IFERROR(INDEX(Lists!$N$5:$N$19,MATCH(INDEX(Kobo_Import!$A$2:$CZ$301,$AG34,Field_Map!$B$15)&amp;"",Lists!$M$5:$M$19,0)),INDEX(Kobo_Import!$A$2:$CZ$301,$AG34,Field_Map!$B$15)&amp;"")))</f>
        <v>Adequate</v>
      </c>
      <c r="E34" s="49">
        <f>IF($A34="","",IFERROR(INDEX(Import_Index!$D$5:$D$304,MATCH($A34&amp;"|registration",Import_Index!$I$5:$I$304,0)),F34))</f>
        <v>46031</v>
      </c>
      <c r="F34" s="49">
        <f>IF($AG34="","",INDEX(Import_Index!$D$5:$D$304,$AG34))</f>
        <v>46031</v>
      </c>
      <c r="G34" s="46">
        <f>IF($A34="","",COUNTIFS(Import_Index!$B$5:$B$304,$A34,Import_Index!$C$5:$C$304,"yes"))</f>
        <v>1</v>
      </c>
      <c r="H34" s="46">
        <f>IF($AG34="","",IFERROR(VALUE(INDEX(Kobo_Import!$A$2:$CZ$301,$AG34,Field_Map!$B$16)&amp;""),0))</f>
        <v>4</v>
      </c>
      <c r="I34" s="46" t="str">
        <f>IF($AG34="","",IF(IFERROR(INDEX(Kobo_Import!$A$2:$CZ$301,$AG34,Field_Map!$B$17)&amp;"","")="","",IFERROR(INDEX(Lists!$N$5:$N$19,MATCH(INDEX(Kobo_Import!$A$2:$CZ$301,$AG34,Field_Map!$B$17)&amp;"",Lists!$M$5:$M$19,0)),INDEX(Kobo_Import!$A$2:$CZ$301,$AG34,Field_Map!$B$17)&amp;"")))</f>
        <v>No</v>
      </c>
      <c r="J34" s="46">
        <f>IF($AG34="","",IFERROR(VALUE(INDEX(Kobo_Import!$A$2:$CZ$301,$AG34,Field_Map!$B$18)&amp;""),0))</f>
        <v>0</v>
      </c>
      <c r="K34" s="46">
        <f>IF($AG34="","",IFERROR(VALUE(INDEX(Kobo_Import!$A$2:$CZ$301,$AG34,Field_Map!$B$19)&amp;""),0))</f>
        <v>2</v>
      </c>
      <c r="L34" s="46">
        <f>IF($AG34="","",IFERROR(VALUE(INDEX(Kobo_Import!$A$2:$CZ$301,$AG34,Field_Map!$B$20)&amp;""),0))</f>
        <v>2</v>
      </c>
      <c r="M34" s="46">
        <f>IF($AG34="","",IFERROR(VALUE(INDEX(Kobo_Import!$A$2:$CZ$301,$AG34,Field_Map!$B$21)&amp;""),0))</f>
        <v>0</v>
      </c>
      <c r="N34" s="46">
        <f>IF($AG34="","",IFERROR(VALUE(INDEX(Kobo_Import!$A$2:$CZ$301,$AG34,Field_Map!$B$22)&amp;""),0))</f>
        <v>1</v>
      </c>
      <c r="O34" s="46">
        <f>IF($AG34="","",IFERROR(VALUE(INDEX(Kobo_Import!$A$2:$CZ$301,$AG34,Field_Map!$B$23)&amp;""),0))</f>
        <v>0</v>
      </c>
      <c r="P34" s="46">
        <f>IF($AG34="","",IFERROR(VALUE(INDEX(Kobo_Import!$A$2:$CZ$301,$AG34,Field_Map!$B$24)&amp;""),0))</f>
        <v>0</v>
      </c>
      <c r="Q34" s="46">
        <f>IF($AG34="","",IFERROR(VALUE(INDEX(Kobo_Import!$A$2:$CZ$301,$AG34,Field_Map!$B$25)&amp;""),0))</f>
        <v>5</v>
      </c>
      <c r="R34" s="46">
        <f>IF($AG34="","",IFERROR(VALUE(INDEX(Kobo_Import!$A$2:$CZ$301,$AG34,Field_Map!$B$26)&amp;""),0))</f>
        <v>0</v>
      </c>
      <c r="S34" s="46">
        <f>IF($AG34="","",IFERROR(VALUE(INDEX(Kobo_Import!$A$2:$CZ$301,$AG34,Field_Map!$B$27)&amp;""),0))</f>
        <v>0</v>
      </c>
      <c r="T34" s="46">
        <f>IF($AG34="","",IFERROR(VALUE(INDEX(Kobo_Import!$A$2:$CZ$301,$AG34,Field_Map!$B$28)&amp;""),0))</f>
        <v>1</v>
      </c>
      <c r="U34" s="46" t="str">
        <f>IF($AG34="","",IF(IFERROR(INDEX(Kobo_Import!$A$2:$CZ$301,$AG34,Field_Map!$B$29)&amp;"","")="","",IFERROR(INDEX(Lists!$N$5:$N$19,MATCH(INDEX(Kobo_Import!$A$2:$CZ$301,$AG34,Field_Map!$B$29)&amp;"",Lists!$M$5:$M$19,0)),INDEX(Kobo_Import!$A$2:$CZ$301,$AG34,Field_Map!$B$29)&amp;"")))</f>
        <v/>
      </c>
      <c r="V34" s="50">
        <f>IF($A34="","",Settings!$B$5-F34)</f>
        <v>22</v>
      </c>
      <c r="W34" s="46">
        <f>IF($A34="","",(J34&gt;0)*Settings!$B$22+(P34&gt;0)*Settings!$B$23+(M34&gt;0)*Settings!$B$24+(O34&gt;0)*Settings!$B$25+(I34="Yes")*Settings!$B$26+(D34="Unusable")*Settings!$B$27+(D34="Damaged")*Settings!$B$28+(H34&gt;=Settings!$B$30)*Settings!$B$29)</f>
        <v>0</v>
      </c>
      <c r="X34" s="46" t="str">
        <f>IF($A34="","",IF(W34&gt;=Settings!$B$31,"High",IF(W34&gt;=Settings!$B$32,"Medium","Low")))</f>
        <v>Low</v>
      </c>
      <c r="Y34" s="46" t="str">
        <f>IF($A34="","",IF(V34&gt;Settings!$B$21,"Yes",""))</f>
        <v/>
      </c>
      <c r="Z34" s="46">
        <f>IF($A34="","",COUNTIFS(Referrals!$B$5:$B$52,$A34,Referrals!$G$5:$G$52,"Referred")+COUNTIFS(Referrals!$B$5:$B$52,$A34,Referrals!$G$5:$G$52,"Acknowledged"))</f>
        <v>0</v>
      </c>
      <c r="AA34" s="46">
        <f>IF($A34="","",COUNTIFS(Referrals!$B$5:$B$52,$A34,Referrals!$K$5:$K$52,"Overdue"))</f>
        <v>0</v>
      </c>
      <c r="AB34" s="46" t="str">
        <f>IF($A34="","",IF(AND(J34&gt;0,U34="Yes"),IF(COUNTIFS(Referrals!$B$5:$B$52,$A34,Referrals!$D$5:$D$52,"Nutrition / IYCF")=0,"Referral needed","Referred"),""))</f>
        <v/>
      </c>
      <c r="AC34" s="46" t="str">
        <f>IF($A34="","",IF(N(Needs_Gaps!O34)&gt;0,"Yes",""))</f>
        <v/>
      </c>
      <c r="AD34" s="46" t="str">
        <f>IF($A34="","",IF(COUNTIFS(Maintenance_Log!$C$5:$C$40,$A34,Maintenance_Log!$H$5:$H$40,"&lt;&gt;Resolved")&gt;0,"Yes",""))</f>
        <v/>
      </c>
      <c r="AE34" s="46">
        <f t="shared" si="0"/>
        <v>0</v>
      </c>
      <c r="AF34" s="46">
        <f t="shared" si="1"/>
        <v>0</v>
      </c>
      <c r="AG34" s="46">
        <f>IFERROR(MATCH(ROW()-4,Import_Index!$H$5:$H$304,0),"")</f>
        <v>63</v>
      </c>
    </row>
    <row r="35" spans="1:33" x14ac:dyDescent="0.3">
      <c r="A35" s="46" t="str">
        <f>IF($AG35="","",IFERROR(INDEX(Kobo_Import!$A$2:$CZ$301,$AG35,Field_Map!$B$13)&amp;"",""))</f>
        <v>HH-031</v>
      </c>
      <c r="B35" s="46" t="str">
        <f>IF($AG35="","",IF(IFERROR(INDEX(Kobo_Import!$A$2:$CZ$301,$AG35,Field_Map!$B$9)&amp;"","")="","",IFERROR(INDEX(Lists!$N$5:$N$19,MATCH(INDEX(Kobo_Import!$A$2:$CZ$301,$AG35,Field_Map!$B$9)&amp;"",Lists!$M$5:$M$19,0)),INDEX(Kobo_Import!$A$2:$CZ$301,$AG35,Field_Map!$B$9)&amp;"")))</f>
        <v>Site A – School Shelter</v>
      </c>
      <c r="C35" s="46" t="str">
        <f>IF($AG35="","",IF(IFERROR(INDEX(Kobo_Import!$A$2:$CZ$301,$AG35,Field_Map!$B$14)&amp;"","")="","",IFERROR(INDEX(Lists!$N$5:$N$19,MATCH(INDEX(Kobo_Import!$A$2:$CZ$301,$AG35,Field_Map!$B$14)&amp;"",Lists!$M$5:$M$19,0)),INDEX(Kobo_Import!$A$2:$CZ$301,$AG35,Field_Map!$B$14)&amp;"")))</f>
        <v>Classroom</v>
      </c>
      <c r="D35" s="46" t="str">
        <f>IF($AG35="","",IF(IFERROR(INDEX(Kobo_Import!$A$2:$CZ$301,$AG35,Field_Map!$B$15)&amp;"","")="","",IFERROR(INDEX(Lists!$N$5:$N$19,MATCH(INDEX(Kobo_Import!$A$2:$CZ$301,$AG35,Field_Map!$B$15)&amp;"",Lists!$M$5:$M$19,0)),INDEX(Kobo_Import!$A$2:$CZ$301,$AG35,Field_Map!$B$15)&amp;"")))</f>
        <v>Damaged</v>
      </c>
      <c r="E35" s="49">
        <f>IF($A35="","",IFERROR(INDEX(Import_Index!$D$5:$D$304,MATCH($A35&amp;"|registration",Import_Index!$I$5:$I$304,0)),F35))</f>
        <v>46020</v>
      </c>
      <c r="F35" s="49">
        <f>IF($AG35="","",INDEX(Import_Index!$D$5:$D$304,$AG35))</f>
        <v>46040</v>
      </c>
      <c r="G35" s="46">
        <f>IF($A35="","",COUNTIFS(Import_Index!$B$5:$B$304,$A35,Import_Index!$C$5:$C$304,"yes"))</f>
        <v>2</v>
      </c>
      <c r="H35" s="46">
        <f>IF($AG35="","",IFERROR(VALUE(INDEX(Kobo_Import!$A$2:$CZ$301,$AG35,Field_Map!$B$16)&amp;""),0))</f>
        <v>5</v>
      </c>
      <c r="I35" s="46" t="str">
        <f>IF($AG35="","",IF(IFERROR(INDEX(Kobo_Import!$A$2:$CZ$301,$AG35,Field_Map!$B$17)&amp;"","")="","",IFERROR(INDEX(Lists!$N$5:$N$19,MATCH(INDEX(Kobo_Import!$A$2:$CZ$301,$AG35,Field_Map!$B$17)&amp;"",Lists!$M$5:$M$19,0)),INDEX(Kobo_Import!$A$2:$CZ$301,$AG35,Field_Map!$B$17)&amp;"")))</f>
        <v>No</v>
      </c>
      <c r="J35" s="46">
        <f>IF($AG35="","",IFERROR(VALUE(INDEX(Kobo_Import!$A$2:$CZ$301,$AG35,Field_Map!$B$18)&amp;""),0))</f>
        <v>1</v>
      </c>
      <c r="K35" s="46">
        <f>IF($AG35="","",IFERROR(VALUE(INDEX(Kobo_Import!$A$2:$CZ$301,$AG35,Field_Map!$B$19)&amp;""),0))</f>
        <v>2</v>
      </c>
      <c r="L35" s="46">
        <f>IF($AG35="","",IFERROR(VALUE(INDEX(Kobo_Import!$A$2:$CZ$301,$AG35,Field_Map!$B$20)&amp;""),0))</f>
        <v>2</v>
      </c>
      <c r="M35" s="46">
        <f>IF($AG35="","",IFERROR(VALUE(INDEX(Kobo_Import!$A$2:$CZ$301,$AG35,Field_Map!$B$21)&amp;""),0))</f>
        <v>0</v>
      </c>
      <c r="N35" s="46">
        <f>IF($AG35="","",IFERROR(VALUE(INDEX(Kobo_Import!$A$2:$CZ$301,$AG35,Field_Map!$B$22)&amp;""),0))</f>
        <v>2</v>
      </c>
      <c r="O35" s="46">
        <f>IF($AG35="","",IFERROR(VALUE(INDEX(Kobo_Import!$A$2:$CZ$301,$AG35,Field_Map!$B$23)&amp;""),0))</f>
        <v>0</v>
      </c>
      <c r="P35" s="46">
        <f>IF($AG35="","",IFERROR(VALUE(INDEX(Kobo_Import!$A$2:$CZ$301,$AG35,Field_Map!$B$24)&amp;""),0))</f>
        <v>0</v>
      </c>
      <c r="Q35" s="46">
        <f>IF($AG35="","",IFERROR(VALUE(INDEX(Kobo_Import!$A$2:$CZ$301,$AG35,Field_Map!$B$25)&amp;""),0))</f>
        <v>3</v>
      </c>
      <c r="R35" s="46">
        <f>IF($AG35="","",IFERROR(VALUE(INDEX(Kobo_Import!$A$2:$CZ$301,$AG35,Field_Map!$B$26)&amp;""),0))</f>
        <v>4</v>
      </c>
      <c r="S35" s="46">
        <f>IF($AG35="","",IFERROR(VALUE(INDEX(Kobo_Import!$A$2:$CZ$301,$AG35,Field_Map!$B$27)&amp;""),0))</f>
        <v>3</v>
      </c>
      <c r="T35" s="46">
        <f>IF($AG35="","",IFERROR(VALUE(INDEX(Kobo_Import!$A$2:$CZ$301,$AG35,Field_Map!$B$28)&amp;""),0))</f>
        <v>1</v>
      </c>
      <c r="U35" s="46" t="str">
        <f>IF($AG35="","",IF(IFERROR(INDEX(Kobo_Import!$A$2:$CZ$301,$AG35,Field_Map!$B$29)&amp;"","")="","",IFERROR(INDEX(Lists!$N$5:$N$19,MATCH(INDEX(Kobo_Import!$A$2:$CZ$301,$AG35,Field_Map!$B$29)&amp;"",Lists!$M$5:$M$19,0)),INDEX(Kobo_Import!$A$2:$CZ$301,$AG35,Field_Map!$B$29)&amp;"")))</f>
        <v>No</v>
      </c>
      <c r="V35" s="50">
        <f>IF($A35="","",Settings!$B$5-F35)</f>
        <v>13</v>
      </c>
      <c r="W35" s="46">
        <f>IF($A35="","",(J35&gt;0)*Settings!$B$22+(P35&gt;0)*Settings!$B$23+(M35&gt;0)*Settings!$B$24+(O35&gt;0)*Settings!$B$25+(I35="Yes")*Settings!$B$26+(D35="Unusable")*Settings!$B$27+(D35="Damaged")*Settings!$B$28+(H35&gt;=Settings!$B$30)*Settings!$B$29)</f>
        <v>3</v>
      </c>
      <c r="X35" s="46" t="str">
        <f>IF($A35="","",IF(W35&gt;=Settings!$B$31,"High",IF(W35&gt;=Settings!$B$32,"Medium","Low")))</f>
        <v>Medium</v>
      </c>
      <c r="Y35" s="46" t="str">
        <f>IF($A35="","",IF(V35&gt;Settings!$B$21,"Yes",""))</f>
        <v/>
      </c>
      <c r="Z35" s="46">
        <f>IF($A35="","",COUNTIFS(Referrals!$B$5:$B$52,$A35,Referrals!$G$5:$G$52,"Referred")+COUNTIFS(Referrals!$B$5:$B$52,$A35,Referrals!$G$5:$G$52,"Acknowledged"))</f>
        <v>0</v>
      </c>
      <c r="AA35" s="46">
        <f>IF($A35="","",COUNTIFS(Referrals!$B$5:$B$52,$A35,Referrals!$K$5:$K$52,"Overdue"))</f>
        <v>0</v>
      </c>
      <c r="AB35" s="46" t="str">
        <f>IF($A35="","",IF(AND(J35&gt;0,U35="Yes"),IF(COUNTIFS(Referrals!$B$5:$B$52,$A35,Referrals!$D$5:$D$52,"Nutrition / IYCF")=0,"Referral needed","Referred"),""))</f>
        <v/>
      </c>
      <c r="AC35" s="46" t="str">
        <f>IF($A35="","",IF(N(Needs_Gaps!O35)&gt;0,"Yes",""))</f>
        <v/>
      </c>
      <c r="AD35" s="46" t="str">
        <f>IF($A35="","",IF(COUNTIFS(Maintenance_Log!$C$5:$C$40,$A35,Maintenance_Log!$H$5:$H$40,"&lt;&gt;Resolved")&gt;0,"Yes",""))</f>
        <v/>
      </c>
      <c r="AE35" s="46">
        <f t="shared" si="0"/>
        <v>0</v>
      </c>
      <c r="AF35" s="46">
        <f t="shared" si="1"/>
        <v>0</v>
      </c>
      <c r="AG35" s="46">
        <f>IFERROR(MATCH(ROW()-4,Import_Index!$H$5:$H$304,0),"")</f>
        <v>102</v>
      </c>
    </row>
    <row r="36" spans="1:33" x14ac:dyDescent="0.3">
      <c r="A36" s="46" t="str">
        <f>IF($AG36="","",IFERROR(INDEX(Kobo_Import!$A$2:$CZ$301,$AG36,Field_Map!$B$13)&amp;"",""))</f>
        <v>HH-032</v>
      </c>
      <c r="B36" s="46" t="str">
        <f>IF($AG36="","",IF(IFERROR(INDEX(Kobo_Import!$A$2:$CZ$301,$AG36,Field_Map!$B$9)&amp;"","")="","",IFERROR(INDEX(Lists!$N$5:$N$19,MATCH(INDEX(Kobo_Import!$A$2:$CZ$301,$AG36,Field_Map!$B$9)&amp;"",Lists!$M$5:$M$19,0)),INDEX(Kobo_Import!$A$2:$CZ$301,$AG36,Field_Map!$B$9)&amp;"")))</f>
        <v>Site A – School Shelter</v>
      </c>
      <c r="C36" s="46" t="str">
        <f>IF($AG36="","",IF(IFERROR(INDEX(Kobo_Import!$A$2:$CZ$301,$AG36,Field_Map!$B$14)&amp;"","")="","",IFERROR(INDEX(Lists!$N$5:$N$19,MATCH(INDEX(Kobo_Import!$A$2:$CZ$301,$AG36,Field_Map!$B$14)&amp;"",Lists!$M$5:$M$19,0)),INDEX(Kobo_Import!$A$2:$CZ$301,$AG36,Field_Map!$B$14)&amp;"")))</f>
        <v>Classroom</v>
      </c>
      <c r="D36" s="46" t="str">
        <f>IF($AG36="","",IF(IFERROR(INDEX(Kobo_Import!$A$2:$CZ$301,$AG36,Field_Map!$B$15)&amp;"","")="","",IFERROR(INDEX(Lists!$N$5:$N$19,MATCH(INDEX(Kobo_Import!$A$2:$CZ$301,$AG36,Field_Map!$B$15)&amp;"",Lists!$M$5:$M$19,0)),INDEX(Kobo_Import!$A$2:$CZ$301,$AG36,Field_Map!$B$15)&amp;"")))</f>
        <v>Adequate</v>
      </c>
      <c r="E36" s="49">
        <f>IF($A36="","",IFERROR(INDEX(Import_Index!$D$5:$D$304,MATCH($A36&amp;"|registration",Import_Index!$I$5:$I$304,0)),F36))</f>
        <v>46006</v>
      </c>
      <c r="F36" s="49">
        <f>IF($AG36="","",INDEX(Import_Index!$D$5:$D$304,$AG36))</f>
        <v>46038</v>
      </c>
      <c r="G36" s="46">
        <f>IF($A36="","",COUNTIFS(Import_Index!$B$5:$B$304,$A36,Import_Index!$C$5:$C$304,"yes"))</f>
        <v>2</v>
      </c>
      <c r="H36" s="46">
        <f>IF($AG36="","",IFERROR(VALUE(INDEX(Kobo_Import!$A$2:$CZ$301,$AG36,Field_Map!$B$16)&amp;""),0))</f>
        <v>3</v>
      </c>
      <c r="I36" s="46" t="str">
        <f>IF($AG36="","",IF(IFERROR(INDEX(Kobo_Import!$A$2:$CZ$301,$AG36,Field_Map!$B$17)&amp;"","")="","",IFERROR(INDEX(Lists!$N$5:$N$19,MATCH(INDEX(Kobo_Import!$A$2:$CZ$301,$AG36,Field_Map!$B$17)&amp;"",Lists!$M$5:$M$19,0)),INDEX(Kobo_Import!$A$2:$CZ$301,$AG36,Field_Map!$B$17)&amp;"")))</f>
        <v>No</v>
      </c>
      <c r="J36" s="46">
        <f>IF($AG36="","",IFERROR(VALUE(INDEX(Kobo_Import!$A$2:$CZ$301,$AG36,Field_Map!$B$18)&amp;""),0))</f>
        <v>0</v>
      </c>
      <c r="K36" s="46">
        <f>IF($AG36="","",IFERROR(VALUE(INDEX(Kobo_Import!$A$2:$CZ$301,$AG36,Field_Map!$B$19)&amp;""),0))</f>
        <v>0</v>
      </c>
      <c r="L36" s="46">
        <f>IF($AG36="","",IFERROR(VALUE(INDEX(Kobo_Import!$A$2:$CZ$301,$AG36,Field_Map!$B$20)&amp;""),0))</f>
        <v>2</v>
      </c>
      <c r="M36" s="46">
        <f>IF($AG36="","",IFERROR(VALUE(INDEX(Kobo_Import!$A$2:$CZ$301,$AG36,Field_Map!$B$21)&amp;""),0))</f>
        <v>1</v>
      </c>
      <c r="N36" s="46">
        <f>IF($AG36="","",IFERROR(VALUE(INDEX(Kobo_Import!$A$2:$CZ$301,$AG36,Field_Map!$B$22)&amp;""),0))</f>
        <v>1</v>
      </c>
      <c r="O36" s="46">
        <f>IF($AG36="","",IFERROR(VALUE(INDEX(Kobo_Import!$A$2:$CZ$301,$AG36,Field_Map!$B$23)&amp;""),0))</f>
        <v>0</v>
      </c>
      <c r="P36" s="46">
        <f>IF($AG36="","",IFERROR(VALUE(INDEX(Kobo_Import!$A$2:$CZ$301,$AG36,Field_Map!$B$24)&amp;""),0))</f>
        <v>1</v>
      </c>
      <c r="Q36" s="46">
        <f>IF($AG36="","",IFERROR(VALUE(INDEX(Kobo_Import!$A$2:$CZ$301,$AG36,Field_Map!$B$25)&amp;""),0))</f>
        <v>4</v>
      </c>
      <c r="R36" s="46">
        <f>IF($AG36="","",IFERROR(VALUE(INDEX(Kobo_Import!$A$2:$CZ$301,$AG36,Field_Map!$B$26)&amp;""),0))</f>
        <v>2</v>
      </c>
      <c r="S36" s="46">
        <f>IF($AG36="","",IFERROR(VALUE(INDEX(Kobo_Import!$A$2:$CZ$301,$AG36,Field_Map!$B$27)&amp;""),0))</f>
        <v>0</v>
      </c>
      <c r="T36" s="46">
        <f>IF($AG36="","",IFERROR(VALUE(INDEX(Kobo_Import!$A$2:$CZ$301,$AG36,Field_Map!$B$28)&amp;""),0))</f>
        <v>0</v>
      </c>
      <c r="U36" s="46" t="str">
        <f>IF($AG36="","",IF(IFERROR(INDEX(Kobo_Import!$A$2:$CZ$301,$AG36,Field_Map!$B$29)&amp;"","")="","",IFERROR(INDEX(Lists!$N$5:$N$19,MATCH(INDEX(Kobo_Import!$A$2:$CZ$301,$AG36,Field_Map!$B$29)&amp;"",Lists!$M$5:$M$19,0)),INDEX(Kobo_Import!$A$2:$CZ$301,$AG36,Field_Map!$B$29)&amp;"")))</f>
        <v/>
      </c>
      <c r="V36" s="50">
        <f>IF($A36="","",Settings!$B$5-F36)</f>
        <v>15</v>
      </c>
      <c r="W36" s="46">
        <f>IF($A36="","",(J36&gt;0)*Settings!$B$22+(P36&gt;0)*Settings!$B$23+(M36&gt;0)*Settings!$B$24+(O36&gt;0)*Settings!$B$25+(I36="Yes")*Settings!$B$26+(D36="Unusable")*Settings!$B$27+(D36="Damaged")*Settings!$B$28+(H36&gt;=Settings!$B$30)*Settings!$B$29)</f>
        <v>3</v>
      </c>
      <c r="X36" s="46" t="str">
        <f>IF($A36="","",IF(W36&gt;=Settings!$B$31,"High",IF(W36&gt;=Settings!$B$32,"Medium","Low")))</f>
        <v>Medium</v>
      </c>
      <c r="Y36" s="46" t="str">
        <f>IF($A36="","",IF(V36&gt;Settings!$B$21,"Yes",""))</f>
        <v/>
      </c>
      <c r="Z36" s="46">
        <f>IF($A36="","",COUNTIFS(Referrals!$B$5:$B$52,$A36,Referrals!$G$5:$G$52,"Referred")+COUNTIFS(Referrals!$B$5:$B$52,$A36,Referrals!$G$5:$G$52,"Acknowledged"))</f>
        <v>0</v>
      </c>
      <c r="AA36" s="46">
        <f>IF($A36="","",COUNTIFS(Referrals!$B$5:$B$52,$A36,Referrals!$K$5:$K$52,"Overdue"))</f>
        <v>0</v>
      </c>
      <c r="AB36" s="46" t="str">
        <f>IF($A36="","",IF(AND(J36&gt;0,U36="Yes"),IF(COUNTIFS(Referrals!$B$5:$B$52,$A36,Referrals!$D$5:$D$52,"Nutrition / IYCF")=0,"Referral needed","Referred"),""))</f>
        <v/>
      </c>
      <c r="AC36" s="46" t="str">
        <f>IF($A36="","",IF(N(Needs_Gaps!O36)&gt;0,"Yes",""))</f>
        <v/>
      </c>
      <c r="AD36" s="46" t="str">
        <f>IF($A36="","",IF(COUNTIFS(Maintenance_Log!$C$5:$C$40,$A36,Maintenance_Log!$H$5:$H$40,"&lt;&gt;Resolved")&gt;0,"Yes",""))</f>
        <v/>
      </c>
      <c r="AE36" s="46">
        <f t="shared" si="0"/>
        <v>0</v>
      </c>
      <c r="AF36" s="46">
        <f t="shared" si="1"/>
        <v>0</v>
      </c>
      <c r="AG36" s="46">
        <f>IFERROR(MATCH(ROW()-4,Import_Index!$H$5:$H$304,0),"")</f>
        <v>89</v>
      </c>
    </row>
    <row r="37" spans="1:33" x14ac:dyDescent="0.3">
      <c r="A37" s="46" t="str">
        <f>IF($AG37="","",IFERROR(INDEX(Kobo_Import!$A$2:$CZ$301,$AG37,Field_Map!$B$13)&amp;"",""))</f>
        <v>HH-033</v>
      </c>
      <c r="B37" s="46" t="str">
        <f>IF($AG37="","",IF(IFERROR(INDEX(Kobo_Import!$A$2:$CZ$301,$AG37,Field_Map!$B$9)&amp;"","")="","",IFERROR(INDEX(Lists!$N$5:$N$19,MATCH(INDEX(Kobo_Import!$A$2:$CZ$301,$AG37,Field_Map!$B$9)&amp;"",Lists!$M$5:$M$19,0)),INDEX(Kobo_Import!$A$2:$CZ$301,$AG37,Field_Map!$B$9)&amp;"")))</f>
        <v>Site A – School Shelter</v>
      </c>
      <c r="C37" s="46" t="str">
        <f>IF($AG37="","",IF(IFERROR(INDEX(Kobo_Import!$A$2:$CZ$301,$AG37,Field_Map!$B$14)&amp;"","")="","",IFERROR(INDEX(Lists!$N$5:$N$19,MATCH(INDEX(Kobo_Import!$A$2:$CZ$301,$AG37,Field_Map!$B$14)&amp;"",Lists!$M$5:$M$19,0)),INDEX(Kobo_Import!$A$2:$CZ$301,$AG37,Field_Map!$B$14)&amp;"")))</f>
        <v>Classroom</v>
      </c>
      <c r="D37" s="46" t="str">
        <f>IF($AG37="","",IF(IFERROR(INDEX(Kobo_Import!$A$2:$CZ$301,$AG37,Field_Map!$B$15)&amp;"","")="","",IFERROR(INDEX(Lists!$N$5:$N$19,MATCH(INDEX(Kobo_Import!$A$2:$CZ$301,$AG37,Field_Map!$B$15)&amp;"",Lists!$M$5:$M$19,0)),INDEX(Kobo_Import!$A$2:$CZ$301,$AG37,Field_Map!$B$15)&amp;"")))</f>
        <v>Adequate</v>
      </c>
      <c r="E37" s="49">
        <f>IF($A37="","",IFERROR(INDEX(Import_Index!$D$5:$D$304,MATCH($A37&amp;"|registration",Import_Index!$I$5:$I$304,0)),F37))</f>
        <v>46018</v>
      </c>
      <c r="F37" s="49">
        <f>IF($AG37="","",INDEX(Import_Index!$D$5:$D$304,$AG37))</f>
        <v>46039</v>
      </c>
      <c r="G37" s="46">
        <f>IF($A37="","",COUNTIFS(Import_Index!$B$5:$B$304,$A37,Import_Index!$C$5:$C$304,"yes"))</f>
        <v>2</v>
      </c>
      <c r="H37" s="46">
        <f>IF($AG37="","",IFERROR(VALUE(INDEX(Kobo_Import!$A$2:$CZ$301,$AG37,Field_Map!$B$16)&amp;""),0))</f>
        <v>7</v>
      </c>
      <c r="I37" s="46" t="str">
        <f>IF($AG37="","",IF(IFERROR(INDEX(Kobo_Import!$A$2:$CZ$301,$AG37,Field_Map!$B$17)&amp;"","")="","",IFERROR(INDEX(Lists!$N$5:$N$19,MATCH(INDEX(Kobo_Import!$A$2:$CZ$301,$AG37,Field_Map!$B$17)&amp;"",Lists!$M$5:$M$19,0)),INDEX(Kobo_Import!$A$2:$CZ$301,$AG37,Field_Map!$B$17)&amp;"")))</f>
        <v>No</v>
      </c>
      <c r="J37" s="46">
        <f>IF($AG37="","",IFERROR(VALUE(INDEX(Kobo_Import!$A$2:$CZ$301,$AG37,Field_Map!$B$18)&amp;""),0))</f>
        <v>0</v>
      </c>
      <c r="K37" s="46">
        <f>IF($AG37="","",IFERROR(VALUE(INDEX(Kobo_Import!$A$2:$CZ$301,$AG37,Field_Map!$B$19)&amp;""),0))</f>
        <v>4</v>
      </c>
      <c r="L37" s="46">
        <f>IF($AG37="","",IFERROR(VALUE(INDEX(Kobo_Import!$A$2:$CZ$301,$AG37,Field_Map!$B$20)&amp;""),0))</f>
        <v>3</v>
      </c>
      <c r="M37" s="46">
        <f>IF($AG37="","",IFERROR(VALUE(INDEX(Kobo_Import!$A$2:$CZ$301,$AG37,Field_Map!$B$21)&amp;""),0))</f>
        <v>0</v>
      </c>
      <c r="N37" s="46">
        <f>IF($AG37="","",IFERROR(VALUE(INDEX(Kobo_Import!$A$2:$CZ$301,$AG37,Field_Map!$B$22)&amp;""),0))</f>
        <v>2</v>
      </c>
      <c r="O37" s="46">
        <f>IF($AG37="","",IFERROR(VALUE(INDEX(Kobo_Import!$A$2:$CZ$301,$AG37,Field_Map!$B$23)&amp;""),0))</f>
        <v>0</v>
      </c>
      <c r="P37" s="46">
        <f>IF($AG37="","",IFERROR(VALUE(INDEX(Kobo_Import!$A$2:$CZ$301,$AG37,Field_Map!$B$24)&amp;""),0))</f>
        <v>0</v>
      </c>
      <c r="Q37" s="46">
        <f>IF($AG37="","",IFERROR(VALUE(INDEX(Kobo_Import!$A$2:$CZ$301,$AG37,Field_Map!$B$25)&amp;""),0))</f>
        <v>5</v>
      </c>
      <c r="R37" s="46">
        <f>IF($AG37="","",IFERROR(VALUE(INDEX(Kobo_Import!$A$2:$CZ$301,$AG37,Field_Map!$B$26)&amp;""),0))</f>
        <v>1</v>
      </c>
      <c r="S37" s="46">
        <f>IF($AG37="","",IFERROR(VALUE(INDEX(Kobo_Import!$A$2:$CZ$301,$AG37,Field_Map!$B$27)&amp;""),0))</f>
        <v>1</v>
      </c>
      <c r="T37" s="46">
        <f>IF($AG37="","",IFERROR(VALUE(INDEX(Kobo_Import!$A$2:$CZ$301,$AG37,Field_Map!$B$28)&amp;""),0))</f>
        <v>1</v>
      </c>
      <c r="U37" s="46" t="str">
        <f>IF($AG37="","",IF(IFERROR(INDEX(Kobo_Import!$A$2:$CZ$301,$AG37,Field_Map!$B$29)&amp;"","")="","",IFERROR(INDEX(Lists!$N$5:$N$19,MATCH(INDEX(Kobo_Import!$A$2:$CZ$301,$AG37,Field_Map!$B$29)&amp;"",Lists!$M$5:$M$19,0)),INDEX(Kobo_Import!$A$2:$CZ$301,$AG37,Field_Map!$B$29)&amp;"")))</f>
        <v/>
      </c>
      <c r="V37" s="50">
        <f>IF($A37="","",Settings!$B$5-F37)</f>
        <v>14</v>
      </c>
      <c r="W37" s="46">
        <f>IF($A37="","",(J37&gt;0)*Settings!$B$22+(P37&gt;0)*Settings!$B$23+(M37&gt;0)*Settings!$B$24+(O37&gt;0)*Settings!$B$25+(I37="Yes")*Settings!$B$26+(D37="Unusable")*Settings!$B$27+(D37="Damaged")*Settings!$B$28+(H37&gt;=Settings!$B$30)*Settings!$B$29)</f>
        <v>0</v>
      </c>
      <c r="X37" s="46" t="str">
        <f>IF($A37="","",IF(W37&gt;=Settings!$B$31,"High",IF(W37&gt;=Settings!$B$32,"Medium","Low")))</f>
        <v>Low</v>
      </c>
      <c r="Y37" s="46" t="str">
        <f>IF($A37="","",IF(V37&gt;Settings!$B$21,"Yes",""))</f>
        <v/>
      </c>
      <c r="Z37" s="46">
        <f>IF($A37="","",COUNTIFS(Referrals!$B$5:$B$52,$A37,Referrals!$G$5:$G$52,"Referred")+COUNTIFS(Referrals!$B$5:$B$52,$A37,Referrals!$G$5:$G$52,"Acknowledged"))</f>
        <v>0</v>
      </c>
      <c r="AA37" s="46">
        <f>IF($A37="","",COUNTIFS(Referrals!$B$5:$B$52,$A37,Referrals!$K$5:$K$52,"Overdue"))</f>
        <v>0</v>
      </c>
      <c r="AB37" s="46" t="str">
        <f>IF($A37="","",IF(AND(J37&gt;0,U37="Yes"),IF(COUNTIFS(Referrals!$B$5:$B$52,$A37,Referrals!$D$5:$D$52,"Nutrition / IYCF")=0,"Referral needed","Referred"),""))</f>
        <v/>
      </c>
      <c r="AC37" s="46" t="str">
        <f>IF($A37="","",IF(N(Needs_Gaps!O37)&gt;0,"Yes",""))</f>
        <v/>
      </c>
      <c r="AD37" s="46" t="str">
        <f>IF($A37="","",IF(COUNTIFS(Maintenance_Log!$C$5:$C$40,$A37,Maintenance_Log!$H$5:$H$40,"&lt;&gt;Resolved")&gt;0,"Yes",""))</f>
        <v/>
      </c>
      <c r="AE37" s="46">
        <f t="shared" ref="AE37:AE68" si="2">IF($A37="","",(Y37="Yes")+(AA37&gt;0)+(AB37="Referral needed")+(AC37="Yes")+(AD37="Yes"))</f>
        <v>0</v>
      </c>
      <c r="AF37" s="46">
        <f t="shared" ref="AF37:AF68" si="3">IF($A37="",0,IF(AE37&gt;0,AE37*100000+W37*1000+(1000-(ROW()-4)),0))</f>
        <v>0</v>
      </c>
      <c r="AG37" s="46">
        <f>IFERROR(MATCH(ROW()-4,Import_Index!$H$5:$H$304,0),"")</f>
        <v>95</v>
      </c>
    </row>
    <row r="38" spans="1:33" x14ac:dyDescent="0.3">
      <c r="A38" s="46" t="str">
        <f>IF($AG38="","",IFERROR(INDEX(Kobo_Import!$A$2:$CZ$301,$AG38,Field_Map!$B$13)&amp;"",""))</f>
        <v>HH-034</v>
      </c>
      <c r="B38" s="46" t="str">
        <f>IF($AG38="","",IF(IFERROR(INDEX(Kobo_Import!$A$2:$CZ$301,$AG38,Field_Map!$B$9)&amp;"","")="","",IFERROR(INDEX(Lists!$N$5:$N$19,MATCH(INDEX(Kobo_Import!$A$2:$CZ$301,$AG38,Field_Map!$B$9)&amp;"",Lists!$M$5:$M$19,0)),INDEX(Kobo_Import!$A$2:$CZ$301,$AG38,Field_Map!$B$9)&amp;"")))</f>
        <v>Site A – School Shelter</v>
      </c>
      <c r="C38" s="46" t="str">
        <f>IF($AG38="","",IF(IFERROR(INDEX(Kobo_Import!$A$2:$CZ$301,$AG38,Field_Map!$B$14)&amp;"","")="","",IFERROR(INDEX(Lists!$N$5:$N$19,MATCH(INDEX(Kobo_Import!$A$2:$CZ$301,$AG38,Field_Map!$B$14)&amp;"",Lists!$M$5:$M$19,0)),INDEX(Kobo_Import!$A$2:$CZ$301,$AG38,Field_Map!$B$14)&amp;"")))</f>
        <v>Classroom</v>
      </c>
      <c r="D38" s="46" t="str">
        <f>IF($AG38="","",IF(IFERROR(INDEX(Kobo_Import!$A$2:$CZ$301,$AG38,Field_Map!$B$15)&amp;"","")="","",IFERROR(INDEX(Lists!$N$5:$N$19,MATCH(INDEX(Kobo_Import!$A$2:$CZ$301,$AG38,Field_Map!$B$15)&amp;"",Lists!$M$5:$M$19,0)),INDEX(Kobo_Import!$A$2:$CZ$301,$AG38,Field_Map!$B$15)&amp;"")))</f>
        <v>Adequate</v>
      </c>
      <c r="E38" s="49">
        <f>IF($A38="","",IFERROR(INDEX(Import_Index!$D$5:$D$304,MATCH($A38&amp;"|registration",Import_Index!$I$5:$I$304,0)),F38))</f>
        <v>46034</v>
      </c>
      <c r="F38" s="49">
        <f>IF($AG38="","",INDEX(Import_Index!$D$5:$D$304,$AG38))</f>
        <v>46034</v>
      </c>
      <c r="G38" s="46">
        <f>IF($A38="","",COUNTIFS(Import_Index!$B$5:$B$304,$A38,Import_Index!$C$5:$C$304,"yes"))</f>
        <v>1</v>
      </c>
      <c r="H38" s="46">
        <f>IF($AG38="","",IFERROR(VALUE(INDEX(Kobo_Import!$A$2:$CZ$301,$AG38,Field_Map!$B$16)&amp;""),0))</f>
        <v>7</v>
      </c>
      <c r="I38" s="46" t="str">
        <f>IF($AG38="","",IF(IFERROR(INDEX(Kobo_Import!$A$2:$CZ$301,$AG38,Field_Map!$B$17)&amp;"","")="","",IFERROR(INDEX(Lists!$N$5:$N$19,MATCH(INDEX(Kobo_Import!$A$2:$CZ$301,$AG38,Field_Map!$B$17)&amp;"",Lists!$M$5:$M$19,0)),INDEX(Kobo_Import!$A$2:$CZ$301,$AG38,Field_Map!$B$17)&amp;"")))</f>
        <v>No</v>
      </c>
      <c r="J38" s="46">
        <f>IF($AG38="","",IFERROR(VALUE(INDEX(Kobo_Import!$A$2:$CZ$301,$AG38,Field_Map!$B$18)&amp;""),0))</f>
        <v>1</v>
      </c>
      <c r="K38" s="46">
        <f>IF($AG38="","",IFERROR(VALUE(INDEX(Kobo_Import!$A$2:$CZ$301,$AG38,Field_Map!$B$19)&amp;""),0))</f>
        <v>3</v>
      </c>
      <c r="L38" s="46">
        <f>IF($AG38="","",IFERROR(VALUE(INDEX(Kobo_Import!$A$2:$CZ$301,$AG38,Field_Map!$B$20)&amp;""),0))</f>
        <v>2</v>
      </c>
      <c r="M38" s="46">
        <f>IF($AG38="","",IFERROR(VALUE(INDEX(Kobo_Import!$A$2:$CZ$301,$AG38,Field_Map!$B$21)&amp;""),0))</f>
        <v>1</v>
      </c>
      <c r="N38" s="46">
        <f>IF($AG38="","",IFERROR(VALUE(INDEX(Kobo_Import!$A$2:$CZ$301,$AG38,Field_Map!$B$22)&amp;""),0))</f>
        <v>2</v>
      </c>
      <c r="O38" s="46">
        <f>IF($AG38="","",IFERROR(VALUE(INDEX(Kobo_Import!$A$2:$CZ$301,$AG38,Field_Map!$B$23)&amp;""),0))</f>
        <v>0</v>
      </c>
      <c r="P38" s="46">
        <f>IF($AG38="","",IFERROR(VALUE(INDEX(Kobo_Import!$A$2:$CZ$301,$AG38,Field_Map!$B$24)&amp;""),0))</f>
        <v>0</v>
      </c>
      <c r="Q38" s="46">
        <f>IF($AG38="","",IFERROR(VALUE(INDEX(Kobo_Import!$A$2:$CZ$301,$AG38,Field_Map!$B$25)&amp;""),0))</f>
        <v>1</v>
      </c>
      <c r="R38" s="46">
        <f>IF($AG38="","",IFERROR(VALUE(INDEX(Kobo_Import!$A$2:$CZ$301,$AG38,Field_Map!$B$26)&amp;""),0))</f>
        <v>5</v>
      </c>
      <c r="S38" s="46">
        <f>IF($AG38="","",IFERROR(VALUE(INDEX(Kobo_Import!$A$2:$CZ$301,$AG38,Field_Map!$B$27)&amp;""),0))</f>
        <v>3</v>
      </c>
      <c r="T38" s="46">
        <f>IF($AG38="","",IFERROR(VALUE(INDEX(Kobo_Import!$A$2:$CZ$301,$AG38,Field_Map!$B$28)&amp;""),0))</f>
        <v>3</v>
      </c>
      <c r="U38" s="46" t="str">
        <f>IF($AG38="","",IF(IFERROR(INDEX(Kobo_Import!$A$2:$CZ$301,$AG38,Field_Map!$B$29)&amp;"","")="","",IFERROR(INDEX(Lists!$N$5:$N$19,MATCH(INDEX(Kobo_Import!$A$2:$CZ$301,$AG38,Field_Map!$B$29)&amp;"",Lists!$M$5:$M$19,0)),INDEX(Kobo_Import!$A$2:$CZ$301,$AG38,Field_Map!$B$29)&amp;"")))</f>
        <v>No</v>
      </c>
      <c r="V38" s="50">
        <f>IF($A38="","",Settings!$B$5-F38)</f>
        <v>19</v>
      </c>
      <c r="W38" s="46">
        <f>IF($A38="","",(J38&gt;0)*Settings!$B$22+(P38&gt;0)*Settings!$B$23+(M38&gt;0)*Settings!$B$24+(O38&gt;0)*Settings!$B$25+(I38="Yes")*Settings!$B$26+(D38="Unusable")*Settings!$B$27+(D38="Damaged")*Settings!$B$28+(H38&gt;=Settings!$B$30)*Settings!$B$29)</f>
        <v>3</v>
      </c>
      <c r="X38" s="46" t="str">
        <f>IF($A38="","",IF(W38&gt;=Settings!$B$31,"High",IF(W38&gt;=Settings!$B$32,"Medium","Low")))</f>
        <v>Medium</v>
      </c>
      <c r="Y38" s="46" t="str">
        <f>IF($A38="","",IF(V38&gt;Settings!$B$21,"Yes",""))</f>
        <v/>
      </c>
      <c r="Z38" s="46">
        <f>IF($A38="","",COUNTIFS(Referrals!$B$5:$B$52,$A38,Referrals!$G$5:$G$52,"Referred")+COUNTIFS(Referrals!$B$5:$B$52,$A38,Referrals!$G$5:$G$52,"Acknowledged"))</f>
        <v>0</v>
      </c>
      <c r="AA38" s="46">
        <f>IF($A38="","",COUNTIFS(Referrals!$B$5:$B$52,$A38,Referrals!$K$5:$K$52,"Overdue"))</f>
        <v>0</v>
      </c>
      <c r="AB38" s="46" t="str">
        <f>IF($A38="","",IF(AND(J38&gt;0,U38="Yes"),IF(COUNTIFS(Referrals!$B$5:$B$52,$A38,Referrals!$D$5:$D$52,"Nutrition / IYCF")=0,"Referral needed","Referred"),""))</f>
        <v/>
      </c>
      <c r="AC38" s="46" t="str">
        <f>IF($A38="","",IF(N(Needs_Gaps!O38)&gt;0,"Yes",""))</f>
        <v/>
      </c>
      <c r="AD38" s="46" t="str">
        <f>IF($A38="","",IF(COUNTIFS(Maintenance_Log!$C$5:$C$40,$A38,Maintenance_Log!$H$5:$H$40,"&lt;&gt;Resolved")&gt;0,"Yes",""))</f>
        <v/>
      </c>
      <c r="AE38" s="46">
        <f t="shared" si="2"/>
        <v>0</v>
      </c>
      <c r="AF38" s="46">
        <f t="shared" si="3"/>
        <v>0</v>
      </c>
      <c r="AG38" s="46">
        <f>IFERROR(MATCH(ROW()-4,Import_Index!$H$5:$H$304,0),"")</f>
        <v>74</v>
      </c>
    </row>
    <row r="39" spans="1:33" x14ac:dyDescent="0.3">
      <c r="A39" s="46" t="str">
        <f>IF($AG39="","",IFERROR(INDEX(Kobo_Import!$A$2:$CZ$301,$AG39,Field_Map!$B$13)&amp;"",""))</f>
        <v>HH-035</v>
      </c>
      <c r="B39" s="46" t="str">
        <f>IF($AG39="","",IF(IFERROR(INDEX(Kobo_Import!$A$2:$CZ$301,$AG39,Field_Map!$B$9)&amp;"","")="","",IFERROR(INDEX(Lists!$N$5:$N$19,MATCH(INDEX(Kobo_Import!$A$2:$CZ$301,$AG39,Field_Map!$B$9)&amp;"",Lists!$M$5:$M$19,0)),INDEX(Kobo_Import!$A$2:$CZ$301,$AG39,Field_Map!$B$9)&amp;"")))</f>
        <v>Site B – School Shelter</v>
      </c>
      <c r="C39" s="46" t="str">
        <f>IF($AG39="","",IF(IFERROR(INDEX(Kobo_Import!$A$2:$CZ$301,$AG39,Field_Map!$B$14)&amp;"","")="","",IFERROR(INDEX(Lists!$N$5:$N$19,MATCH(INDEX(Kobo_Import!$A$2:$CZ$301,$AG39,Field_Map!$B$14)&amp;"",Lists!$M$5:$M$19,0)),INDEX(Kobo_Import!$A$2:$CZ$301,$AG39,Field_Map!$B$14)&amp;"")))</f>
        <v>Classroom</v>
      </c>
      <c r="D39" s="46" t="str">
        <f>IF($AG39="","",IF(IFERROR(INDEX(Kobo_Import!$A$2:$CZ$301,$AG39,Field_Map!$B$15)&amp;"","")="","",IFERROR(INDEX(Lists!$N$5:$N$19,MATCH(INDEX(Kobo_Import!$A$2:$CZ$301,$AG39,Field_Map!$B$15)&amp;"",Lists!$M$5:$M$19,0)),INDEX(Kobo_Import!$A$2:$CZ$301,$AG39,Field_Map!$B$15)&amp;"")))</f>
        <v>Adequate</v>
      </c>
      <c r="E39" s="49">
        <f>IF($A39="","",IFERROR(INDEX(Import_Index!$D$5:$D$304,MATCH($A39&amp;"|registration",Import_Index!$I$5:$I$304,0)),F39))</f>
        <v>46006</v>
      </c>
      <c r="F39" s="49">
        <f>IF($AG39="","",INDEX(Import_Index!$D$5:$D$304,$AG39))</f>
        <v>46038</v>
      </c>
      <c r="G39" s="46">
        <f>IF($A39="","",COUNTIFS(Import_Index!$B$5:$B$304,$A39,Import_Index!$C$5:$C$304,"yes"))</f>
        <v>2</v>
      </c>
      <c r="H39" s="46">
        <f>IF($AG39="","",IFERROR(VALUE(INDEX(Kobo_Import!$A$2:$CZ$301,$AG39,Field_Map!$B$16)&amp;""),0))</f>
        <v>7</v>
      </c>
      <c r="I39" s="46" t="str">
        <f>IF($AG39="","",IF(IFERROR(INDEX(Kobo_Import!$A$2:$CZ$301,$AG39,Field_Map!$B$17)&amp;"","")="","",IFERROR(INDEX(Lists!$N$5:$N$19,MATCH(INDEX(Kobo_Import!$A$2:$CZ$301,$AG39,Field_Map!$B$17)&amp;"",Lists!$M$5:$M$19,0)),INDEX(Kobo_Import!$A$2:$CZ$301,$AG39,Field_Map!$B$17)&amp;"")))</f>
        <v>Yes</v>
      </c>
      <c r="J39" s="46">
        <f>IF($AG39="","",IFERROR(VALUE(INDEX(Kobo_Import!$A$2:$CZ$301,$AG39,Field_Map!$B$18)&amp;""),0))</f>
        <v>0</v>
      </c>
      <c r="K39" s="46">
        <f>IF($AG39="","",IFERROR(VALUE(INDEX(Kobo_Import!$A$2:$CZ$301,$AG39,Field_Map!$B$19)&amp;""),0))</f>
        <v>3</v>
      </c>
      <c r="L39" s="46">
        <f>IF($AG39="","",IFERROR(VALUE(INDEX(Kobo_Import!$A$2:$CZ$301,$AG39,Field_Map!$B$20)&amp;""),0))</f>
        <v>2</v>
      </c>
      <c r="M39" s="46">
        <f>IF($AG39="","",IFERROR(VALUE(INDEX(Kobo_Import!$A$2:$CZ$301,$AG39,Field_Map!$B$21)&amp;""),0))</f>
        <v>2</v>
      </c>
      <c r="N39" s="46">
        <f>IF($AG39="","",IFERROR(VALUE(INDEX(Kobo_Import!$A$2:$CZ$301,$AG39,Field_Map!$B$22)&amp;""),0))</f>
        <v>2</v>
      </c>
      <c r="O39" s="46">
        <f>IF($AG39="","",IFERROR(VALUE(INDEX(Kobo_Import!$A$2:$CZ$301,$AG39,Field_Map!$B$23)&amp;""),0))</f>
        <v>0</v>
      </c>
      <c r="P39" s="46">
        <f>IF($AG39="","",IFERROR(VALUE(INDEX(Kobo_Import!$A$2:$CZ$301,$AG39,Field_Map!$B$24)&amp;""),0))</f>
        <v>0</v>
      </c>
      <c r="Q39" s="46">
        <f>IF($AG39="","",IFERROR(VALUE(INDEX(Kobo_Import!$A$2:$CZ$301,$AG39,Field_Map!$B$25)&amp;""),0))</f>
        <v>0</v>
      </c>
      <c r="R39" s="46">
        <f>IF($AG39="","",IFERROR(VALUE(INDEX(Kobo_Import!$A$2:$CZ$301,$AG39,Field_Map!$B$26)&amp;""),0))</f>
        <v>0</v>
      </c>
      <c r="S39" s="46">
        <f>IF($AG39="","",IFERROR(VALUE(INDEX(Kobo_Import!$A$2:$CZ$301,$AG39,Field_Map!$B$27)&amp;""),0))</f>
        <v>0</v>
      </c>
      <c r="T39" s="46">
        <f>IF($AG39="","",IFERROR(VALUE(INDEX(Kobo_Import!$A$2:$CZ$301,$AG39,Field_Map!$B$28)&amp;""),0))</f>
        <v>0</v>
      </c>
      <c r="U39" s="46" t="str">
        <f>IF($AG39="","",IF(IFERROR(INDEX(Kobo_Import!$A$2:$CZ$301,$AG39,Field_Map!$B$29)&amp;"","")="","",IFERROR(INDEX(Lists!$N$5:$N$19,MATCH(INDEX(Kobo_Import!$A$2:$CZ$301,$AG39,Field_Map!$B$29)&amp;"",Lists!$M$5:$M$19,0)),INDEX(Kobo_Import!$A$2:$CZ$301,$AG39,Field_Map!$B$29)&amp;"")))</f>
        <v/>
      </c>
      <c r="V39" s="50">
        <f>IF($A39="","",Settings!$B$5-F39)</f>
        <v>15</v>
      </c>
      <c r="W39" s="46">
        <f>IF($A39="","",(J39&gt;0)*Settings!$B$22+(P39&gt;0)*Settings!$B$23+(M39&gt;0)*Settings!$B$24+(O39&gt;0)*Settings!$B$25+(I39="Yes")*Settings!$B$26+(D39="Unusable")*Settings!$B$27+(D39="Damaged")*Settings!$B$28+(H39&gt;=Settings!$B$30)*Settings!$B$29)</f>
        <v>2</v>
      </c>
      <c r="X39" s="46" t="str">
        <f>IF($A39="","",IF(W39&gt;=Settings!$B$31,"High",IF(W39&gt;=Settings!$B$32,"Medium","Low")))</f>
        <v>Low</v>
      </c>
      <c r="Y39" s="46" t="str">
        <f>IF($A39="","",IF(V39&gt;Settings!$B$21,"Yes",""))</f>
        <v/>
      </c>
      <c r="Z39" s="46">
        <f>IF($A39="","",COUNTIFS(Referrals!$B$5:$B$52,$A39,Referrals!$G$5:$G$52,"Referred")+COUNTIFS(Referrals!$B$5:$B$52,$A39,Referrals!$G$5:$G$52,"Acknowledged"))</f>
        <v>0</v>
      </c>
      <c r="AA39" s="46">
        <f>IF($A39="","",COUNTIFS(Referrals!$B$5:$B$52,$A39,Referrals!$K$5:$K$52,"Overdue"))</f>
        <v>0</v>
      </c>
      <c r="AB39" s="46" t="str">
        <f>IF($A39="","",IF(AND(J39&gt;0,U39="Yes"),IF(COUNTIFS(Referrals!$B$5:$B$52,$A39,Referrals!$D$5:$D$52,"Nutrition / IYCF")=0,"Referral needed","Referred"),""))</f>
        <v/>
      </c>
      <c r="AC39" s="46" t="str">
        <f>IF($A39="","",IF(N(Needs_Gaps!O39)&gt;0,"Yes",""))</f>
        <v/>
      </c>
      <c r="AD39" s="46" t="str">
        <f>IF($A39="","",IF(COUNTIFS(Maintenance_Log!$C$5:$C$40,$A39,Maintenance_Log!$H$5:$H$40,"&lt;&gt;Resolved")&gt;0,"Yes",""))</f>
        <v/>
      </c>
      <c r="AE39" s="46">
        <f t="shared" si="2"/>
        <v>0</v>
      </c>
      <c r="AF39" s="46">
        <f t="shared" si="3"/>
        <v>0</v>
      </c>
      <c r="AG39" s="46">
        <f>IFERROR(MATCH(ROW()-4,Import_Index!$H$5:$H$304,0),"")</f>
        <v>94</v>
      </c>
    </row>
    <row r="40" spans="1:33" x14ac:dyDescent="0.3">
      <c r="A40" s="46" t="str">
        <f>IF($AG40="","",IFERROR(INDEX(Kobo_Import!$A$2:$CZ$301,$AG40,Field_Map!$B$13)&amp;"",""))</f>
        <v>HH-036</v>
      </c>
      <c r="B40" s="46" t="str">
        <f>IF($AG40="","",IF(IFERROR(INDEX(Kobo_Import!$A$2:$CZ$301,$AG40,Field_Map!$B$9)&amp;"","")="","",IFERROR(INDEX(Lists!$N$5:$N$19,MATCH(INDEX(Kobo_Import!$A$2:$CZ$301,$AG40,Field_Map!$B$9)&amp;"",Lists!$M$5:$M$19,0)),INDEX(Kobo_Import!$A$2:$CZ$301,$AG40,Field_Map!$B$9)&amp;"")))</f>
        <v>Site B – School Shelter</v>
      </c>
      <c r="C40" s="46" t="str">
        <f>IF($AG40="","",IF(IFERROR(INDEX(Kobo_Import!$A$2:$CZ$301,$AG40,Field_Map!$B$14)&amp;"","")="","",IFERROR(INDEX(Lists!$N$5:$N$19,MATCH(INDEX(Kobo_Import!$A$2:$CZ$301,$AG40,Field_Map!$B$14)&amp;"",Lists!$M$5:$M$19,0)),INDEX(Kobo_Import!$A$2:$CZ$301,$AG40,Field_Map!$B$14)&amp;"")))</f>
        <v>Classroom</v>
      </c>
      <c r="D40" s="46" t="str">
        <f>IF($AG40="","",IF(IFERROR(INDEX(Kobo_Import!$A$2:$CZ$301,$AG40,Field_Map!$B$15)&amp;"","")="","",IFERROR(INDEX(Lists!$N$5:$N$19,MATCH(INDEX(Kobo_Import!$A$2:$CZ$301,$AG40,Field_Map!$B$15)&amp;"",Lists!$M$5:$M$19,0)),INDEX(Kobo_Import!$A$2:$CZ$301,$AG40,Field_Map!$B$15)&amp;"")))</f>
        <v>Adequate</v>
      </c>
      <c r="E40" s="49">
        <f>IF($A40="","",IFERROR(INDEX(Import_Index!$D$5:$D$304,MATCH($A40&amp;"|registration",Import_Index!$I$5:$I$304,0)),F40))</f>
        <v>46036</v>
      </c>
      <c r="F40" s="49">
        <f>IF($AG40="","",INDEX(Import_Index!$D$5:$D$304,$AG40))</f>
        <v>46036</v>
      </c>
      <c r="G40" s="46">
        <f>IF($A40="","",COUNTIFS(Import_Index!$B$5:$B$304,$A40,Import_Index!$C$5:$C$304,"yes"))</f>
        <v>1</v>
      </c>
      <c r="H40" s="46">
        <f>IF($AG40="","",IFERROR(VALUE(INDEX(Kobo_Import!$A$2:$CZ$301,$AG40,Field_Map!$B$16)&amp;""),0))</f>
        <v>5</v>
      </c>
      <c r="I40" s="46" t="str">
        <f>IF($AG40="","",IF(IFERROR(INDEX(Kobo_Import!$A$2:$CZ$301,$AG40,Field_Map!$B$17)&amp;"","")="","",IFERROR(INDEX(Lists!$N$5:$N$19,MATCH(INDEX(Kobo_Import!$A$2:$CZ$301,$AG40,Field_Map!$B$17)&amp;"",Lists!$M$5:$M$19,0)),INDEX(Kobo_Import!$A$2:$CZ$301,$AG40,Field_Map!$B$17)&amp;"")))</f>
        <v>No</v>
      </c>
      <c r="J40" s="46">
        <f>IF($AG40="","",IFERROR(VALUE(INDEX(Kobo_Import!$A$2:$CZ$301,$AG40,Field_Map!$B$18)&amp;""),0))</f>
        <v>1</v>
      </c>
      <c r="K40" s="46">
        <f>IF($AG40="","",IFERROR(VALUE(INDEX(Kobo_Import!$A$2:$CZ$301,$AG40,Field_Map!$B$19)&amp;""),0))</f>
        <v>2</v>
      </c>
      <c r="L40" s="46">
        <f>IF($AG40="","",IFERROR(VALUE(INDEX(Kobo_Import!$A$2:$CZ$301,$AG40,Field_Map!$B$20)&amp;""),0))</f>
        <v>2</v>
      </c>
      <c r="M40" s="46">
        <f>IF($AG40="","",IFERROR(VALUE(INDEX(Kobo_Import!$A$2:$CZ$301,$AG40,Field_Map!$B$21)&amp;""),0))</f>
        <v>0</v>
      </c>
      <c r="N40" s="46">
        <f>IF($AG40="","",IFERROR(VALUE(INDEX(Kobo_Import!$A$2:$CZ$301,$AG40,Field_Map!$B$22)&amp;""),0))</f>
        <v>2</v>
      </c>
      <c r="O40" s="46">
        <f>IF($AG40="","",IFERROR(VALUE(INDEX(Kobo_Import!$A$2:$CZ$301,$AG40,Field_Map!$B$23)&amp;""),0))</f>
        <v>1</v>
      </c>
      <c r="P40" s="46">
        <f>IF($AG40="","",IFERROR(VALUE(INDEX(Kobo_Import!$A$2:$CZ$301,$AG40,Field_Map!$B$24)&amp;""),0))</f>
        <v>0</v>
      </c>
      <c r="Q40" s="46">
        <f>IF($AG40="","",IFERROR(VALUE(INDEX(Kobo_Import!$A$2:$CZ$301,$AG40,Field_Map!$B$25)&amp;""),0))</f>
        <v>5</v>
      </c>
      <c r="R40" s="46">
        <f>IF($AG40="","",IFERROR(VALUE(INDEX(Kobo_Import!$A$2:$CZ$301,$AG40,Field_Map!$B$26)&amp;""),0))</f>
        <v>4</v>
      </c>
      <c r="S40" s="46">
        <f>IF($AG40="","",IFERROR(VALUE(INDEX(Kobo_Import!$A$2:$CZ$301,$AG40,Field_Map!$B$27)&amp;""),0))</f>
        <v>2</v>
      </c>
      <c r="T40" s="46">
        <f>IF($AG40="","",IFERROR(VALUE(INDEX(Kobo_Import!$A$2:$CZ$301,$AG40,Field_Map!$B$28)&amp;""),0))</f>
        <v>1</v>
      </c>
      <c r="U40" s="46" t="str">
        <f>IF($AG40="","",IF(IFERROR(INDEX(Kobo_Import!$A$2:$CZ$301,$AG40,Field_Map!$B$29)&amp;"","")="","",IFERROR(INDEX(Lists!$N$5:$N$19,MATCH(INDEX(Kobo_Import!$A$2:$CZ$301,$AG40,Field_Map!$B$29)&amp;"",Lists!$M$5:$M$19,0)),INDEX(Kobo_Import!$A$2:$CZ$301,$AG40,Field_Map!$B$29)&amp;"")))</f>
        <v>No</v>
      </c>
      <c r="V40" s="50">
        <f>IF($A40="","",Settings!$B$5-F40)</f>
        <v>17</v>
      </c>
      <c r="W40" s="46">
        <f>IF($A40="","",(J40&gt;0)*Settings!$B$22+(P40&gt;0)*Settings!$B$23+(M40&gt;0)*Settings!$B$24+(O40&gt;0)*Settings!$B$25+(I40="Yes")*Settings!$B$26+(D40="Unusable")*Settings!$B$27+(D40="Damaged")*Settings!$B$28+(H40&gt;=Settings!$B$30)*Settings!$B$29)</f>
        <v>3</v>
      </c>
      <c r="X40" s="46" t="str">
        <f>IF($A40="","",IF(W40&gt;=Settings!$B$31,"High",IF(W40&gt;=Settings!$B$32,"Medium","Low")))</f>
        <v>Medium</v>
      </c>
      <c r="Y40" s="46" t="str">
        <f>IF($A40="","",IF(V40&gt;Settings!$B$21,"Yes",""))</f>
        <v/>
      </c>
      <c r="Z40" s="46">
        <f>IF($A40="","",COUNTIFS(Referrals!$B$5:$B$52,$A40,Referrals!$G$5:$G$52,"Referred")+COUNTIFS(Referrals!$B$5:$B$52,$A40,Referrals!$G$5:$G$52,"Acknowledged"))</f>
        <v>0</v>
      </c>
      <c r="AA40" s="46">
        <f>IF($A40="","",COUNTIFS(Referrals!$B$5:$B$52,$A40,Referrals!$K$5:$K$52,"Overdue"))</f>
        <v>0</v>
      </c>
      <c r="AB40" s="46" t="str">
        <f>IF($A40="","",IF(AND(J40&gt;0,U40="Yes"),IF(COUNTIFS(Referrals!$B$5:$B$52,$A40,Referrals!$D$5:$D$52,"Nutrition / IYCF")=0,"Referral needed","Referred"),""))</f>
        <v/>
      </c>
      <c r="AC40" s="46" t="str">
        <f>IF($A40="","",IF(N(Needs_Gaps!O40)&gt;0,"Yes",""))</f>
        <v/>
      </c>
      <c r="AD40" s="46" t="str">
        <f>IF($A40="","",IF(COUNTIFS(Maintenance_Log!$C$5:$C$40,$A40,Maintenance_Log!$H$5:$H$40,"&lt;&gt;Resolved")&gt;0,"Yes",""))</f>
        <v/>
      </c>
      <c r="AE40" s="46">
        <f t="shared" si="2"/>
        <v>0</v>
      </c>
      <c r="AF40" s="46">
        <f t="shared" si="3"/>
        <v>0</v>
      </c>
      <c r="AG40" s="46">
        <f>IFERROR(MATCH(ROW()-4,Import_Index!$H$5:$H$304,0),"")</f>
        <v>80</v>
      </c>
    </row>
    <row r="41" spans="1:33" x14ac:dyDescent="0.3">
      <c r="A41" s="46" t="str">
        <f>IF($AG41="","",IFERROR(INDEX(Kobo_Import!$A$2:$CZ$301,$AG41,Field_Map!$B$13)&amp;"",""))</f>
        <v>HH-037</v>
      </c>
      <c r="B41" s="46" t="str">
        <f>IF($AG41="","",IF(IFERROR(INDEX(Kobo_Import!$A$2:$CZ$301,$AG41,Field_Map!$B$9)&amp;"","")="","",IFERROR(INDEX(Lists!$N$5:$N$19,MATCH(INDEX(Kobo_Import!$A$2:$CZ$301,$AG41,Field_Map!$B$9)&amp;"",Lists!$M$5:$M$19,0)),INDEX(Kobo_Import!$A$2:$CZ$301,$AG41,Field_Map!$B$9)&amp;"")))</f>
        <v>Site B – School Shelter</v>
      </c>
      <c r="C41" s="46" t="str">
        <f>IF($AG41="","",IF(IFERROR(INDEX(Kobo_Import!$A$2:$CZ$301,$AG41,Field_Map!$B$14)&amp;"","")="","",IFERROR(INDEX(Lists!$N$5:$N$19,MATCH(INDEX(Kobo_Import!$A$2:$CZ$301,$AG41,Field_Map!$B$14)&amp;"",Lists!$M$5:$M$19,0)),INDEX(Kobo_Import!$A$2:$CZ$301,$AG41,Field_Map!$B$14)&amp;"")))</f>
        <v>Classroom</v>
      </c>
      <c r="D41" s="46" t="str">
        <f>IF($AG41="","",IF(IFERROR(INDEX(Kobo_Import!$A$2:$CZ$301,$AG41,Field_Map!$B$15)&amp;"","")="","",IFERROR(INDEX(Lists!$N$5:$N$19,MATCH(INDEX(Kobo_Import!$A$2:$CZ$301,$AG41,Field_Map!$B$15)&amp;"",Lists!$M$5:$M$19,0)),INDEX(Kobo_Import!$A$2:$CZ$301,$AG41,Field_Map!$B$15)&amp;"")))</f>
        <v>Adequate</v>
      </c>
      <c r="E41" s="49">
        <f>IF($A41="","",IFERROR(INDEX(Import_Index!$D$5:$D$304,MATCH($A41&amp;"|registration",Import_Index!$I$5:$I$304,0)),F41))</f>
        <v>46006</v>
      </c>
      <c r="F41" s="49">
        <f>IF($AG41="","",INDEX(Import_Index!$D$5:$D$304,$AG41))</f>
        <v>46045</v>
      </c>
      <c r="G41" s="46">
        <f>IF($A41="","",COUNTIFS(Import_Index!$B$5:$B$304,$A41,Import_Index!$C$5:$C$304,"yes"))</f>
        <v>2</v>
      </c>
      <c r="H41" s="46">
        <f>IF($AG41="","",IFERROR(VALUE(INDEX(Kobo_Import!$A$2:$CZ$301,$AG41,Field_Map!$B$16)&amp;""),0))</f>
        <v>9</v>
      </c>
      <c r="I41" s="46" t="str">
        <f>IF($AG41="","",IF(IFERROR(INDEX(Kobo_Import!$A$2:$CZ$301,$AG41,Field_Map!$B$17)&amp;"","")="","",IFERROR(INDEX(Lists!$N$5:$N$19,MATCH(INDEX(Kobo_Import!$A$2:$CZ$301,$AG41,Field_Map!$B$17)&amp;"",Lists!$M$5:$M$19,0)),INDEX(Kobo_Import!$A$2:$CZ$301,$AG41,Field_Map!$B$17)&amp;"")))</f>
        <v>No</v>
      </c>
      <c r="J41" s="46">
        <f>IF($AG41="","",IFERROR(VALUE(INDEX(Kobo_Import!$A$2:$CZ$301,$AG41,Field_Map!$B$18)&amp;""),0))</f>
        <v>0</v>
      </c>
      <c r="K41" s="46">
        <f>IF($AG41="","",IFERROR(VALUE(INDEX(Kobo_Import!$A$2:$CZ$301,$AG41,Field_Map!$B$19)&amp;""),0))</f>
        <v>6</v>
      </c>
      <c r="L41" s="46">
        <f>IF($AG41="","",IFERROR(VALUE(INDEX(Kobo_Import!$A$2:$CZ$301,$AG41,Field_Map!$B$20)&amp;""),0))</f>
        <v>2</v>
      </c>
      <c r="M41" s="46">
        <f>IF($AG41="","",IFERROR(VALUE(INDEX(Kobo_Import!$A$2:$CZ$301,$AG41,Field_Map!$B$21)&amp;""),0))</f>
        <v>1</v>
      </c>
      <c r="N41" s="46">
        <f>IF($AG41="","",IFERROR(VALUE(INDEX(Kobo_Import!$A$2:$CZ$301,$AG41,Field_Map!$B$22)&amp;""),0))</f>
        <v>2</v>
      </c>
      <c r="O41" s="46">
        <f>IF($AG41="","",IFERROR(VALUE(INDEX(Kobo_Import!$A$2:$CZ$301,$AG41,Field_Map!$B$23)&amp;""),0))</f>
        <v>0</v>
      </c>
      <c r="P41" s="46">
        <f>IF($AG41="","",IFERROR(VALUE(INDEX(Kobo_Import!$A$2:$CZ$301,$AG41,Field_Map!$B$24)&amp;""),0))</f>
        <v>0</v>
      </c>
      <c r="Q41" s="46">
        <f>IF($AG41="","",IFERROR(VALUE(INDEX(Kobo_Import!$A$2:$CZ$301,$AG41,Field_Map!$B$25)&amp;""),0))</f>
        <v>17</v>
      </c>
      <c r="R41" s="46">
        <f>IF($AG41="","",IFERROR(VALUE(INDEX(Kobo_Import!$A$2:$CZ$301,$AG41,Field_Map!$B$26)&amp;""),0))</f>
        <v>1</v>
      </c>
      <c r="S41" s="46">
        <f>IF($AG41="","",IFERROR(VALUE(INDEX(Kobo_Import!$A$2:$CZ$301,$AG41,Field_Map!$B$27)&amp;""),0))</f>
        <v>1</v>
      </c>
      <c r="T41" s="46">
        <f>IF($AG41="","",IFERROR(VALUE(INDEX(Kobo_Import!$A$2:$CZ$301,$AG41,Field_Map!$B$28)&amp;""),0))</f>
        <v>0</v>
      </c>
      <c r="U41" s="46" t="str">
        <f>IF($AG41="","",IF(IFERROR(INDEX(Kobo_Import!$A$2:$CZ$301,$AG41,Field_Map!$B$29)&amp;"","")="","",IFERROR(INDEX(Lists!$N$5:$N$19,MATCH(INDEX(Kobo_Import!$A$2:$CZ$301,$AG41,Field_Map!$B$29)&amp;"",Lists!$M$5:$M$19,0)),INDEX(Kobo_Import!$A$2:$CZ$301,$AG41,Field_Map!$B$29)&amp;"")))</f>
        <v/>
      </c>
      <c r="V41" s="50">
        <f>IF($A41="","",Settings!$B$5-F41)</f>
        <v>8</v>
      </c>
      <c r="W41" s="46">
        <f>IF($A41="","",(J41&gt;0)*Settings!$B$22+(P41&gt;0)*Settings!$B$23+(M41&gt;0)*Settings!$B$24+(O41&gt;0)*Settings!$B$25+(I41="Yes")*Settings!$B$26+(D41="Unusable")*Settings!$B$27+(D41="Damaged")*Settings!$B$28+(H41&gt;=Settings!$B$30)*Settings!$B$29)</f>
        <v>2</v>
      </c>
      <c r="X41" s="46" t="str">
        <f>IF($A41="","",IF(W41&gt;=Settings!$B$31,"High",IF(W41&gt;=Settings!$B$32,"Medium","Low")))</f>
        <v>Low</v>
      </c>
      <c r="Y41" s="46" t="str">
        <f>IF($A41="","",IF(V41&gt;Settings!$B$21,"Yes",""))</f>
        <v/>
      </c>
      <c r="Z41" s="46">
        <f>IF($A41="","",COUNTIFS(Referrals!$B$5:$B$52,$A41,Referrals!$G$5:$G$52,"Referred")+COUNTIFS(Referrals!$B$5:$B$52,$A41,Referrals!$G$5:$G$52,"Acknowledged"))</f>
        <v>0</v>
      </c>
      <c r="AA41" s="46">
        <f>IF($A41="","",COUNTIFS(Referrals!$B$5:$B$52,$A41,Referrals!$K$5:$K$52,"Overdue"))</f>
        <v>0</v>
      </c>
      <c r="AB41" s="46" t="str">
        <f>IF($A41="","",IF(AND(J41&gt;0,U41="Yes"),IF(COUNTIFS(Referrals!$B$5:$B$52,$A41,Referrals!$D$5:$D$52,"Nutrition / IYCF")=0,"Referral needed","Referred"),""))</f>
        <v/>
      </c>
      <c r="AC41" s="46" t="str">
        <f>IF($A41="","",IF(N(Needs_Gaps!O41)&gt;0,"Yes",""))</f>
        <v/>
      </c>
      <c r="AD41" s="46" t="str">
        <f>IF($A41="","",IF(COUNTIFS(Maintenance_Log!$C$5:$C$40,$A41,Maintenance_Log!$H$5:$H$40,"&lt;&gt;Resolved")&gt;0,"Yes",""))</f>
        <v/>
      </c>
      <c r="AE41" s="46">
        <f t="shared" si="2"/>
        <v>0</v>
      </c>
      <c r="AF41" s="46">
        <f t="shared" si="3"/>
        <v>0</v>
      </c>
      <c r="AG41" s="46">
        <f>IFERROR(MATCH(ROW()-4,Import_Index!$H$5:$H$304,0),"")</f>
        <v>122</v>
      </c>
    </row>
    <row r="42" spans="1:33" x14ac:dyDescent="0.3">
      <c r="A42" s="46" t="str">
        <f>IF($AG42="","",IFERROR(INDEX(Kobo_Import!$A$2:$CZ$301,$AG42,Field_Map!$B$13)&amp;"",""))</f>
        <v>HH-038</v>
      </c>
      <c r="B42" s="46" t="str">
        <f>IF($AG42="","",IF(IFERROR(INDEX(Kobo_Import!$A$2:$CZ$301,$AG42,Field_Map!$B$9)&amp;"","")="","",IFERROR(INDEX(Lists!$N$5:$N$19,MATCH(INDEX(Kobo_Import!$A$2:$CZ$301,$AG42,Field_Map!$B$9)&amp;"",Lists!$M$5:$M$19,0)),INDEX(Kobo_Import!$A$2:$CZ$301,$AG42,Field_Map!$B$9)&amp;"")))</f>
        <v>Site B – School Shelter</v>
      </c>
      <c r="C42" s="46" t="str">
        <f>IF($AG42="","",IF(IFERROR(INDEX(Kobo_Import!$A$2:$CZ$301,$AG42,Field_Map!$B$14)&amp;"","")="","",IFERROR(INDEX(Lists!$N$5:$N$19,MATCH(INDEX(Kobo_Import!$A$2:$CZ$301,$AG42,Field_Map!$B$14)&amp;"",Lists!$M$5:$M$19,0)),INDEX(Kobo_Import!$A$2:$CZ$301,$AG42,Field_Map!$B$14)&amp;"")))</f>
        <v>Classroom</v>
      </c>
      <c r="D42" s="46" t="str">
        <f>IF($AG42="","",IF(IFERROR(INDEX(Kobo_Import!$A$2:$CZ$301,$AG42,Field_Map!$B$15)&amp;"","")="","",IFERROR(INDEX(Lists!$N$5:$N$19,MATCH(INDEX(Kobo_Import!$A$2:$CZ$301,$AG42,Field_Map!$B$15)&amp;"",Lists!$M$5:$M$19,0)),INDEX(Kobo_Import!$A$2:$CZ$301,$AG42,Field_Map!$B$15)&amp;"")))</f>
        <v>Adequate</v>
      </c>
      <c r="E42" s="49">
        <f>IF($A42="","",IFERROR(INDEX(Import_Index!$D$5:$D$304,MATCH($A42&amp;"|registration",Import_Index!$I$5:$I$304,0)),F42))</f>
        <v>46012</v>
      </c>
      <c r="F42" s="49">
        <f>IF($AG42="","",INDEX(Import_Index!$D$5:$D$304,$AG42))</f>
        <v>46012</v>
      </c>
      <c r="G42" s="46">
        <f>IF($A42="","",COUNTIFS(Import_Index!$B$5:$B$304,$A42,Import_Index!$C$5:$C$304,"yes"))</f>
        <v>1</v>
      </c>
      <c r="H42" s="46">
        <f>IF($AG42="","",IFERROR(VALUE(INDEX(Kobo_Import!$A$2:$CZ$301,$AG42,Field_Map!$B$16)&amp;""),0))</f>
        <v>4</v>
      </c>
      <c r="I42" s="46" t="str">
        <f>IF($AG42="","",IF(IFERROR(INDEX(Kobo_Import!$A$2:$CZ$301,$AG42,Field_Map!$B$17)&amp;"","")="","",IFERROR(INDEX(Lists!$N$5:$N$19,MATCH(INDEX(Kobo_Import!$A$2:$CZ$301,$AG42,Field_Map!$B$17)&amp;"",Lists!$M$5:$M$19,0)),INDEX(Kobo_Import!$A$2:$CZ$301,$AG42,Field_Map!$B$17)&amp;"")))</f>
        <v>No</v>
      </c>
      <c r="J42" s="46">
        <f>IF($AG42="","",IFERROR(VALUE(INDEX(Kobo_Import!$A$2:$CZ$301,$AG42,Field_Map!$B$18)&amp;""),0))</f>
        <v>2</v>
      </c>
      <c r="K42" s="46">
        <f>IF($AG42="","",IFERROR(VALUE(INDEX(Kobo_Import!$A$2:$CZ$301,$AG42,Field_Map!$B$19)&amp;""),0))</f>
        <v>0</v>
      </c>
      <c r="L42" s="46">
        <f>IF($AG42="","",IFERROR(VALUE(INDEX(Kobo_Import!$A$2:$CZ$301,$AG42,Field_Map!$B$20)&amp;""),0))</f>
        <v>2</v>
      </c>
      <c r="M42" s="46">
        <f>IF($AG42="","",IFERROR(VALUE(INDEX(Kobo_Import!$A$2:$CZ$301,$AG42,Field_Map!$B$21)&amp;""),0))</f>
        <v>0</v>
      </c>
      <c r="N42" s="46">
        <f>IF($AG42="","",IFERROR(VALUE(INDEX(Kobo_Import!$A$2:$CZ$301,$AG42,Field_Map!$B$22)&amp;""),0))</f>
        <v>1</v>
      </c>
      <c r="O42" s="46">
        <f>IF($AG42="","",IFERROR(VALUE(INDEX(Kobo_Import!$A$2:$CZ$301,$AG42,Field_Map!$B$23)&amp;""),0))</f>
        <v>0</v>
      </c>
      <c r="P42" s="46">
        <f>IF($AG42="","",IFERROR(VALUE(INDEX(Kobo_Import!$A$2:$CZ$301,$AG42,Field_Map!$B$24)&amp;""),0))</f>
        <v>1</v>
      </c>
      <c r="Q42" s="46">
        <f>IF($AG42="","",IFERROR(VALUE(INDEX(Kobo_Import!$A$2:$CZ$301,$AG42,Field_Map!$B$25)&amp;""),0))</f>
        <v>1</v>
      </c>
      <c r="R42" s="46">
        <f>IF($AG42="","",IFERROR(VALUE(INDEX(Kobo_Import!$A$2:$CZ$301,$AG42,Field_Map!$B$26)&amp;""),0))</f>
        <v>3</v>
      </c>
      <c r="S42" s="46">
        <f>IF($AG42="","",IFERROR(VALUE(INDEX(Kobo_Import!$A$2:$CZ$301,$AG42,Field_Map!$B$27)&amp;""),0))</f>
        <v>1</v>
      </c>
      <c r="T42" s="46">
        <f>IF($AG42="","",IFERROR(VALUE(INDEX(Kobo_Import!$A$2:$CZ$301,$AG42,Field_Map!$B$28)&amp;""),0))</f>
        <v>0</v>
      </c>
      <c r="U42" s="46" t="str">
        <f>IF($AG42="","",IF(IFERROR(INDEX(Kobo_Import!$A$2:$CZ$301,$AG42,Field_Map!$B$29)&amp;"","")="","",IFERROR(INDEX(Lists!$N$5:$N$19,MATCH(INDEX(Kobo_Import!$A$2:$CZ$301,$AG42,Field_Map!$B$29)&amp;"",Lists!$M$5:$M$19,0)),INDEX(Kobo_Import!$A$2:$CZ$301,$AG42,Field_Map!$B$29)&amp;"")))</f>
        <v>Yes</v>
      </c>
      <c r="V42" s="50">
        <f>IF($A42="","",Settings!$B$5-F42)</f>
        <v>41</v>
      </c>
      <c r="W42" s="46">
        <f>IF($A42="","",(J42&gt;0)*Settings!$B$22+(P42&gt;0)*Settings!$B$23+(M42&gt;0)*Settings!$B$24+(O42&gt;0)*Settings!$B$25+(I42="Yes")*Settings!$B$26+(D42="Unusable")*Settings!$B$27+(D42="Damaged")*Settings!$B$28+(H42&gt;=Settings!$B$30)*Settings!$B$29)</f>
        <v>4</v>
      </c>
      <c r="X42" s="46" t="str">
        <f>IF($A42="","",IF(W42&gt;=Settings!$B$31,"High",IF(W42&gt;=Settings!$B$32,"Medium","Low")))</f>
        <v>Medium</v>
      </c>
      <c r="Y42" s="46" t="str">
        <f>IF($A42="","",IF(V42&gt;Settings!$B$21,"Yes",""))</f>
        <v>Yes</v>
      </c>
      <c r="Z42" s="46">
        <f>IF($A42="","",COUNTIFS(Referrals!$B$5:$B$52,$A42,Referrals!$G$5:$G$52,"Referred")+COUNTIFS(Referrals!$B$5:$B$52,$A42,Referrals!$G$5:$G$52,"Acknowledged"))</f>
        <v>0</v>
      </c>
      <c r="AA42" s="46">
        <f>IF($A42="","",COUNTIFS(Referrals!$B$5:$B$52,$A42,Referrals!$K$5:$K$52,"Overdue"))</f>
        <v>0</v>
      </c>
      <c r="AB42" s="46" t="str">
        <f>IF($A42="","",IF(AND(J42&gt;0,U42="Yes"),IF(COUNTIFS(Referrals!$B$5:$B$52,$A42,Referrals!$D$5:$D$52,"Nutrition / IYCF")=0,"Referral needed","Referred"),""))</f>
        <v>Referred</v>
      </c>
      <c r="AC42" s="46" t="str">
        <f>IF($A42="","",IF(N(Needs_Gaps!O42)&gt;0,"Yes",""))</f>
        <v/>
      </c>
      <c r="AD42" s="46" t="str">
        <f>IF($A42="","",IF(COUNTIFS(Maintenance_Log!$C$5:$C$40,$A42,Maintenance_Log!$H$5:$H$40,"&lt;&gt;Resolved")&gt;0,"Yes",""))</f>
        <v/>
      </c>
      <c r="AE42" s="46">
        <f t="shared" si="2"/>
        <v>1</v>
      </c>
      <c r="AF42" s="46">
        <f t="shared" si="3"/>
        <v>104962</v>
      </c>
      <c r="AG42" s="46">
        <f>IFERROR(MATCH(ROW()-4,Import_Index!$H$5:$H$304,0),"")</f>
        <v>17</v>
      </c>
    </row>
    <row r="43" spans="1:33" x14ac:dyDescent="0.3">
      <c r="A43" s="46" t="str">
        <f>IF($AG43="","",IFERROR(INDEX(Kobo_Import!$A$2:$CZ$301,$AG43,Field_Map!$B$13)&amp;"",""))</f>
        <v>HH-039</v>
      </c>
      <c r="B43" s="46" t="str">
        <f>IF($AG43="","",IF(IFERROR(INDEX(Kobo_Import!$A$2:$CZ$301,$AG43,Field_Map!$B$9)&amp;"","")="","",IFERROR(INDEX(Lists!$N$5:$N$19,MATCH(INDEX(Kobo_Import!$A$2:$CZ$301,$AG43,Field_Map!$B$9)&amp;"",Lists!$M$5:$M$19,0)),INDEX(Kobo_Import!$A$2:$CZ$301,$AG43,Field_Map!$B$9)&amp;"")))</f>
        <v>Site B – School Shelter</v>
      </c>
      <c r="C43" s="46" t="str">
        <f>IF($AG43="","",IF(IFERROR(INDEX(Kobo_Import!$A$2:$CZ$301,$AG43,Field_Map!$B$14)&amp;"","")="","",IFERROR(INDEX(Lists!$N$5:$N$19,MATCH(INDEX(Kobo_Import!$A$2:$CZ$301,$AG43,Field_Map!$B$14)&amp;"",Lists!$M$5:$M$19,0)),INDEX(Kobo_Import!$A$2:$CZ$301,$AG43,Field_Map!$B$14)&amp;"")))</f>
        <v>Classroom</v>
      </c>
      <c r="D43" s="46" t="str">
        <f>IF($AG43="","",IF(IFERROR(INDEX(Kobo_Import!$A$2:$CZ$301,$AG43,Field_Map!$B$15)&amp;"","")="","",IFERROR(INDEX(Lists!$N$5:$N$19,MATCH(INDEX(Kobo_Import!$A$2:$CZ$301,$AG43,Field_Map!$B$15)&amp;"",Lists!$M$5:$M$19,0)),INDEX(Kobo_Import!$A$2:$CZ$301,$AG43,Field_Map!$B$15)&amp;"")))</f>
        <v>Damaged</v>
      </c>
      <c r="E43" s="49">
        <f>IF($A43="","",IFERROR(INDEX(Import_Index!$D$5:$D$304,MATCH($A43&amp;"|registration",Import_Index!$I$5:$I$304,0)),F43))</f>
        <v>46031</v>
      </c>
      <c r="F43" s="49">
        <f>IF($AG43="","",INDEX(Import_Index!$D$5:$D$304,$AG43))</f>
        <v>46031</v>
      </c>
      <c r="G43" s="46">
        <f>IF($A43="","",COUNTIFS(Import_Index!$B$5:$B$304,$A43,Import_Index!$C$5:$C$304,"yes"))</f>
        <v>1</v>
      </c>
      <c r="H43" s="46">
        <f>IF($AG43="","",IFERROR(VALUE(INDEX(Kobo_Import!$A$2:$CZ$301,$AG43,Field_Map!$B$16)&amp;""),0))</f>
        <v>7</v>
      </c>
      <c r="I43" s="46" t="str">
        <f>IF($AG43="","",IF(IFERROR(INDEX(Kobo_Import!$A$2:$CZ$301,$AG43,Field_Map!$B$17)&amp;"","")="","",IFERROR(INDEX(Lists!$N$5:$N$19,MATCH(INDEX(Kobo_Import!$A$2:$CZ$301,$AG43,Field_Map!$B$17)&amp;"",Lists!$M$5:$M$19,0)),INDEX(Kobo_Import!$A$2:$CZ$301,$AG43,Field_Map!$B$17)&amp;"")))</f>
        <v>No</v>
      </c>
      <c r="J43" s="46">
        <f>IF($AG43="","",IFERROR(VALUE(INDEX(Kobo_Import!$A$2:$CZ$301,$AG43,Field_Map!$B$18)&amp;""),0))</f>
        <v>0</v>
      </c>
      <c r="K43" s="46">
        <f>IF($AG43="","",IFERROR(VALUE(INDEX(Kobo_Import!$A$2:$CZ$301,$AG43,Field_Map!$B$19)&amp;""),0))</f>
        <v>5</v>
      </c>
      <c r="L43" s="46">
        <f>IF($AG43="","",IFERROR(VALUE(INDEX(Kobo_Import!$A$2:$CZ$301,$AG43,Field_Map!$B$20)&amp;""),0))</f>
        <v>2</v>
      </c>
      <c r="M43" s="46">
        <f>IF($AG43="","",IFERROR(VALUE(INDEX(Kobo_Import!$A$2:$CZ$301,$AG43,Field_Map!$B$21)&amp;""),0))</f>
        <v>0</v>
      </c>
      <c r="N43" s="46">
        <f>IF($AG43="","",IFERROR(VALUE(INDEX(Kobo_Import!$A$2:$CZ$301,$AG43,Field_Map!$B$22)&amp;""),0))</f>
        <v>1</v>
      </c>
      <c r="O43" s="46">
        <f>IF($AG43="","",IFERROR(VALUE(INDEX(Kobo_Import!$A$2:$CZ$301,$AG43,Field_Map!$B$23)&amp;""),0))</f>
        <v>0</v>
      </c>
      <c r="P43" s="46">
        <f>IF($AG43="","",IFERROR(VALUE(INDEX(Kobo_Import!$A$2:$CZ$301,$AG43,Field_Map!$B$24)&amp;""),0))</f>
        <v>1</v>
      </c>
      <c r="Q43" s="46">
        <f>IF($AG43="","",IFERROR(VALUE(INDEX(Kobo_Import!$A$2:$CZ$301,$AG43,Field_Map!$B$25)&amp;""),0))</f>
        <v>10</v>
      </c>
      <c r="R43" s="46">
        <f>IF($AG43="","",IFERROR(VALUE(INDEX(Kobo_Import!$A$2:$CZ$301,$AG43,Field_Map!$B$26)&amp;""),0))</f>
        <v>6</v>
      </c>
      <c r="S43" s="46">
        <f>IF($AG43="","",IFERROR(VALUE(INDEX(Kobo_Import!$A$2:$CZ$301,$AG43,Field_Map!$B$27)&amp;""),0))</f>
        <v>2</v>
      </c>
      <c r="T43" s="46">
        <f>IF($AG43="","",IFERROR(VALUE(INDEX(Kobo_Import!$A$2:$CZ$301,$AG43,Field_Map!$B$28)&amp;""),0))</f>
        <v>0</v>
      </c>
      <c r="U43" s="46" t="str">
        <f>IF($AG43="","",IF(IFERROR(INDEX(Kobo_Import!$A$2:$CZ$301,$AG43,Field_Map!$B$29)&amp;"","")="","",IFERROR(INDEX(Lists!$N$5:$N$19,MATCH(INDEX(Kobo_Import!$A$2:$CZ$301,$AG43,Field_Map!$B$29)&amp;"",Lists!$M$5:$M$19,0)),INDEX(Kobo_Import!$A$2:$CZ$301,$AG43,Field_Map!$B$29)&amp;"")))</f>
        <v/>
      </c>
      <c r="V43" s="50">
        <f>IF($A43="","",Settings!$B$5-F43)</f>
        <v>22</v>
      </c>
      <c r="W43" s="46">
        <f>IF($A43="","",(J43&gt;0)*Settings!$B$22+(P43&gt;0)*Settings!$B$23+(M43&gt;0)*Settings!$B$24+(O43&gt;0)*Settings!$B$25+(I43="Yes")*Settings!$B$26+(D43="Unusable")*Settings!$B$27+(D43="Damaged")*Settings!$B$28+(H43&gt;=Settings!$B$30)*Settings!$B$29)</f>
        <v>3</v>
      </c>
      <c r="X43" s="46" t="str">
        <f>IF($A43="","",IF(W43&gt;=Settings!$B$31,"High",IF(W43&gt;=Settings!$B$32,"Medium","Low")))</f>
        <v>Medium</v>
      </c>
      <c r="Y43" s="46" t="str">
        <f>IF($A43="","",IF(V43&gt;Settings!$B$21,"Yes",""))</f>
        <v/>
      </c>
      <c r="Z43" s="46">
        <f>IF($A43="","",COUNTIFS(Referrals!$B$5:$B$52,$A43,Referrals!$G$5:$G$52,"Referred")+COUNTIFS(Referrals!$B$5:$B$52,$A43,Referrals!$G$5:$G$52,"Acknowledged"))</f>
        <v>0</v>
      </c>
      <c r="AA43" s="46">
        <f>IF($A43="","",COUNTIFS(Referrals!$B$5:$B$52,$A43,Referrals!$K$5:$K$52,"Overdue"))</f>
        <v>0</v>
      </c>
      <c r="AB43" s="46" t="str">
        <f>IF($A43="","",IF(AND(J43&gt;0,U43="Yes"),IF(COUNTIFS(Referrals!$B$5:$B$52,$A43,Referrals!$D$5:$D$52,"Nutrition / IYCF")=0,"Referral needed","Referred"),""))</f>
        <v/>
      </c>
      <c r="AC43" s="46" t="str">
        <f>IF($A43="","",IF(N(Needs_Gaps!O43)&gt;0,"Yes",""))</f>
        <v/>
      </c>
      <c r="AD43" s="46" t="str">
        <f>IF($A43="","",IF(COUNTIFS(Maintenance_Log!$C$5:$C$40,$A43,Maintenance_Log!$H$5:$H$40,"&lt;&gt;Resolved")&gt;0,"Yes",""))</f>
        <v/>
      </c>
      <c r="AE43" s="46">
        <f t="shared" si="2"/>
        <v>0</v>
      </c>
      <c r="AF43" s="46">
        <f t="shared" si="3"/>
        <v>0</v>
      </c>
      <c r="AG43" s="46">
        <f>IFERROR(MATCH(ROW()-4,Import_Index!$H$5:$H$304,0),"")</f>
        <v>59</v>
      </c>
    </row>
    <row r="44" spans="1:33" x14ac:dyDescent="0.3">
      <c r="A44" s="46" t="str">
        <f>IF($AG44="","",IFERROR(INDEX(Kobo_Import!$A$2:$CZ$301,$AG44,Field_Map!$B$13)&amp;"",""))</f>
        <v>HH-040</v>
      </c>
      <c r="B44" s="46" t="str">
        <f>IF($AG44="","",IF(IFERROR(INDEX(Kobo_Import!$A$2:$CZ$301,$AG44,Field_Map!$B$9)&amp;"","")="","",IFERROR(INDEX(Lists!$N$5:$N$19,MATCH(INDEX(Kobo_Import!$A$2:$CZ$301,$AG44,Field_Map!$B$9)&amp;"",Lists!$M$5:$M$19,0)),INDEX(Kobo_Import!$A$2:$CZ$301,$AG44,Field_Map!$B$9)&amp;"")))</f>
        <v>Site B – School Shelter</v>
      </c>
      <c r="C44" s="46" t="str">
        <f>IF($AG44="","",IF(IFERROR(INDEX(Kobo_Import!$A$2:$CZ$301,$AG44,Field_Map!$B$14)&amp;"","")="","",IFERROR(INDEX(Lists!$N$5:$N$19,MATCH(INDEX(Kobo_Import!$A$2:$CZ$301,$AG44,Field_Map!$B$14)&amp;"",Lists!$M$5:$M$19,0)),INDEX(Kobo_Import!$A$2:$CZ$301,$AG44,Field_Map!$B$14)&amp;"")))</f>
        <v>Classroom</v>
      </c>
      <c r="D44" s="46" t="str">
        <f>IF($AG44="","",IF(IFERROR(INDEX(Kobo_Import!$A$2:$CZ$301,$AG44,Field_Map!$B$15)&amp;"","")="","",IFERROR(INDEX(Lists!$N$5:$N$19,MATCH(INDEX(Kobo_Import!$A$2:$CZ$301,$AG44,Field_Map!$B$15)&amp;"",Lists!$M$5:$M$19,0)),INDEX(Kobo_Import!$A$2:$CZ$301,$AG44,Field_Map!$B$15)&amp;"")))</f>
        <v>Adequate</v>
      </c>
      <c r="E44" s="49">
        <f>IF($A44="","",IFERROR(INDEX(Import_Index!$D$5:$D$304,MATCH($A44&amp;"|registration",Import_Index!$I$5:$I$304,0)),F44))</f>
        <v>46039</v>
      </c>
      <c r="F44" s="49">
        <f>IF($AG44="","",INDEX(Import_Index!$D$5:$D$304,$AG44))</f>
        <v>46039</v>
      </c>
      <c r="G44" s="46">
        <f>IF($A44="","",COUNTIFS(Import_Index!$B$5:$B$304,$A44,Import_Index!$C$5:$C$304,"yes"))</f>
        <v>1</v>
      </c>
      <c r="H44" s="46">
        <f>IF($AG44="","",IFERROR(VALUE(INDEX(Kobo_Import!$A$2:$CZ$301,$AG44,Field_Map!$B$16)&amp;""),0))</f>
        <v>6</v>
      </c>
      <c r="I44" s="46" t="str">
        <f>IF($AG44="","",IF(IFERROR(INDEX(Kobo_Import!$A$2:$CZ$301,$AG44,Field_Map!$B$17)&amp;"","")="","",IFERROR(INDEX(Lists!$N$5:$N$19,MATCH(INDEX(Kobo_Import!$A$2:$CZ$301,$AG44,Field_Map!$B$17)&amp;"",Lists!$M$5:$M$19,0)),INDEX(Kobo_Import!$A$2:$CZ$301,$AG44,Field_Map!$B$17)&amp;"")))</f>
        <v>Yes</v>
      </c>
      <c r="J44" s="46">
        <f>IF($AG44="","",IFERROR(VALUE(INDEX(Kobo_Import!$A$2:$CZ$301,$AG44,Field_Map!$B$18)&amp;""),0))</f>
        <v>0</v>
      </c>
      <c r="K44" s="46">
        <f>IF($AG44="","",IFERROR(VALUE(INDEX(Kobo_Import!$A$2:$CZ$301,$AG44,Field_Map!$B$19)&amp;""),0))</f>
        <v>5</v>
      </c>
      <c r="L44" s="46">
        <f>IF($AG44="","",IFERROR(VALUE(INDEX(Kobo_Import!$A$2:$CZ$301,$AG44,Field_Map!$B$20)&amp;""),0))</f>
        <v>1</v>
      </c>
      <c r="M44" s="46">
        <f>IF($AG44="","",IFERROR(VALUE(INDEX(Kobo_Import!$A$2:$CZ$301,$AG44,Field_Map!$B$21)&amp;""),0))</f>
        <v>0</v>
      </c>
      <c r="N44" s="46">
        <f>IF($AG44="","",IFERROR(VALUE(INDEX(Kobo_Import!$A$2:$CZ$301,$AG44,Field_Map!$B$22)&amp;""),0))</f>
        <v>2</v>
      </c>
      <c r="O44" s="46">
        <f>IF($AG44="","",IFERROR(VALUE(INDEX(Kobo_Import!$A$2:$CZ$301,$AG44,Field_Map!$B$23)&amp;""),0))</f>
        <v>0</v>
      </c>
      <c r="P44" s="46">
        <f>IF($AG44="","",IFERROR(VALUE(INDEX(Kobo_Import!$A$2:$CZ$301,$AG44,Field_Map!$B$24)&amp;""),0))</f>
        <v>0</v>
      </c>
      <c r="Q44" s="46">
        <f>IF($AG44="","",IFERROR(VALUE(INDEX(Kobo_Import!$A$2:$CZ$301,$AG44,Field_Map!$B$25)&amp;""),0))</f>
        <v>5</v>
      </c>
      <c r="R44" s="46">
        <f>IF($AG44="","",IFERROR(VALUE(INDEX(Kobo_Import!$A$2:$CZ$301,$AG44,Field_Map!$B$26)&amp;""),0))</f>
        <v>1</v>
      </c>
      <c r="S44" s="46">
        <f>IF($AG44="","",IFERROR(VALUE(INDEX(Kobo_Import!$A$2:$CZ$301,$AG44,Field_Map!$B$27)&amp;""),0))</f>
        <v>3</v>
      </c>
      <c r="T44" s="46">
        <f>IF($AG44="","",IFERROR(VALUE(INDEX(Kobo_Import!$A$2:$CZ$301,$AG44,Field_Map!$B$28)&amp;""),0))</f>
        <v>0</v>
      </c>
      <c r="U44" s="46" t="str">
        <f>IF($AG44="","",IF(IFERROR(INDEX(Kobo_Import!$A$2:$CZ$301,$AG44,Field_Map!$B$29)&amp;"","")="","",IFERROR(INDEX(Lists!$N$5:$N$19,MATCH(INDEX(Kobo_Import!$A$2:$CZ$301,$AG44,Field_Map!$B$29)&amp;"",Lists!$M$5:$M$19,0)),INDEX(Kobo_Import!$A$2:$CZ$301,$AG44,Field_Map!$B$29)&amp;"")))</f>
        <v/>
      </c>
      <c r="V44" s="50">
        <f>IF($A44="","",Settings!$B$5-F44)</f>
        <v>14</v>
      </c>
      <c r="W44" s="46">
        <f>IF($A44="","",(J44&gt;0)*Settings!$B$22+(P44&gt;0)*Settings!$B$23+(M44&gt;0)*Settings!$B$24+(O44&gt;0)*Settings!$B$25+(I44="Yes")*Settings!$B$26+(D44="Unusable")*Settings!$B$27+(D44="Damaged")*Settings!$B$28+(H44&gt;=Settings!$B$30)*Settings!$B$29)</f>
        <v>1</v>
      </c>
      <c r="X44" s="46" t="str">
        <f>IF($A44="","",IF(W44&gt;=Settings!$B$31,"High",IF(W44&gt;=Settings!$B$32,"Medium","Low")))</f>
        <v>Low</v>
      </c>
      <c r="Y44" s="46" t="str">
        <f>IF($A44="","",IF(V44&gt;Settings!$B$21,"Yes",""))</f>
        <v/>
      </c>
      <c r="Z44" s="46">
        <f>IF($A44="","",COUNTIFS(Referrals!$B$5:$B$52,$A44,Referrals!$G$5:$G$52,"Referred")+COUNTIFS(Referrals!$B$5:$B$52,$A44,Referrals!$G$5:$G$52,"Acknowledged"))</f>
        <v>0</v>
      </c>
      <c r="AA44" s="46">
        <f>IF($A44="","",COUNTIFS(Referrals!$B$5:$B$52,$A44,Referrals!$K$5:$K$52,"Overdue"))</f>
        <v>0</v>
      </c>
      <c r="AB44" s="46" t="str">
        <f>IF($A44="","",IF(AND(J44&gt;0,U44="Yes"),IF(COUNTIFS(Referrals!$B$5:$B$52,$A44,Referrals!$D$5:$D$52,"Nutrition / IYCF")=0,"Referral needed","Referred"),""))</f>
        <v/>
      </c>
      <c r="AC44" s="46" t="str">
        <f>IF($A44="","",IF(N(Needs_Gaps!O44)&gt;0,"Yes",""))</f>
        <v/>
      </c>
      <c r="AD44" s="46" t="str">
        <f>IF($A44="","",IF(COUNTIFS(Maintenance_Log!$C$5:$C$40,$A44,Maintenance_Log!$H$5:$H$40,"&lt;&gt;Resolved")&gt;0,"Yes",""))</f>
        <v/>
      </c>
      <c r="AE44" s="46">
        <f t="shared" si="2"/>
        <v>0</v>
      </c>
      <c r="AF44" s="46">
        <f t="shared" si="3"/>
        <v>0</v>
      </c>
      <c r="AG44" s="46">
        <f>IFERROR(MATCH(ROW()-4,Import_Index!$H$5:$H$304,0),"")</f>
        <v>98</v>
      </c>
    </row>
    <row r="45" spans="1:33" x14ac:dyDescent="0.3">
      <c r="A45" s="46" t="str">
        <f>IF($AG45="","",IFERROR(INDEX(Kobo_Import!$A$2:$CZ$301,$AG45,Field_Map!$B$13)&amp;"",""))</f>
        <v>HH-041</v>
      </c>
      <c r="B45" s="46" t="str">
        <f>IF($AG45="","",IF(IFERROR(INDEX(Kobo_Import!$A$2:$CZ$301,$AG45,Field_Map!$B$9)&amp;"","")="","",IFERROR(INDEX(Lists!$N$5:$N$19,MATCH(INDEX(Kobo_Import!$A$2:$CZ$301,$AG45,Field_Map!$B$9)&amp;"",Lists!$M$5:$M$19,0)),INDEX(Kobo_Import!$A$2:$CZ$301,$AG45,Field_Map!$B$9)&amp;"")))</f>
        <v>Site B – School Shelter</v>
      </c>
      <c r="C45" s="46" t="str">
        <f>IF($AG45="","",IF(IFERROR(INDEX(Kobo_Import!$A$2:$CZ$301,$AG45,Field_Map!$B$14)&amp;"","")="","",IFERROR(INDEX(Lists!$N$5:$N$19,MATCH(INDEX(Kobo_Import!$A$2:$CZ$301,$AG45,Field_Map!$B$14)&amp;"",Lists!$M$5:$M$19,0)),INDEX(Kobo_Import!$A$2:$CZ$301,$AG45,Field_Map!$B$14)&amp;"")))</f>
        <v>Classroom</v>
      </c>
      <c r="D45" s="46" t="str">
        <f>IF($AG45="","",IF(IFERROR(INDEX(Kobo_Import!$A$2:$CZ$301,$AG45,Field_Map!$B$15)&amp;"","")="","",IFERROR(INDEX(Lists!$N$5:$N$19,MATCH(INDEX(Kobo_Import!$A$2:$CZ$301,$AG45,Field_Map!$B$15)&amp;"",Lists!$M$5:$M$19,0)),INDEX(Kobo_Import!$A$2:$CZ$301,$AG45,Field_Map!$B$15)&amp;"")))</f>
        <v>Damaged</v>
      </c>
      <c r="E45" s="49">
        <f>IF($A45="","",IFERROR(INDEX(Import_Index!$D$5:$D$304,MATCH($A45&amp;"|registration",Import_Index!$I$5:$I$304,0)),F45))</f>
        <v>46041</v>
      </c>
      <c r="F45" s="49">
        <f>IF($AG45="","",INDEX(Import_Index!$D$5:$D$304,$AG45))</f>
        <v>46041</v>
      </c>
      <c r="G45" s="46">
        <f>IF($A45="","",COUNTIFS(Import_Index!$B$5:$B$304,$A45,Import_Index!$C$5:$C$304,"yes"))</f>
        <v>1</v>
      </c>
      <c r="H45" s="46">
        <f>IF($AG45="","",IFERROR(VALUE(INDEX(Kobo_Import!$A$2:$CZ$301,$AG45,Field_Map!$B$16)&amp;""),0))</f>
        <v>9</v>
      </c>
      <c r="I45" s="46" t="str">
        <f>IF($AG45="","",IF(IFERROR(INDEX(Kobo_Import!$A$2:$CZ$301,$AG45,Field_Map!$B$17)&amp;"","")="","",IFERROR(INDEX(Lists!$N$5:$N$19,MATCH(INDEX(Kobo_Import!$A$2:$CZ$301,$AG45,Field_Map!$B$17)&amp;"",Lists!$M$5:$M$19,0)),INDEX(Kobo_Import!$A$2:$CZ$301,$AG45,Field_Map!$B$17)&amp;"")))</f>
        <v>No</v>
      </c>
      <c r="J45" s="46">
        <f>IF($AG45="","",IFERROR(VALUE(INDEX(Kobo_Import!$A$2:$CZ$301,$AG45,Field_Map!$B$18)&amp;""),0))</f>
        <v>0</v>
      </c>
      <c r="K45" s="46">
        <f>IF($AG45="","",IFERROR(VALUE(INDEX(Kobo_Import!$A$2:$CZ$301,$AG45,Field_Map!$B$19)&amp;""),0))</f>
        <v>7</v>
      </c>
      <c r="L45" s="46">
        <f>IF($AG45="","",IFERROR(VALUE(INDEX(Kobo_Import!$A$2:$CZ$301,$AG45,Field_Map!$B$20)&amp;""),0))</f>
        <v>2</v>
      </c>
      <c r="M45" s="46">
        <f>IF($AG45="","",IFERROR(VALUE(INDEX(Kobo_Import!$A$2:$CZ$301,$AG45,Field_Map!$B$21)&amp;""),0))</f>
        <v>0</v>
      </c>
      <c r="N45" s="46">
        <f>IF($AG45="","",IFERROR(VALUE(INDEX(Kobo_Import!$A$2:$CZ$301,$AG45,Field_Map!$B$22)&amp;""),0))</f>
        <v>2</v>
      </c>
      <c r="O45" s="46">
        <f>IF($AG45="","",IFERROR(VALUE(INDEX(Kobo_Import!$A$2:$CZ$301,$AG45,Field_Map!$B$23)&amp;""),0))</f>
        <v>0</v>
      </c>
      <c r="P45" s="46">
        <f>IF($AG45="","",IFERROR(VALUE(INDEX(Kobo_Import!$A$2:$CZ$301,$AG45,Field_Map!$B$24)&amp;""),0))</f>
        <v>0</v>
      </c>
      <c r="Q45" s="46">
        <f>IF($AG45="","",IFERROR(VALUE(INDEX(Kobo_Import!$A$2:$CZ$301,$AG45,Field_Map!$B$25)&amp;""),0))</f>
        <v>3</v>
      </c>
      <c r="R45" s="46">
        <f>IF($AG45="","",IFERROR(VALUE(INDEX(Kobo_Import!$A$2:$CZ$301,$AG45,Field_Map!$B$26)&amp;""),0))</f>
        <v>1</v>
      </c>
      <c r="S45" s="46">
        <f>IF($AG45="","",IFERROR(VALUE(INDEX(Kobo_Import!$A$2:$CZ$301,$AG45,Field_Map!$B$27)&amp;""),0))</f>
        <v>6</v>
      </c>
      <c r="T45" s="46">
        <f>IF($AG45="","",IFERROR(VALUE(INDEX(Kobo_Import!$A$2:$CZ$301,$AG45,Field_Map!$B$28)&amp;""),0))</f>
        <v>1</v>
      </c>
      <c r="U45" s="46" t="str">
        <f>IF($AG45="","",IF(IFERROR(INDEX(Kobo_Import!$A$2:$CZ$301,$AG45,Field_Map!$B$29)&amp;"","")="","",IFERROR(INDEX(Lists!$N$5:$N$19,MATCH(INDEX(Kobo_Import!$A$2:$CZ$301,$AG45,Field_Map!$B$29)&amp;"",Lists!$M$5:$M$19,0)),INDEX(Kobo_Import!$A$2:$CZ$301,$AG45,Field_Map!$B$29)&amp;"")))</f>
        <v/>
      </c>
      <c r="V45" s="50">
        <f>IF($A45="","",Settings!$B$5-F45)</f>
        <v>12</v>
      </c>
      <c r="W45" s="46">
        <f>IF($A45="","",(J45&gt;0)*Settings!$B$22+(P45&gt;0)*Settings!$B$23+(M45&gt;0)*Settings!$B$24+(O45&gt;0)*Settings!$B$25+(I45="Yes")*Settings!$B$26+(D45="Unusable")*Settings!$B$27+(D45="Damaged")*Settings!$B$28+(H45&gt;=Settings!$B$30)*Settings!$B$29)</f>
        <v>2</v>
      </c>
      <c r="X45" s="46" t="str">
        <f>IF($A45="","",IF(W45&gt;=Settings!$B$31,"High",IF(W45&gt;=Settings!$B$32,"Medium","Low")))</f>
        <v>Low</v>
      </c>
      <c r="Y45" s="46" t="str">
        <f>IF($A45="","",IF(V45&gt;Settings!$B$21,"Yes",""))</f>
        <v/>
      </c>
      <c r="Z45" s="46">
        <f>IF($A45="","",COUNTIFS(Referrals!$B$5:$B$52,$A45,Referrals!$G$5:$G$52,"Referred")+COUNTIFS(Referrals!$B$5:$B$52,$A45,Referrals!$G$5:$G$52,"Acknowledged"))</f>
        <v>0</v>
      </c>
      <c r="AA45" s="46">
        <f>IF($A45="","",COUNTIFS(Referrals!$B$5:$B$52,$A45,Referrals!$K$5:$K$52,"Overdue"))</f>
        <v>0</v>
      </c>
      <c r="AB45" s="46" t="str">
        <f>IF($A45="","",IF(AND(J45&gt;0,U45="Yes"),IF(COUNTIFS(Referrals!$B$5:$B$52,$A45,Referrals!$D$5:$D$52,"Nutrition / IYCF")=0,"Referral needed","Referred"),""))</f>
        <v/>
      </c>
      <c r="AC45" s="46" t="str">
        <f>IF($A45="","",IF(N(Needs_Gaps!O45)&gt;0,"Yes",""))</f>
        <v/>
      </c>
      <c r="AD45" s="46" t="str">
        <f>IF($A45="","",IF(COUNTIFS(Maintenance_Log!$C$5:$C$40,$A45,Maintenance_Log!$H$5:$H$40,"&lt;&gt;Resolved")&gt;0,"Yes",""))</f>
        <v/>
      </c>
      <c r="AE45" s="46">
        <f t="shared" si="2"/>
        <v>0</v>
      </c>
      <c r="AF45" s="46">
        <f t="shared" si="3"/>
        <v>0</v>
      </c>
      <c r="AG45" s="46">
        <f>IFERROR(MATCH(ROW()-4,Import_Index!$H$5:$H$304,0),"")</f>
        <v>107</v>
      </c>
    </row>
    <row r="46" spans="1:33" x14ac:dyDescent="0.3">
      <c r="A46" s="46" t="str">
        <f>IF($AG46="","",IFERROR(INDEX(Kobo_Import!$A$2:$CZ$301,$AG46,Field_Map!$B$13)&amp;"",""))</f>
        <v>HH-042</v>
      </c>
      <c r="B46" s="46" t="str">
        <f>IF($AG46="","",IF(IFERROR(INDEX(Kobo_Import!$A$2:$CZ$301,$AG46,Field_Map!$B$9)&amp;"","")="","",IFERROR(INDEX(Lists!$N$5:$N$19,MATCH(INDEX(Kobo_Import!$A$2:$CZ$301,$AG46,Field_Map!$B$9)&amp;"",Lists!$M$5:$M$19,0)),INDEX(Kobo_Import!$A$2:$CZ$301,$AG46,Field_Map!$B$9)&amp;"")))</f>
        <v>Site B – School Shelter</v>
      </c>
      <c r="C46" s="46" t="str">
        <f>IF($AG46="","",IF(IFERROR(INDEX(Kobo_Import!$A$2:$CZ$301,$AG46,Field_Map!$B$14)&amp;"","")="","",IFERROR(INDEX(Lists!$N$5:$N$19,MATCH(INDEX(Kobo_Import!$A$2:$CZ$301,$AG46,Field_Map!$B$14)&amp;"",Lists!$M$5:$M$19,0)),INDEX(Kobo_Import!$A$2:$CZ$301,$AG46,Field_Map!$B$14)&amp;"")))</f>
        <v>Classroom</v>
      </c>
      <c r="D46" s="46" t="str">
        <f>IF($AG46="","",IF(IFERROR(INDEX(Kobo_Import!$A$2:$CZ$301,$AG46,Field_Map!$B$15)&amp;"","")="","",IFERROR(INDEX(Lists!$N$5:$N$19,MATCH(INDEX(Kobo_Import!$A$2:$CZ$301,$AG46,Field_Map!$B$15)&amp;"",Lists!$M$5:$M$19,0)),INDEX(Kobo_Import!$A$2:$CZ$301,$AG46,Field_Map!$B$15)&amp;"")))</f>
        <v>Adequate</v>
      </c>
      <c r="E46" s="49">
        <f>IF($A46="","",IFERROR(INDEX(Import_Index!$D$5:$D$304,MATCH($A46&amp;"|registration",Import_Index!$I$5:$I$304,0)),F46))</f>
        <v>46031</v>
      </c>
      <c r="F46" s="49">
        <f>IF($AG46="","",INDEX(Import_Index!$D$5:$D$304,$AG46))</f>
        <v>46031</v>
      </c>
      <c r="G46" s="46">
        <f>IF($A46="","",COUNTIFS(Import_Index!$B$5:$B$304,$A46,Import_Index!$C$5:$C$304,"yes"))</f>
        <v>1</v>
      </c>
      <c r="H46" s="46">
        <f>IF($AG46="","",IFERROR(VALUE(INDEX(Kobo_Import!$A$2:$CZ$301,$AG46,Field_Map!$B$16)&amp;""),0))</f>
        <v>10</v>
      </c>
      <c r="I46" s="46" t="str">
        <f>IF($AG46="","",IF(IFERROR(INDEX(Kobo_Import!$A$2:$CZ$301,$AG46,Field_Map!$B$17)&amp;"","")="","",IFERROR(INDEX(Lists!$N$5:$N$19,MATCH(INDEX(Kobo_Import!$A$2:$CZ$301,$AG46,Field_Map!$B$17)&amp;"",Lists!$M$5:$M$19,0)),INDEX(Kobo_Import!$A$2:$CZ$301,$AG46,Field_Map!$B$17)&amp;"")))</f>
        <v>No</v>
      </c>
      <c r="J46" s="46">
        <f>IF($AG46="","",IFERROR(VALUE(INDEX(Kobo_Import!$A$2:$CZ$301,$AG46,Field_Map!$B$18)&amp;""),0))</f>
        <v>1</v>
      </c>
      <c r="K46" s="46">
        <f>IF($AG46="","",IFERROR(VALUE(INDEX(Kobo_Import!$A$2:$CZ$301,$AG46,Field_Map!$B$19)&amp;""),0))</f>
        <v>6</v>
      </c>
      <c r="L46" s="46">
        <f>IF($AG46="","",IFERROR(VALUE(INDEX(Kobo_Import!$A$2:$CZ$301,$AG46,Field_Map!$B$20)&amp;""),0))</f>
        <v>3</v>
      </c>
      <c r="M46" s="46">
        <f>IF($AG46="","",IFERROR(VALUE(INDEX(Kobo_Import!$A$2:$CZ$301,$AG46,Field_Map!$B$21)&amp;""),0))</f>
        <v>0</v>
      </c>
      <c r="N46" s="46">
        <f>IF($AG46="","",IFERROR(VALUE(INDEX(Kobo_Import!$A$2:$CZ$301,$AG46,Field_Map!$B$22)&amp;""),0))</f>
        <v>2</v>
      </c>
      <c r="O46" s="46">
        <f>IF($AG46="","",IFERROR(VALUE(INDEX(Kobo_Import!$A$2:$CZ$301,$AG46,Field_Map!$B$23)&amp;""),0))</f>
        <v>1</v>
      </c>
      <c r="P46" s="46">
        <f>IF($AG46="","",IFERROR(VALUE(INDEX(Kobo_Import!$A$2:$CZ$301,$AG46,Field_Map!$B$24)&amp;""),0))</f>
        <v>0</v>
      </c>
      <c r="Q46" s="46">
        <f>IF($AG46="","",IFERROR(VALUE(INDEX(Kobo_Import!$A$2:$CZ$301,$AG46,Field_Map!$B$25)&amp;""),0))</f>
        <v>11</v>
      </c>
      <c r="R46" s="46">
        <f>IF($AG46="","",IFERROR(VALUE(INDEX(Kobo_Import!$A$2:$CZ$301,$AG46,Field_Map!$B$26)&amp;""),0))</f>
        <v>4</v>
      </c>
      <c r="S46" s="46">
        <f>IF($AG46="","",IFERROR(VALUE(INDEX(Kobo_Import!$A$2:$CZ$301,$AG46,Field_Map!$B$27)&amp;""),0))</f>
        <v>6</v>
      </c>
      <c r="T46" s="46">
        <f>IF($AG46="","",IFERROR(VALUE(INDEX(Kobo_Import!$A$2:$CZ$301,$AG46,Field_Map!$B$28)&amp;""),0))</f>
        <v>0</v>
      </c>
      <c r="U46" s="46" t="str">
        <f>IF($AG46="","",IF(IFERROR(INDEX(Kobo_Import!$A$2:$CZ$301,$AG46,Field_Map!$B$29)&amp;"","")="","",IFERROR(INDEX(Lists!$N$5:$N$19,MATCH(INDEX(Kobo_Import!$A$2:$CZ$301,$AG46,Field_Map!$B$29)&amp;"",Lists!$M$5:$M$19,0)),INDEX(Kobo_Import!$A$2:$CZ$301,$AG46,Field_Map!$B$29)&amp;"")))</f>
        <v>No</v>
      </c>
      <c r="V46" s="50">
        <f>IF($A46="","",Settings!$B$5-F46)</f>
        <v>22</v>
      </c>
      <c r="W46" s="46">
        <f>IF($A46="","",(J46&gt;0)*Settings!$B$22+(P46&gt;0)*Settings!$B$23+(M46&gt;0)*Settings!$B$24+(O46&gt;0)*Settings!$B$25+(I46="Yes")*Settings!$B$26+(D46="Unusable")*Settings!$B$27+(D46="Damaged")*Settings!$B$28+(H46&gt;=Settings!$B$30)*Settings!$B$29)</f>
        <v>4</v>
      </c>
      <c r="X46" s="46" t="str">
        <f>IF($A46="","",IF(W46&gt;=Settings!$B$31,"High",IF(W46&gt;=Settings!$B$32,"Medium","Low")))</f>
        <v>Medium</v>
      </c>
      <c r="Y46" s="46" t="str">
        <f>IF($A46="","",IF(V46&gt;Settings!$B$21,"Yes",""))</f>
        <v/>
      </c>
      <c r="Z46" s="46">
        <f>IF($A46="","",COUNTIFS(Referrals!$B$5:$B$52,$A46,Referrals!$G$5:$G$52,"Referred")+COUNTIFS(Referrals!$B$5:$B$52,$A46,Referrals!$G$5:$G$52,"Acknowledged"))</f>
        <v>0</v>
      </c>
      <c r="AA46" s="46">
        <f>IF($A46="","",COUNTIFS(Referrals!$B$5:$B$52,$A46,Referrals!$K$5:$K$52,"Overdue"))</f>
        <v>0</v>
      </c>
      <c r="AB46" s="46" t="str">
        <f>IF($A46="","",IF(AND(J46&gt;0,U46="Yes"),IF(COUNTIFS(Referrals!$B$5:$B$52,$A46,Referrals!$D$5:$D$52,"Nutrition / IYCF")=0,"Referral needed","Referred"),""))</f>
        <v/>
      </c>
      <c r="AC46" s="46" t="str">
        <f>IF($A46="","",IF(N(Needs_Gaps!O46)&gt;0,"Yes",""))</f>
        <v/>
      </c>
      <c r="AD46" s="46" t="str">
        <f>IF($A46="","",IF(COUNTIFS(Maintenance_Log!$C$5:$C$40,$A46,Maintenance_Log!$H$5:$H$40,"&lt;&gt;Resolved")&gt;0,"Yes",""))</f>
        <v/>
      </c>
      <c r="AE46" s="46">
        <f t="shared" si="2"/>
        <v>0</v>
      </c>
      <c r="AF46" s="46">
        <f t="shared" si="3"/>
        <v>0</v>
      </c>
      <c r="AG46" s="46">
        <f>IFERROR(MATCH(ROW()-4,Import_Index!$H$5:$H$304,0),"")</f>
        <v>60</v>
      </c>
    </row>
    <row r="47" spans="1:33" x14ac:dyDescent="0.3">
      <c r="A47" s="46" t="str">
        <f>IF($AG47="","",IFERROR(INDEX(Kobo_Import!$A$2:$CZ$301,$AG47,Field_Map!$B$13)&amp;"",""))</f>
        <v>HH-043</v>
      </c>
      <c r="B47" s="46" t="str">
        <f>IF($AG47="","",IF(IFERROR(INDEX(Kobo_Import!$A$2:$CZ$301,$AG47,Field_Map!$B$9)&amp;"","")="","",IFERROR(INDEX(Lists!$N$5:$N$19,MATCH(INDEX(Kobo_Import!$A$2:$CZ$301,$AG47,Field_Map!$B$9)&amp;"",Lists!$M$5:$M$19,0)),INDEX(Kobo_Import!$A$2:$CZ$301,$AG47,Field_Map!$B$9)&amp;"")))</f>
        <v>Site B – School Shelter</v>
      </c>
      <c r="C47" s="46" t="str">
        <f>IF($AG47="","",IF(IFERROR(INDEX(Kobo_Import!$A$2:$CZ$301,$AG47,Field_Map!$B$14)&amp;"","")="","",IFERROR(INDEX(Lists!$N$5:$N$19,MATCH(INDEX(Kobo_Import!$A$2:$CZ$301,$AG47,Field_Map!$B$14)&amp;"",Lists!$M$5:$M$19,0)),INDEX(Kobo_Import!$A$2:$CZ$301,$AG47,Field_Map!$B$14)&amp;"")))</f>
        <v>Classroom</v>
      </c>
      <c r="D47" s="46" t="str">
        <f>IF($AG47="","",IF(IFERROR(INDEX(Kobo_Import!$A$2:$CZ$301,$AG47,Field_Map!$B$15)&amp;"","")="","",IFERROR(INDEX(Lists!$N$5:$N$19,MATCH(INDEX(Kobo_Import!$A$2:$CZ$301,$AG47,Field_Map!$B$15)&amp;"",Lists!$M$5:$M$19,0)),INDEX(Kobo_Import!$A$2:$CZ$301,$AG47,Field_Map!$B$15)&amp;"")))</f>
        <v>Adequate</v>
      </c>
      <c r="E47" s="49">
        <f>IF($A47="","",IFERROR(INDEX(Import_Index!$D$5:$D$304,MATCH($A47&amp;"|registration",Import_Index!$I$5:$I$304,0)),F47))</f>
        <v>46045</v>
      </c>
      <c r="F47" s="49">
        <f>IF($AG47="","",INDEX(Import_Index!$D$5:$D$304,$AG47))</f>
        <v>46045</v>
      </c>
      <c r="G47" s="46">
        <f>IF($A47="","",COUNTIFS(Import_Index!$B$5:$B$304,$A47,Import_Index!$C$5:$C$304,"yes"))</f>
        <v>1</v>
      </c>
      <c r="H47" s="46">
        <f>IF($AG47="","",IFERROR(VALUE(INDEX(Kobo_Import!$A$2:$CZ$301,$AG47,Field_Map!$B$16)&amp;""),0))</f>
        <v>4</v>
      </c>
      <c r="I47" s="46" t="str">
        <f>IF($AG47="","",IF(IFERROR(INDEX(Kobo_Import!$A$2:$CZ$301,$AG47,Field_Map!$B$17)&amp;"","")="","",IFERROR(INDEX(Lists!$N$5:$N$19,MATCH(INDEX(Kobo_Import!$A$2:$CZ$301,$AG47,Field_Map!$B$17)&amp;"",Lists!$M$5:$M$19,0)),INDEX(Kobo_Import!$A$2:$CZ$301,$AG47,Field_Map!$B$17)&amp;"")))</f>
        <v>No</v>
      </c>
      <c r="J47" s="46">
        <f>IF($AG47="","",IFERROR(VALUE(INDEX(Kobo_Import!$A$2:$CZ$301,$AG47,Field_Map!$B$18)&amp;""),0))</f>
        <v>1</v>
      </c>
      <c r="K47" s="46">
        <f>IF($AG47="","",IFERROR(VALUE(INDEX(Kobo_Import!$A$2:$CZ$301,$AG47,Field_Map!$B$19)&amp;""),0))</f>
        <v>1</v>
      </c>
      <c r="L47" s="46">
        <f>IF($AG47="","",IFERROR(VALUE(INDEX(Kobo_Import!$A$2:$CZ$301,$AG47,Field_Map!$B$20)&amp;""),0))</f>
        <v>1</v>
      </c>
      <c r="M47" s="46">
        <f>IF($AG47="","",IFERROR(VALUE(INDEX(Kobo_Import!$A$2:$CZ$301,$AG47,Field_Map!$B$21)&amp;""),0))</f>
        <v>1</v>
      </c>
      <c r="N47" s="46">
        <f>IF($AG47="","",IFERROR(VALUE(INDEX(Kobo_Import!$A$2:$CZ$301,$AG47,Field_Map!$B$22)&amp;""),0))</f>
        <v>1</v>
      </c>
      <c r="O47" s="46">
        <f>IF($AG47="","",IFERROR(VALUE(INDEX(Kobo_Import!$A$2:$CZ$301,$AG47,Field_Map!$B$23)&amp;""),0))</f>
        <v>1</v>
      </c>
      <c r="P47" s="46">
        <f>IF($AG47="","",IFERROR(VALUE(INDEX(Kobo_Import!$A$2:$CZ$301,$AG47,Field_Map!$B$24)&amp;""),0))</f>
        <v>0</v>
      </c>
      <c r="Q47" s="46">
        <f>IF($AG47="","",IFERROR(VALUE(INDEX(Kobo_Import!$A$2:$CZ$301,$AG47,Field_Map!$B$25)&amp;""),0))</f>
        <v>4</v>
      </c>
      <c r="R47" s="46">
        <f>IF($AG47="","",IFERROR(VALUE(INDEX(Kobo_Import!$A$2:$CZ$301,$AG47,Field_Map!$B$26)&amp;""),0))</f>
        <v>1</v>
      </c>
      <c r="S47" s="46">
        <f>IF($AG47="","",IFERROR(VALUE(INDEX(Kobo_Import!$A$2:$CZ$301,$AG47,Field_Map!$B$27)&amp;""),0))</f>
        <v>0</v>
      </c>
      <c r="T47" s="46">
        <f>IF($AG47="","",IFERROR(VALUE(INDEX(Kobo_Import!$A$2:$CZ$301,$AG47,Field_Map!$B$28)&amp;""),0))</f>
        <v>2</v>
      </c>
      <c r="U47" s="46" t="str">
        <f>IF($AG47="","",IF(IFERROR(INDEX(Kobo_Import!$A$2:$CZ$301,$AG47,Field_Map!$B$29)&amp;"","")="","",IFERROR(INDEX(Lists!$N$5:$N$19,MATCH(INDEX(Kobo_Import!$A$2:$CZ$301,$AG47,Field_Map!$B$29)&amp;"",Lists!$M$5:$M$19,0)),INDEX(Kobo_Import!$A$2:$CZ$301,$AG47,Field_Map!$B$29)&amp;"")))</f>
        <v>No</v>
      </c>
      <c r="V47" s="50">
        <f>IF($A47="","",Settings!$B$5-F47)</f>
        <v>8</v>
      </c>
      <c r="W47" s="46">
        <f>IF($A47="","",(J47&gt;0)*Settings!$B$22+(P47&gt;0)*Settings!$B$23+(M47&gt;0)*Settings!$B$24+(O47&gt;0)*Settings!$B$25+(I47="Yes")*Settings!$B$26+(D47="Unusable")*Settings!$B$27+(D47="Damaged")*Settings!$B$28+(H47&gt;=Settings!$B$30)*Settings!$B$29)</f>
        <v>4</v>
      </c>
      <c r="X47" s="46" t="str">
        <f>IF($A47="","",IF(W47&gt;=Settings!$B$31,"High",IF(W47&gt;=Settings!$B$32,"Medium","Low")))</f>
        <v>Medium</v>
      </c>
      <c r="Y47" s="46" t="str">
        <f>IF($A47="","",IF(V47&gt;Settings!$B$21,"Yes",""))</f>
        <v/>
      </c>
      <c r="Z47" s="46">
        <f>IF($A47="","",COUNTIFS(Referrals!$B$5:$B$52,$A47,Referrals!$G$5:$G$52,"Referred")+COUNTIFS(Referrals!$B$5:$B$52,$A47,Referrals!$G$5:$G$52,"Acknowledged"))</f>
        <v>0</v>
      </c>
      <c r="AA47" s="46">
        <f>IF($A47="","",COUNTIFS(Referrals!$B$5:$B$52,$A47,Referrals!$K$5:$K$52,"Overdue"))</f>
        <v>0</v>
      </c>
      <c r="AB47" s="46" t="str">
        <f>IF($A47="","",IF(AND(J47&gt;0,U47="Yes"),IF(COUNTIFS(Referrals!$B$5:$B$52,$A47,Referrals!$D$5:$D$52,"Nutrition / IYCF")=0,"Referral needed","Referred"),""))</f>
        <v/>
      </c>
      <c r="AC47" s="46" t="str">
        <f>IF($A47="","",IF(N(Needs_Gaps!O47)&gt;0,"Yes",""))</f>
        <v/>
      </c>
      <c r="AD47" s="46" t="str">
        <f>IF($A47="","",IF(COUNTIFS(Maintenance_Log!$C$5:$C$40,$A47,Maintenance_Log!$H$5:$H$40,"&lt;&gt;Resolved")&gt;0,"Yes",""))</f>
        <v/>
      </c>
      <c r="AE47" s="46">
        <f t="shared" si="2"/>
        <v>0</v>
      </c>
      <c r="AF47" s="46">
        <f t="shared" si="3"/>
        <v>0</v>
      </c>
      <c r="AG47" s="46">
        <f>IFERROR(MATCH(ROW()-4,Import_Index!$H$5:$H$304,0),"")</f>
        <v>126</v>
      </c>
    </row>
    <row r="48" spans="1:33" x14ac:dyDescent="0.3">
      <c r="A48" s="46" t="str">
        <f>IF($AG48="","",IFERROR(INDEX(Kobo_Import!$A$2:$CZ$301,$AG48,Field_Map!$B$13)&amp;"",""))</f>
        <v>HH-044</v>
      </c>
      <c r="B48" s="46" t="str">
        <f>IF($AG48="","",IF(IFERROR(INDEX(Kobo_Import!$A$2:$CZ$301,$AG48,Field_Map!$B$9)&amp;"","")="","",IFERROR(INDEX(Lists!$N$5:$N$19,MATCH(INDEX(Kobo_Import!$A$2:$CZ$301,$AG48,Field_Map!$B$9)&amp;"",Lists!$M$5:$M$19,0)),INDEX(Kobo_Import!$A$2:$CZ$301,$AG48,Field_Map!$B$9)&amp;"")))</f>
        <v>Site B – School Shelter</v>
      </c>
      <c r="C48" s="46" t="str">
        <f>IF($AG48="","",IF(IFERROR(INDEX(Kobo_Import!$A$2:$CZ$301,$AG48,Field_Map!$B$14)&amp;"","")="","",IFERROR(INDEX(Lists!$N$5:$N$19,MATCH(INDEX(Kobo_Import!$A$2:$CZ$301,$AG48,Field_Map!$B$14)&amp;"",Lists!$M$5:$M$19,0)),INDEX(Kobo_Import!$A$2:$CZ$301,$AG48,Field_Map!$B$14)&amp;"")))</f>
        <v>Classroom</v>
      </c>
      <c r="D48" s="46" t="str">
        <f>IF($AG48="","",IF(IFERROR(INDEX(Kobo_Import!$A$2:$CZ$301,$AG48,Field_Map!$B$15)&amp;"","")="","",IFERROR(INDEX(Lists!$N$5:$N$19,MATCH(INDEX(Kobo_Import!$A$2:$CZ$301,$AG48,Field_Map!$B$15)&amp;"",Lists!$M$5:$M$19,0)),INDEX(Kobo_Import!$A$2:$CZ$301,$AG48,Field_Map!$B$15)&amp;"")))</f>
        <v>Adequate</v>
      </c>
      <c r="E48" s="49">
        <f>IF($A48="","",IFERROR(INDEX(Import_Index!$D$5:$D$304,MATCH($A48&amp;"|registration",Import_Index!$I$5:$I$304,0)),F48))</f>
        <v>46009</v>
      </c>
      <c r="F48" s="49">
        <f>IF($AG48="","",INDEX(Import_Index!$D$5:$D$304,$AG48))</f>
        <v>46034</v>
      </c>
      <c r="G48" s="46">
        <f>IF($A48="","",COUNTIFS(Import_Index!$B$5:$B$304,$A48,Import_Index!$C$5:$C$304,"yes"))</f>
        <v>2</v>
      </c>
      <c r="H48" s="46">
        <f>IF($AG48="","",IFERROR(VALUE(INDEX(Kobo_Import!$A$2:$CZ$301,$AG48,Field_Map!$B$16)&amp;""),0))</f>
        <v>8</v>
      </c>
      <c r="I48" s="46" t="str">
        <f>IF($AG48="","",IF(IFERROR(INDEX(Kobo_Import!$A$2:$CZ$301,$AG48,Field_Map!$B$17)&amp;"","")="","",IFERROR(INDEX(Lists!$N$5:$N$19,MATCH(INDEX(Kobo_Import!$A$2:$CZ$301,$AG48,Field_Map!$B$17)&amp;"",Lists!$M$5:$M$19,0)),INDEX(Kobo_Import!$A$2:$CZ$301,$AG48,Field_Map!$B$17)&amp;"")))</f>
        <v>No</v>
      </c>
      <c r="J48" s="46">
        <f>IF($AG48="","",IFERROR(VALUE(INDEX(Kobo_Import!$A$2:$CZ$301,$AG48,Field_Map!$B$18)&amp;""),0))</f>
        <v>0</v>
      </c>
      <c r="K48" s="46">
        <f>IF($AG48="","",IFERROR(VALUE(INDEX(Kobo_Import!$A$2:$CZ$301,$AG48,Field_Map!$B$19)&amp;""),0))</f>
        <v>5</v>
      </c>
      <c r="L48" s="46">
        <f>IF($AG48="","",IFERROR(VALUE(INDEX(Kobo_Import!$A$2:$CZ$301,$AG48,Field_Map!$B$20)&amp;""),0))</f>
        <v>3</v>
      </c>
      <c r="M48" s="46">
        <f>IF($AG48="","",IFERROR(VALUE(INDEX(Kobo_Import!$A$2:$CZ$301,$AG48,Field_Map!$B$21)&amp;""),0))</f>
        <v>0</v>
      </c>
      <c r="N48" s="46">
        <f>IF($AG48="","",IFERROR(VALUE(INDEX(Kobo_Import!$A$2:$CZ$301,$AG48,Field_Map!$B$22)&amp;""),0))</f>
        <v>2</v>
      </c>
      <c r="O48" s="46">
        <f>IF($AG48="","",IFERROR(VALUE(INDEX(Kobo_Import!$A$2:$CZ$301,$AG48,Field_Map!$B$23)&amp;""),0))</f>
        <v>0</v>
      </c>
      <c r="P48" s="46">
        <f>IF($AG48="","",IFERROR(VALUE(INDEX(Kobo_Import!$A$2:$CZ$301,$AG48,Field_Map!$B$24)&amp;""),0))</f>
        <v>1</v>
      </c>
      <c r="Q48" s="46">
        <f>IF($AG48="","",IFERROR(VALUE(INDEX(Kobo_Import!$A$2:$CZ$301,$AG48,Field_Map!$B$25)&amp;""),0))</f>
        <v>11</v>
      </c>
      <c r="R48" s="46">
        <f>IF($AG48="","",IFERROR(VALUE(INDEX(Kobo_Import!$A$2:$CZ$301,$AG48,Field_Map!$B$26)&amp;""),0))</f>
        <v>8</v>
      </c>
      <c r="S48" s="46">
        <f>IF($AG48="","",IFERROR(VALUE(INDEX(Kobo_Import!$A$2:$CZ$301,$AG48,Field_Map!$B$27)&amp;""),0))</f>
        <v>3</v>
      </c>
      <c r="T48" s="46">
        <f>IF($AG48="","",IFERROR(VALUE(INDEX(Kobo_Import!$A$2:$CZ$301,$AG48,Field_Map!$B$28)&amp;""),0))</f>
        <v>2</v>
      </c>
      <c r="U48" s="46" t="str">
        <f>IF($AG48="","",IF(IFERROR(INDEX(Kobo_Import!$A$2:$CZ$301,$AG48,Field_Map!$B$29)&amp;"","")="","",IFERROR(INDEX(Lists!$N$5:$N$19,MATCH(INDEX(Kobo_Import!$A$2:$CZ$301,$AG48,Field_Map!$B$29)&amp;"",Lists!$M$5:$M$19,0)),INDEX(Kobo_Import!$A$2:$CZ$301,$AG48,Field_Map!$B$29)&amp;"")))</f>
        <v/>
      </c>
      <c r="V48" s="50">
        <f>IF($A48="","",Settings!$B$5-F48)</f>
        <v>19</v>
      </c>
      <c r="W48" s="46">
        <f>IF($A48="","",(J48&gt;0)*Settings!$B$22+(P48&gt;0)*Settings!$B$23+(M48&gt;0)*Settings!$B$24+(O48&gt;0)*Settings!$B$25+(I48="Yes")*Settings!$B$26+(D48="Unusable")*Settings!$B$27+(D48="Damaged")*Settings!$B$28+(H48&gt;=Settings!$B$30)*Settings!$B$29)</f>
        <v>2</v>
      </c>
      <c r="X48" s="46" t="str">
        <f>IF($A48="","",IF(W48&gt;=Settings!$B$31,"High",IF(W48&gt;=Settings!$B$32,"Medium","Low")))</f>
        <v>Low</v>
      </c>
      <c r="Y48" s="46" t="str">
        <f>IF($A48="","",IF(V48&gt;Settings!$B$21,"Yes",""))</f>
        <v/>
      </c>
      <c r="Z48" s="46">
        <f>IF($A48="","",COUNTIFS(Referrals!$B$5:$B$52,$A48,Referrals!$G$5:$G$52,"Referred")+COUNTIFS(Referrals!$B$5:$B$52,$A48,Referrals!$G$5:$G$52,"Acknowledged"))</f>
        <v>0</v>
      </c>
      <c r="AA48" s="46">
        <f>IF($A48="","",COUNTIFS(Referrals!$B$5:$B$52,$A48,Referrals!$K$5:$K$52,"Overdue"))</f>
        <v>0</v>
      </c>
      <c r="AB48" s="46" t="str">
        <f>IF($A48="","",IF(AND(J48&gt;0,U48="Yes"),IF(COUNTIFS(Referrals!$B$5:$B$52,$A48,Referrals!$D$5:$D$52,"Nutrition / IYCF")=0,"Referral needed","Referred"),""))</f>
        <v/>
      </c>
      <c r="AC48" s="46" t="str">
        <f>IF($A48="","",IF(N(Needs_Gaps!O48)&gt;0,"Yes",""))</f>
        <v/>
      </c>
      <c r="AD48" s="46" t="str">
        <f>IF($A48="","",IF(COUNTIFS(Maintenance_Log!$C$5:$C$40,$A48,Maintenance_Log!$H$5:$H$40,"&lt;&gt;Resolved")&gt;0,"Yes",""))</f>
        <v/>
      </c>
      <c r="AE48" s="46">
        <f t="shared" si="2"/>
        <v>0</v>
      </c>
      <c r="AF48" s="46">
        <f t="shared" si="3"/>
        <v>0</v>
      </c>
      <c r="AG48" s="46">
        <f>IFERROR(MATCH(ROW()-4,Import_Index!$H$5:$H$304,0),"")</f>
        <v>73</v>
      </c>
    </row>
    <row r="49" spans="1:33" x14ac:dyDescent="0.3">
      <c r="A49" s="46" t="str">
        <f>IF($AG49="","",IFERROR(INDEX(Kobo_Import!$A$2:$CZ$301,$AG49,Field_Map!$B$13)&amp;"",""))</f>
        <v>HH-045</v>
      </c>
      <c r="B49" s="46" t="str">
        <f>IF($AG49="","",IF(IFERROR(INDEX(Kobo_Import!$A$2:$CZ$301,$AG49,Field_Map!$B$9)&amp;"","")="","",IFERROR(INDEX(Lists!$N$5:$N$19,MATCH(INDEX(Kobo_Import!$A$2:$CZ$301,$AG49,Field_Map!$B$9)&amp;"",Lists!$M$5:$M$19,0)),INDEX(Kobo_Import!$A$2:$CZ$301,$AG49,Field_Map!$B$9)&amp;"")))</f>
        <v>Site B – School Shelter</v>
      </c>
      <c r="C49" s="46" t="str">
        <f>IF($AG49="","",IF(IFERROR(INDEX(Kobo_Import!$A$2:$CZ$301,$AG49,Field_Map!$B$14)&amp;"","")="","",IFERROR(INDEX(Lists!$N$5:$N$19,MATCH(INDEX(Kobo_Import!$A$2:$CZ$301,$AG49,Field_Map!$B$14)&amp;"",Lists!$M$5:$M$19,0)),INDEX(Kobo_Import!$A$2:$CZ$301,$AG49,Field_Map!$B$14)&amp;"")))</f>
        <v>Classroom</v>
      </c>
      <c r="D49" s="46" t="str">
        <f>IF($AG49="","",IF(IFERROR(INDEX(Kobo_Import!$A$2:$CZ$301,$AG49,Field_Map!$B$15)&amp;"","")="","",IFERROR(INDEX(Lists!$N$5:$N$19,MATCH(INDEX(Kobo_Import!$A$2:$CZ$301,$AG49,Field_Map!$B$15)&amp;"",Lists!$M$5:$M$19,0)),INDEX(Kobo_Import!$A$2:$CZ$301,$AG49,Field_Map!$B$15)&amp;"")))</f>
        <v>Adequate</v>
      </c>
      <c r="E49" s="49">
        <f>IF($A49="","",IFERROR(INDEX(Import_Index!$D$5:$D$304,MATCH($A49&amp;"|registration",Import_Index!$I$5:$I$304,0)),F49))</f>
        <v>46025</v>
      </c>
      <c r="F49" s="49">
        <f>IF($AG49="","",INDEX(Import_Index!$D$5:$D$304,$AG49))</f>
        <v>46025</v>
      </c>
      <c r="G49" s="46">
        <f>IF($A49="","",COUNTIFS(Import_Index!$B$5:$B$304,$A49,Import_Index!$C$5:$C$304,"yes"))</f>
        <v>1</v>
      </c>
      <c r="H49" s="46">
        <f>IF($AG49="","",IFERROR(VALUE(INDEX(Kobo_Import!$A$2:$CZ$301,$AG49,Field_Map!$B$16)&amp;""),0))</f>
        <v>5</v>
      </c>
      <c r="I49" s="46" t="str">
        <f>IF($AG49="","",IF(IFERROR(INDEX(Kobo_Import!$A$2:$CZ$301,$AG49,Field_Map!$B$17)&amp;"","")="","",IFERROR(INDEX(Lists!$N$5:$N$19,MATCH(INDEX(Kobo_Import!$A$2:$CZ$301,$AG49,Field_Map!$B$17)&amp;"",Lists!$M$5:$M$19,0)),INDEX(Kobo_Import!$A$2:$CZ$301,$AG49,Field_Map!$B$17)&amp;"")))</f>
        <v>Yes</v>
      </c>
      <c r="J49" s="46">
        <f>IF($AG49="","",IFERROR(VALUE(INDEX(Kobo_Import!$A$2:$CZ$301,$AG49,Field_Map!$B$18)&amp;""),0))</f>
        <v>0</v>
      </c>
      <c r="K49" s="46">
        <f>IF($AG49="","",IFERROR(VALUE(INDEX(Kobo_Import!$A$2:$CZ$301,$AG49,Field_Map!$B$19)&amp;""),0))</f>
        <v>3</v>
      </c>
      <c r="L49" s="46">
        <f>IF($AG49="","",IFERROR(VALUE(INDEX(Kobo_Import!$A$2:$CZ$301,$AG49,Field_Map!$B$20)&amp;""),0))</f>
        <v>2</v>
      </c>
      <c r="M49" s="46">
        <f>IF($AG49="","",IFERROR(VALUE(INDEX(Kobo_Import!$A$2:$CZ$301,$AG49,Field_Map!$B$21)&amp;""),0))</f>
        <v>0</v>
      </c>
      <c r="N49" s="46">
        <f>IF($AG49="","",IFERROR(VALUE(INDEX(Kobo_Import!$A$2:$CZ$301,$AG49,Field_Map!$B$22)&amp;""),0))</f>
        <v>3</v>
      </c>
      <c r="O49" s="46">
        <f>IF($AG49="","",IFERROR(VALUE(INDEX(Kobo_Import!$A$2:$CZ$301,$AG49,Field_Map!$B$23)&amp;""),0))</f>
        <v>0</v>
      </c>
      <c r="P49" s="46">
        <f>IF($AG49="","",IFERROR(VALUE(INDEX(Kobo_Import!$A$2:$CZ$301,$AG49,Field_Map!$B$24)&amp;""),0))</f>
        <v>0</v>
      </c>
      <c r="Q49" s="46">
        <f>IF($AG49="","",IFERROR(VALUE(INDEX(Kobo_Import!$A$2:$CZ$301,$AG49,Field_Map!$B$25)&amp;""),0))</f>
        <v>7</v>
      </c>
      <c r="R49" s="46">
        <f>IF($AG49="","",IFERROR(VALUE(INDEX(Kobo_Import!$A$2:$CZ$301,$AG49,Field_Map!$B$26)&amp;""),0))</f>
        <v>3</v>
      </c>
      <c r="S49" s="46">
        <f>IF($AG49="","",IFERROR(VALUE(INDEX(Kobo_Import!$A$2:$CZ$301,$AG49,Field_Map!$B$27)&amp;""),0))</f>
        <v>1</v>
      </c>
      <c r="T49" s="46">
        <f>IF($AG49="","",IFERROR(VALUE(INDEX(Kobo_Import!$A$2:$CZ$301,$AG49,Field_Map!$B$28)&amp;""),0))</f>
        <v>1</v>
      </c>
      <c r="U49" s="46" t="str">
        <f>IF($AG49="","",IF(IFERROR(INDEX(Kobo_Import!$A$2:$CZ$301,$AG49,Field_Map!$B$29)&amp;"","")="","",IFERROR(INDEX(Lists!$N$5:$N$19,MATCH(INDEX(Kobo_Import!$A$2:$CZ$301,$AG49,Field_Map!$B$29)&amp;"",Lists!$M$5:$M$19,0)),INDEX(Kobo_Import!$A$2:$CZ$301,$AG49,Field_Map!$B$29)&amp;"")))</f>
        <v/>
      </c>
      <c r="V49" s="50">
        <f>IF($A49="","",Settings!$B$5-F49)</f>
        <v>28</v>
      </c>
      <c r="W49" s="46">
        <f>IF($A49="","",(J49&gt;0)*Settings!$B$22+(P49&gt;0)*Settings!$B$23+(M49&gt;0)*Settings!$B$24+(O49&gt;0)*Settings!$B$25+(I49="Yes")*Settings!$B$26+(D49="Unusable")*Settings!$B$27+(D49="Damaged")*Settings!$B$28+(H49&gt;=Settings!$B$30)*Settings!$B$29)</f>
        <v>1</v>
      </c>
      <c r="X49" s="46" t="str">
        <f>IF($A49="","",IF(W49&gt;=Settings!$B$31,"High",IF(W49&gt;=Settings!$B$32,"Medium","Low")))</f>
        <v>Low</v>
      </c>
      <c r="Y49" s="46" t="str">
        <f>IF($A49="","",IF(V49&gt;Settings!$B$21,"Yes",""))</f>
        <v/>
      </c>
      <c r="Z49" s="46">
        <f>IF($A49="","",COUNTIFS(Referrals!$B$5:$B$52,$A49,Referrals!$G$5:$G$52,"Referred")+COUNTIFS(Referrals!$B$5:$B$52,$A49,Referrals!$G$5:$G$52,"Acknowledged"))</f>
        <v>1</v>
      </c>
      <c r="AA49" s="46">
        <f>IF($A49="","",COUNTIFS(Referrals!$B$5:$B$52,$A49,Referrals!$K$5:$K$52,"Overdue"))</f>
        <v>0</v>
      </c>
      <c r="AB49" s="46" t="str">
        <f>IF($A49="","",IF(AND(J49&gt;0,U49="Yes"),IF(COUNTIFS(Referrals!$B$5:$B$52,$A49,Referrals!$D$5:$D$52,"Nutrition / IYCF")=0,"Referral needed","Referred"),""))</f>
        <v/>
      </c>
      <c r="AC49" s="46" t="str">
        <f>IF($A49="","",IF(N(Needs_Gaps!O49)&gt;0,"Yes",""))</f>
        <v/>
      </c>
      <c r="AD49" s="46" t="str">
        <f>IF($A49="","",IF(COUNTIFS(Maintenance_Log!$C$5:$C$40,$A49,Maintenance_Log!$H$5:$H$40,"&lt;&gt;Resolved")&gt;0,"Yes",""))</f>
        <v/>
      </c>
      <c r="AE49" s="46">
        <f t="shared" si="2"/>
        <v>0</v>
      </c>
      <c r="AF49" s="46">
        <f t="shared" si="3"/>
        <v>0</v>
      </c>
      <c r="AG49" s="46">
        <f>IFERROR(MATCH(ROW()-4,Import_Index!$H$5:$H$304,0),"")</f>
        <v>47</v>
      </c>
    </row>
    <row r="50" spans="1:33" x14ac:dyDescent="0.3">
      <c r="A50" s="46" t="str">
        <f>IF($AG50="","",IFERROR(INDEX(Kobo_Import!$A$2:$CZ$301,$AG50,Field_Map!$B$13)&amp;"",""))</f>
        <v>HH-046</v>
      </c>
      <c r="B50" s="46" t="str">
        <f>IF($AG50="","",IF(IFERROR(INDEX(Kobo_Import!$A$2:$CZ$301,$AG50,Field_Map!$B$9)&amp;"","")="","",IFERROR(INDEX(Lists!$N$5:$N$19,MATCH(INDEX(Kobo_Import!$A$2:$CZ$301,$AG50,Field_Map!$B$9)&amp;"",Lists!$M$5:$M$19,0)),INDEX(Kobo_Import!$A$2:$CZ$301,$AG50,Field_Map!$B$9)&amp;"")))</f>
        <v>Site B – School Shelter</v>
      </c>
      <c r="C50" s="46" t="str">
        <f>IF($AG50="","",IF(IFERROR(INDEX(Kobo_Import!$A$2:$CZ$301,$AG50,Field_Map!$B$14)&amp;"","")="","",IFERROR(INDEX(Lists!$N$5:$N$19,MATCH(INDEX(Kobo_Import!$A$2:$CZ$301,$AG50,Field_Map!$B$14)&amp;"",Lists!$M$5:$M$19,0)),INDEX(Kobo_Import!$A$2:$CZ$301,$AG50,Field_Map!$B$14)&amp;"")))</f>
        <v>Classroom</v>
      </c>
      <c r="D50" s="46" t="str">
        <f>IF($AG50="","",IF(IFERROR(INDEX(Kobo_Import!$A$2:$CZ$301,$AG50,Field_Map!$B$15)&amp;"","")="","",IFERROR(INDEX(Lists!$N$5:$N$19,MATCH(INDEX(Kobo_Import!$A$2:$CZ$301,$AG50,Field_Map!$B$15)&amp;"",Lists!$M$5:$M$19,0)),INDEX(Kobo_Import!$A$2:$CZ$301,$AG50,Field_Map!$B$15)&amp;"")))</f>
        <v>Adequate</v>
      </c>
      <c r="E50" s="49">
        <f>IF($A50="","",IFERROR(INDEX(Import_Index!$D$5:$D$304,MATCH($A50&amp;"|registration",Import_Index!$I$5:$I$304,0)),F50))</f>
        <v>46018</v>
      </c>
      <c r="F50" s="49">
        <f>IF($AG50="","",INDEX(Import_Index!$D$5:$D$304,$AG50))</f>
        <v>46050</v>
      </c>
      <c r="G50" s="46">
        <f>IF($A50="","",COUNTIFS(Import_Index!$B$5:$B$304,$A50,Import_Index!$C$5:$C$304,"yes"))</f>
        <v>2</v>
      </c>
      <c r="H50" s="46">
        <f>IF($AG50="","",IFERROR(VALUE(INDEX(Kobo_Import!$A$2:$CZ$301,$AG50,Field_Map!$B$16)&amp;""),0))</f>
        <v>9</v>
      </c>
      <c r="I50" s="46" t="str">
        <f>IF($AG50="","",IF(IFERROR(INDEX(Kobo_Import!$A$2:$CZ$301,$AG50,Field_Map!$B$17)&amp;"","")="","",IFERROR(INDEX(Lists!$N$5:$N$19,MATCH(INDEX(Kobo_Import!$A$2:$CZ$301,$AG50,Field_Map!$B$17)&amp;"",Lists!$M$5:$M$19,0)),INDEX(Kobo_Import!$A$2:$CZ$301,$AG50,Field_Map!$B$17)&amp;"")))</f>
        <v>No</v>
      </c>
      <c r="J50" s="46">
        <f>IF($AG50="","",IFERROR(VALUE(INDEX(Kobo_Import!$A$2:$CZ$301,$AG50,Field_Map!$B$18)&amp;""),0))</f>
        <v>2</v>
      </c>
      <c r="K50" s="46">
        <f>IF($AG50="","",IFERROR(VALUE(INDEX(Kobo_Import!$A$2:$CZ$301,$AG50,Field_Map!$B$19)&amp;""),0))</f>
        <v>4</v>
      </c>
      <c r="L50" s="46">
        <f>IF($AG50="","",IFERROR(VALUE(INDEX(Kobo_Import!$A$2:$CZ$301,$AG50,Field_Map!$B$20)&amp;""),0))</f>
        <v>3</v>
      </c>
      <c r="M50" s="46">
        <f>IF($AG50="","",IFERROR(VALUE(INDEX(Kobo_Import!$A$2:$CZ$301,$AG50,Field_Map!$B$21)&amp;""),0))</f>
        <v>0</v>
      </c>
      <c r="N50" s="46">
        <f>IF($AG50="","",IFERROR(VALUE(INDEX(Kobo_Import!$A$2:$CZ$301,$AG50,Field_Map!$B$22)&amp;""),0))</f>
        <v>2</v>
      </c>
      <c r="O50" s="46">
        <f>IF($AG50="","",IFERROR(VALUE(INDEX(Kobo_Import!$A$2:$CZ$301,$AG50,Field_Map!$B$23)&amp;""),0))</f>
        <v>0</v>
      </c>
      <c r="P50" s="46">
        <f>IF($AG50="","",IFERROR(VALUE(INDEX(Kobo_Import!$A$2:$CZ$301,$AG50,Field_Map!$B$24)&amp;""),0))</f>
        <v>0</v>
      </c>
      <c r="Q50" s="46">
        <f>IF($AG50="","",IFERROR(VALUE(INDEX(Kobo_Import!$A$2:$CZ$301,$AG50,Field_Map!$B$25)&amp;""),0))</f>
        <v>9</v>
      </c>
      <c r="R50" s="46">
        <f>IF($AG50="","",IFERROR(VALUE(INDEX(Kobo_Import!$A$2:$CZ$301,$AG50,Field_Map!$B$26)&amp;""),0))</f>
        <v>9</v>
      </c>
      <c r="S50" s="46">
        <f>IF($AG50="","",IFERROR(VALUE(INDEX(Kobo_Import!$A$2:$CZ$301,$AG50,Field_Map!$B$27)&amp;""),0))</f>
        <v>0</v>
      </c>
      <c r="T50" s="46">
        <f>IF($AG50="","",IFERROR(VALUE(INDEX(Kobo_Import!$A$2:$CZ$301,$AG50,Field_Map!$B$28)&amp;""),0))</f>
        <v>1</v>
      </c>
      <c r="U50" s="46" t="str">
        <f>IF($AG50="","",IF(IFERROR(INDEX(Kobo_Import!$A$2:$CZ$301,$AG50,Field_Map!$B$29)&amp;"","")="","",IFERROR(INDEX(Lists!$N$5:$N$19,MATCH(INDEX(Kobo_Import!$A$2:$CZ$301,$AG50,Field_Map!$B$29)&amp;"",Lists!$M$5:$M$19,0)),INDEX(Kobo_Import!$A$2:$CZ$301,$AG50,Field_Map!$B$29)&amp;"")))</f>
        <v>No</v>
      </c>
      <c r="V50" s="50">
        <f>IF($A50="","",Settings!$B$5-F50)</f>
        <v>3</v>
      </c>
      <c r="W50" s="46">
        <f>IF($A50="","",(J50&gt;0)*Settings!$B$22+(P50&gt;0)*Settings!$B$23+(M50&gt;0)*Settings!$B$24+(O50&gt;0)*Settings!$B$25+(I50="Yes")*Settings!$B$26+(D50="Unusable")*Settings!$B$27+(D50="Damaged")*Settings!$B$28+(H50&gt;=Settings!$B$30)*Settings!$B$29)</f>
        <v>3</v>
      </c>
      <c r="X50" s="46" t="str">
        <f>IF($A50="","",IF(W50&gt;=Settings!$B$31,"High",IF(W50&gt;=Settings!$B$32,"Medium","Low")))</f>
        <v>Medium</v>
      </c>
      <c r="Y50" s="46" t="str">
        <f>IF($A50="","",IF(V50&gt;Settings!$B$21,"Yes",""))</f>
        <v/>
      </c>
      <c r="Z50" s="46">
        <f>IF($A50="","",COUNTIFS(Referrals!$B$5:$B$52,$A50,Referrals!$G$5:$G$52,"Referred")+COUNTIFS(Referrals!$B$5:$B$52,$A50,Referrals!$G$5:$G$52,"Acknowledged"))</f>
        <v>0</v>
      </c>
      <c r="AA50" s="46">
        <f>IF($A50="","",COUNTIFS(Referrals!$B$5:$B$52,$A50,Referrals!$K$5:$K$52,"Overdue"))</f>
        <v>0</v>
      </c>
      <c r="AB50" s="46" t="str">
        <f>IF($A50="","",IF(AND(J50&gt;0,U50="Yes"),IF(COUNTIFS(Referrals!$B$5:$B$52,$A50,Referrals!$D$5:$D$52,"Nutrition / IYCF")=0,"Referral needed","Referred"),""))</f>
        <v/>
      </c>
      <c r="AC50" s="46" t="str">
        <f>IF($A50="","",IF(N(Needs_Gaps!O50)&gt;0,"Yes",""))</f>
        <v/>
      </c>
      <c r="AD50" s="46" t="str">
        <f>IF($A50="","",IF(COUNTIFS(Maintenance_Log!$C$5:$C$40,$A50,Maintenance_Log!$H$5:$H$40,"&lt;&gt;Resolved")&gt;0,"Yes",""))</f>
        <v/>
      </c>
      <c r="AE50" s="46">
        <f t="shared" si="2"/>
        <v>0</v>
      </c>
      <c r="AF50" s="46">
        <f t="shared" si="3"/>
        <v>0</v>
      </c>
      <c r="AG50" s="46">
        <f>IFERROR(MATCH(ROW()-4,Import_Index!$H$5:$H$304,0),"")</f>
        <v>145</v>
      </c>
    </row>
    <row r="51" spans="1:33" x14ac:dyDescent="0.3">
      <c r="A51" s="46" t="str">
        <f>IF($AG51="","",IFERROR(INDEX(Kobo_Import!$A$2:$CZ$301,$AG51,Field_Map!$B$13)&amp;"",""))</f>
        <v>HH-047</v>
      </c>
      <c r="B51" s="46" t="str">
        <f>IF($AG51="","",IF(IFERROR(INDEX(Kobo_Import!$A$2:$CZ$301,$AG51,Field_Map!$B$9)&amp;"","")="","",IFERROR(INDEX(Lists!$N$5:$N$19,MATCH(INDEX(Kobo_Import!$A$2:$CZ$301,$AG51,Field_Map!$B$9)&amp;"",Lists!$M$5:$M$19,0)),INDEX(Kobo_Import!$A$2:$CZ$301,$AG51,Field_Map!$B$9)&amp;"")))</f>
        <v>Site B – School Shelter</v>
      </c>
      <c r="C51" s="46" t="str">
        <f>IF($AG51="","",IF(IFERROR(INDEX(Kobo_Import!$A$2:$CZ$301,$AG51,Field_Map!$B$14)&amp;"","")="","",IFERROR(INDEX(Lists!$N$5:$N$19,MATCH(INDEX(Kobo_Import!$A$2:$CZ$301,$AG51,Field_Map!$B$14)&amp;"",Lists!$M$5:$M$19,0)),INDEX(Kobo_Import!$A$2:$CZ$301,$AG51,Field_Map!$B$14)&amp;"")))</f>
        <v>Classroom</v>
      </c>
      <c r="D51" s="46" t="str">
        <f>IF($AG51="","",IF(IFERROR(INDEX(Kobo_Import!$A$2:$CZ$301,$AG51,Field_Map!$B$15)&amp;"","")="","",IFERROR(INDEX(Lists!$N$5:$N$19,MATCH(INDEX(Kobo_Import!$A$2:$CZ$301,$AG51,Field_Map!$B$15)&amp;"",Lists!$M$5:$M$19,0)),INDEX(Kobo_Import!$A$2:$CZ$301,$AG51,Field_Map!$B$15)&amp;"")))</f>
        <v>Adequate</v>
      </c>
      <c r="E51" s="49">
        <f>IF($A51="","",IFERROR(INDEX(Import_Index!$D$5:$D$304,MATCH($A51&amp;"|registration",Import_Index!$I$5:$I$304,0)),F51))</f>
        <v>46032</v>
      </c>
      <c r="F51" s="49">
        <f>IF($AG51="","",INDEX(Import_Index!$D$5:$D$304,$AG51))</f>
        <v>46032</v>
      </c>
      <c r="G51" s="46">
        <f>IF($A51="","",COUNTIFS(Import_Index!$B$5:$B$304,$A51,Import_Index!$C$5:$C$304,"yes"))</f>
        <v>1</v>
      </c>
      <c r="H51" s="46">
        <f>IF($AG51="","",IFERROR(VALUE(INDEX(Kobo_Import!$A$2:$CZ$301,$AG51,Field_Map!$B$16)&amp;""),0))</f>
        <v>11</v>
      </c>
      <c r="I51" s="46" t="str">
        <f>IF($AG51="","",IF(IFERROR(INDEX(Kobo_Import!$A$2:$CZ$301,$AG51,Field_Map!$B$17)&amp;"","")="","",IFERROR(INDEX(Lists!$N$5:$N$19,MATCH(INDEX(Kobo_Import!$A$2:$CZ$301,$AG51,Field_Map!$B$17)&amp;"",Lists!$M$5:$M$19,0)),INDEX(Kobo_Import!$A$2:$CZ$301,$AG51,Field_Map!$B$17)&amp;"")))</f>
        <v>No</v>
      </c>
      <c r="J51" s="46">
        <f>IF($AG51="","",IFERROR(VALUE(INDEX(Kobo_Import!$A$2:$CZ$301,$AG51,Field_Map!$B$18)&amp;""),0))</f>
        <v>2</v>
      </c>
      <c r="K51" s="46">
        <f>IF($AG51="","",IFERROR(VALUE(INDEX(Kobo_Import!$A$2:$CZ$301,$AG51,Field_Map!$B$19)&amp;""),0))</f>
        <v>7</v>
      </c>
      <c r="L51" s="46">
        <f>IF($AG51="","",IFERROR(VALUE(INDEX(Kobo_Import!$A$2:$CZ$301,$AG51,Field_Map!$B$20)&amp;""),0))</f>
        <v>2</v>
      </c>
      <c r="M51" s="46">
        <f>IF($AG51="","",IFERROR(VALUE(INDEX(Kobo_Import!$A$2:$CZ$301,$AG51,Field_Map!$B$21)&amp;""),0))</f>
        <v>0</v>
      </c>
      <c r="N51" s="46">
        <f>IF($AG51="","",IFERROR(VALUE(INDEX(Kobo_Import!$A$2:$CZ$301,$AG51,Field_Map!$B$22)&amp;""),0))</f>
        <v>1</v>
      </c>
      <c r="O51" s="46">
        <f>IF($AG51="","",IFERROR(VALUE(INDEX(Kobo_Import!$A$2:$CZ$301,$AG51,Field_Map!$B$23)&amp;""),0))</f>
        <v>1</v>
      </c>
      <c r="P51" s="46">
        <f>IF($AG51="","",IFERROR(VALUE(INDEX(Kobo_Import!$A$2:$CZ$301,$AG51,Field_Map!$B$24)&amp;""),0))</f>
        <v>0</v>
      </c>
      <c r="Q51" s="46">
        <f>IF($AG51="","",IFERROR(VALUE(INDEX(Kobo_Import!$A$2:$CZ$301,$AG51,Field_Map!$B$25)&amp;""),0))</f>
        <v>16</v>
      </c>
      <c r="R51" s="46">
        <f>IF($AG51="","",IFERROR(VALUE(INDEX(Kobo_Import!$A$2:$CZ$301,$AG51,Field_Map!$B$26)&amp;""),0))</f>
        <v>1</v>
      </c>
      <c r="S51" s="46">
        <f>IF($AG51="","",IFERROR(VALUE(INDEX(Kobo_Import!$A$2:$CZ$301,$AG51,Field_Map!$B$27)&amp;""),0))</f>
        <v>8</v>
      </c>
      <c r="T51" s="46">
        <f>IF($AG51="","",IFERROR(VALUE(INDEX(Kobo_Import!$A$2:$CZ$301,$AG51,Field_Map!$B$28)&amp;""),0))</f>
        <v>2</v>
      </c>
      <c r="U51" s="46" t="str">
        <f>IF($AG51="","",IF(IFERROR(INDEX(Kobo_Import!$A$2:$CZ$301,$AG51,Field_Map!$B$29)&amp;"","")="","",IFERROR(INDEX(Lists!$N$5:$N$19,MATCH(INDEX(Kobo_Import!$A$2:$CZ$301,$AG51,Field_Map!$B$29)&amp;"",Lists!$M$5:$M$19,0)),INDEX(Kobo_Import!$A$2:$CZ$301,$AG51,Field_Map!$B$29)&amp;"")))</f>
        <v>No</v>
      </c>
      <c r="V51" s="50">
        <f>IF($A51="","",Settings!$B$5-F51)</f>
        <v>21</v>
      </c>
      <c r="W51" s="46">
        <f>IF($A51="","",(J51&gt;0)*Settings!$B$22+(P51&gt;0)*Settings!$B$23+(M51&gt;0)*Settings!$B$24+(O51&gt;0)*Settings!$B$25+(I51="Yes")*Settings!$B$26+(D51="Unusable")*Settings!$B$27+(D51="Damaged")*Settings!$B$28+(H51&gt;=Settings!$B$30)*Settings!$B$29)</f>
        <v>4</v>
      </c>
      <c r="X51" s="46" t="str">
        <f>IF($A51="","",IF(W51&gt;=Settings!$B$31,"High",IF(W51&gt;=Settings!$B$32,"Medium","Low")))</f>
        <v>Medium</v>
      </c>
      <c r="Y51" s="46" t="str">
        <f>IF($A51="","",IF(V51&gt;Settings!$B$21,"Yes",""))</f>
        <v/>
      </c>
      <c r="Z51" s="46">
        <f>IF($A51="","",COUNTIFS(Referrals!$B$5:$B$52,$A51,Referrals!$G$5:$G$52,"Referred")+COUNTIFS(Referrals!$B$5:$B$52,$A51,Referrals!$G$5:$G$52,"Acknowledged"))</f>
        <v>0</v>
      </c>
      <c r="AA51" s="46">
        <f>IF($A51="","",COUNTIFS(Referrals!$B$5:$B$52,$A51,Referrals!$K$5:$K$52,"Overdue"))</f>
        <v>0</v>
      </c>
      <c r="AB51" s="46" t="str">
        <f>IF($A51="","",IF(AND(J51&gt;0,U51="Yes"),IF(COUNTIFS(Referrals!$B$5:$B$52,$A51,Referrals!$D$5:$D$52,"Nutrition / IYCF")=0,"Referral needed","Referred"),""))</f>
        <v/>
      </c>
      <c r="AC51" s="46" t="str">
        <f>IF($A51="","",IF(N(Needs_Gaps!O51)&gt;0,"Yes",""))</f>
        <v/>
      </c>
      <c r="AD51" s="46" t="str">
        <f>IF($A51="","",IF(COUNTIFS(Maintenance_Log!$C$5:$C$40,$A51,Maintenance_Log!$H$5:$H$40,"&lt;&gt;Resolved")&gt;0,"Yes",""))</f>
        <v/>
      </c>
      <c r="AE51" s="46">
        <f t="shared" si="2"/>
        <v>0</v>
      </c>
      <c r="AF51" s="46">
        <f t="shared" si="3"/>
        <v>0</v>
      </c>
      <c r="AG51" s="46">
        <f>IFERROR(MATCH(ROW()-4,Import_Index!$H$5:$H$304,0),"")</f>
        <v>68</v>
      </c>
    </row>
    <row r="52" spans="1:33" x14ac:dyDescent="0.3">
      <c r="A52" s="46" t="str">
        <f>IF($AG52="","",IFERROR(INDEX(Kobo_Import!$A$2:$CZ$301,$AG52,Field_Map!$B$13)&amp;"",""))</f>
        <v>HH-048</v>
      </c>
      <c r="B52" s="46" t="str">
        <f>IF($AG52="","",IF(IFERROR(INDEX(Kobo_Import!$A$2:$CZ$301,$AG52,Field_Map!$B$9)&amp;"","")="","",IFERROR(INDEX(Lists!$N$5:$N$19,MATCH(INDEX(Kobo_Import!$A$2:$CZ$301,$AG52,Field_Map!$B$9)&amp;"",Lists!$M$5:$M$19,0)),INDEX(Kobo_Import!$A$2:$CZ$301,$AG52,Field_Map!$B$9)&amp;"")))</f>
        <v>Site B – School Shelter</v>
      </c>
      <c r="C52" s="46" t="str">
        <f>IF($AG52="","",IF(IFERROR(INDEX(Kobo_Import!$A$2:$CZ$301,$AG52,Field_Map!$B$14)&amp;"","")="","",IFERROR(INDEX(Lists!$N$5:$N$19,MATCH(INDEX(Kobo_Import!$A$2:$CZ$301,$AG52,Field_Map!$B$14)&amp;"",Lists!$M$5:$M$19,0)),INDEX(Kobo_Import!$A$2:$CZ$301,$AG52,Field_Map!$B$14)&amp;"")))</f>
        <v>Classroom</v>
      </c>
      <c r="D52" s="46" t="str">
        <f>IF($AG52="","",IF(IFERROR(INDEX(Kobo_Import!$A$2:$CZ$301,$AG52,Field_Map!$B$15)&amp;"","")="","",IFERROR(INDEX(Lists!$N$5:$N$19,MATCH(INDEX(Kobo_Import!$A$2:$CZ$301,$AG52,Field_Map!$B$15)&amp;"",Lists!$M$5:$M$19,0)),INDEX(Kobo_Import!$A$2:$CZ$301,$AG52,Field_Map!$B$15)&amp;"")))</f>
        <v>Adequate</v>
      </c>
      <c r="E52" s="49">
        <f>IF($A52="","",IFERROR(INDEX(Import_Index!$D$5:$D$304,MATCH($A52&amp;"|registration",Import_Index!$I$5:$I$304,0)),F52))</f>
        <v>46015</v>
      </c>
      <c r="F52" s="49">
        <f>IF($AG52="","",INDEX(Import_Index!$D$5:$D$304,$AG52))</f>
        <v>46043</v>
      </c>
      <c r="G52" s="46">
        <f>IF($A52="","",COUNTIFS(Import_Index!$B$5:$B$304,$A52,Import_Index!$C$5:$C$304,"yes"))</f>
        <v>2</v>
      </c>
      <c r="H52" s="46">
        <f>IF($AG52="","",IFERROR(VALUE(INDEX(Kobo_Import!$A$2:$CZ$301,$AG52,Field_Map!$B$16)&amp;""),0))</f>
        <v>3</v>
      </c>
      <c r="I52" s="46" t="str">
        <f>IF($AG52="","",IF(IFERROR(INDEX(Kobo_Import!$A$2:$CZ$301,$AG52,Field_Map!$B$17)&amp;"","")="","",IFERROR(INDEX(Lists!$N$5:$N$19,MATCH(INDEX(Kobo_Import!$A$2:$CZ$301,$AG52,Field_Map!$B$17)&amp;"",Lists!$M$5:$M$19,0)),INDEX(Kobo_Import!$A$2:$CZ$301,$AG52,Field_Map!$B$17)&amp;"")))</f>
        <v>No</v>
      </c>
      <c r="J52" s="46">
        <f>IF($AG52="","",IFERROR(VALUE(INDEX(Kobo_Import!$A$2:$CZ$301,$AG52,Field_Map!$B$18)&amp;""),0))</f>
        <v>1</v>
      </c>
      <c r="K52" s="46">
        <f>IF($AG52="","",IFERROR(VALUE(INDEX(Kobo_Import!$A$2:$CZ$301,$AG52,Field_Map!$B$19)&amp;""),0))</f>
        <v>0</v>
      </c>
      <c r="L52" s="46">
        <f>IF($AG52="","",IFERROR(VALUE(INDEX(Kobo_Import!$A$2:$CZ$301,$AG52,Field_Map!$B$20)&amp;""),0))</f>
        <v>2</v>
      </c>
      <c r="M52" s="46">
        <f>IF($AG52="","",IFERROR(VALUE(INDEX(Kobo_Import!$A$2:$CZ$301,$AG52,Field_Map!$B$21)&amp;""),0))</f>
        <v>0</v>
      </c>
      <c r="N52" s="46">
        <f>IF($AG52="","",IFERROR(VALUE(INDEX(Kobo_Import!$A$2:$CZ$301,$AG52,Field_Map!$B$22)&amp;""),0))</f>
        <v>1</v>
      </c>
      <c r="O52" s="46">
        <f>IF($AG52="","",IFERROR(VALUE(INDEX(Kobo_Import!$A$2:$CZ$301,$AG52,Field_Map!$B$23)&amp;""),0))</f>
        <v>1</v>
      </c>
      <c r="P52" s="46">
        <f>IF($AG52="","",IFERROR(VALUE(INDEX(Kobo_Import!$A$2:$CZ$301,$AG52,Field_Map!$B$24)&amp;""),0))</f>
        <v>0</v>
      </c>
      <c r="Q52" s="46">
        <f>IF($AG52="","",IFERROR(VALUE(INDEX(Kobo_Import!$A$2:$CZ$301,$AG52,Field_Map!$B$25)&amp;""),0))</f>
        <v>6</v>
      </c>
      <c r="R52" s="46">
        <f>IF($AG52="","",IFERROR(VALUE(INDEX(Kobo_Import!$A$2:$CZ$301,$AG52,Field_Map!$B$26)&amp;""),0))</f>
        <v>3</v>
      </c>
      <c r="S52" s="46">
        <f>IF($AG52="","",IFERROR(VALUE(INDEX(Kobo_Import!$A$2:$CZ$301,$AG52,Field_Map!$B$27)&amp;""),0))</f>
        <v>1</v>
      </c>
      <c r="T52" s="46">
        <f>IF($AG52="","",IFERROR(VALUE(INDEX(Kobo_Import!$A$2:$CZ$301,$AG52,Field_Map!$B$28)&amp;""),0))</f>
        <v>0</v>
      </c>
      <c r="U52" s="46" t="str">
        <f>IF($AG52="","",IF(IFERROR(INDEX(Kobo_Import!$A$2:$CZ$301,$AG52,Field_Map!$B$29)&amp;"","")="","",IFERROR(INDEX(Lists!$N$5:$N$19,MATCH(INDEX(Kobo_Import!$A$2:$CZ$301,$AG52,Field_Map!$B$29)&amp;"",Lists!$M$5:$M$19,0)),INDEX(Kobo_Import!$A$2:$CZ$301,$AG52,Field_Map!$B$29)&amp;"")))</f>
        <v>No</v>
      </c>
      <c r="V52" s="50">
        <f>IF($A52="","",Settings!$B$5-F52)</f>
        <v>10</v>
      </c>
      <c r="W52" s="46">
        <f>IF($A52="","",(J52&gt;0)*Settings!$B$22+(P52&gt;0)*Settings!$B$23+(M52&gt;0)*Settings!$B$24+(O52&gt;0)*Settings!$B$25+(I52="Yes")*Settings!$B$26+(D52="Unusable")*Settings!$B$27+(D52="Damaged")*Settings!$B$28+(H52&gt;=Settings!$B$30)*Settings!$B$29)</f>
        <v>3</v>
      </c>
      <c r="X52" s="46" t="str">
        <f>IF($A52="","",IF(W52&gt;=Settings!$B$31,"High",IF(W52&gt;=Settings!$B$32,"Medium","Low")))</f>
        <v>Medium</v>
      </c>
      <c r="Y52" s="46" t="str">
        <f>IF($A52="","",IF(V52&gt;Settings!$B$21,"Yes",""))</f>
        <v/>
      </c>
      <c r="Z52" s="46">
        <f>IF($A52="","",COUNTIFS(Referrals!$B$5:$B$52,$A52,Referrals!$G$5:$G$52,"Referred")+COUNTIFS(Referrals!$B$5:$B$52,$A52,Referrals!$G$5:$G$52,"Acknowledged"))</f>
        <v>0</v>
      </c>
      <c r="AA52" s="46">
        <f>IF($A52="","",COUNTIFS(Referrals!$B$5:$B$52,$A52,Referrals!$K$5:$K$52,"Overdue"))</f>
        <v>0</v>
      </c>
      <c r="AB52" s="46" t="str">
        <f>IF($A52="","",IF(AND(J52&gt;0,U52="Yes"),IF(COUNTIFS(Referrals!$B$5:$B$52,$A52,Referrals!$D$5:$D$52,"Nutrition / IYCF")=0,"Referral needed","Referred"),""))</f>
        <v/>
      </c>
      <c r="AC52" s="46" t="str">
        <f>IF($A52="","",IF(N(Needs_Gaps!O52)&gt;0,"Yes",""))</f>
        <v/>
      </c>
      <c r="AD52" s="46" t="str">
        <f>IF($A52="","",IF(COUNTIFS(Maintenance_Log!$C$5:$C$40,$A52,Maintenance_Log!$H$5:$H$40,"&lt;&gt;Resolved")&gt;0,"Yes",""))</f>
        <v/>
      </c>
      <c r="AE52" s="46">
        <f t="shared" si="2"/>
        <v>0</v>
      </c>
      <c r="AF52" s="46">
        <f t="shared" si="3"/>
        <v>0</v>
      </c>
      <c r="AG52" s="46">
        <f>IFERROR(MATCH(ROW()-4,Import_Index!$H$5:$H$304,0),"")</f>
        <v>113</v>
      </c>
    </row>
    <row r="53" spans="1:33" x14ac:dyDescent="0.3">
      <c r="A53" s="46" t="str">
        <f>IF($AG53="","",IFERROR(INDEX(Kobo_Import!$A$2:$CZ$301,$AG53,Field_Map!$B$13)&amp;"",""))</f>
        <v>HH-049</v>
      </c>
      <c r="B53" s="46" t="str">
        <f>IF($AG53="","",IF(IFERROR(INDEX(Kobo_Import!$A$2:$CZ$301,$AG53,Field_Map!$B$9)&amp;"","")="","",IFERROR(INDEX(Lists!$N$5:$N$19,MATCH(INDEX(Kobo_Import!$A$2:$CZ$301,$AG53,Field_Map!$B$9)&amp;"",Lists!$M$5:$M$19,0)),INDEX(Kobo_Import!$A$2:$CZ$301,$AG53,Field_Map!$B$9)&amp;"")))</f>
        <v>Site B – School Shelter</v>
      </c>
      <c r="C53" s="46" t="str">
        <f>IF($AG53="","",IF(IFERROR(INDEX(Kobo_Import!$A$2:$CZ$301,$AG53,Field_Map!$B$14)&amp;"","")="","",IFERROR(INDEX(Lists!$N$5:$N$19,MATCH(INDEX(Kobo_Import!$A$2:$CZ$301,$AG53,Field_Map!$B$14)&amp;"",Lists!$M$5:$M$19,0)),INDEX(Kobo_Import!$A$2:$CZ$301,$AG53,Field_Map!$B$14)&amp;"")))</f>
        <v>Classroom</v>
      </c>
      <c r="D53" s="46" t="str">
        <f>IF($AG53="","",IF(IFERROR(INDEX(Kobo_Import!$A$2:$CZ$301,$AG53,Field_Map!$B$15)&amp;"","")="","",IFERROR(INDEX(Lists!$N$5:$N$19,MATCH(INDEX(Kobo_Import!$A$2:$CZ$301,$AG53,Field_Map!$B$15)&amp;"",Lists!$M$5:$M$19,0)),INDEX(Kobo_Import!$A$2:$CZ$301,$AG53,Field_Map!$B$15)&amp;"")))</f>
        <v>Adequate</v>
      </c>
      <c r="E53" s="49">
        <f>IF($A53="","",IFERROR(INDEX(Import_Index!$D$5:$D$304,MATCH($A53&amp;"|registration",Import_Index!$I$5:$I$304,0)),F53))</f>
        <v>46011</v>
      </c>
      <c r="F53" s="49">
        <f>IF($AG53="","",INDEX(Import_Index!$D$5:$D$304,$AG53))</f>
        <v>46039</v>
      </c>
      <c r="G53" s="46">
        <f>IF($A53="","",COUNTIFS(Import_Index!$B$5:$B$304,$A53,Import_Index!$C$5:$C$304,"yes"))</f>
        <v>2</v>
      </c>
      <c r="H53" s="46">
        <f>IF($AG53="","",IFERROR(VALUE(INDEX(Kobo_Import!$A$2:$CZ$301,$AG53,Field_Map!$B$16)&amp;""),0))</f>
        <v>3</v>
      </c>
      <c r="I53" s="46" t="str">
        <f>IF($AG53="","",IF(IFERROR(INDEX(Kobo_Import!$A$2:$CZ$301,$AG53,Field_Map!$B$17)&amp;"","")="","",IFERROR(INDEX(Lists!$N$5:$N$19,MATCH(INDEX(Kobo_Import!$A$2:$CZ$301,$AG53,Field_Map!$B$17)&amp;"",Lists!$M$5:$M$19,0)),INDEX(Kobo_Import!$A$2:$CZ$301,$AG53,Field_Map!$B$17)&amp;"")))</f>
        <v>No</v>
      </c>
      <c r="J53" s="46">
        <f>IF($AG53="","",IFERROR(VALUE(INDEX(Kobo_Import!$A$2:$CZ$301,$AG53,Field_Map!$B$18)&amp;""),0))</f>
        <v>1</v>
      </c>
      <c r="K53" s="46">
        <f>IF($AG53="","",IFERROR(VALUE(INDEX(Kobo_Import!$A$2:$CZ$301,$AG53,Field_Map!$B$19)&amp;""),0))</f>
        <v>0</v>
      </c>
      <c r="L53" s="46">
        <f>IF($AG53="","",IFERROR(VALUE(INDEX(Kobo_Import!$A$2:$CZ$301,$AG53,Field_Map!$B$20)&amp;""),0))</f>
        <v>2</v>
      </c>
      <c r="M53" s="46">
        <f>IF($AG53="","",IFERROR(VALUE(INDEX(Kobo_Import!$A$2:$CZ$301,$AG53,Field_Map!$B$21)&amp;""),0))</f>
        <v>0</v>
      </c>
      <c r="N53" s="46">
        <f>IF($AG53="","",IFERROR(VALUE(INDEX(Kobo_Import!$A$2:$CZ$301,$AG53,Field_Map!$B$22)&amp;""),0))</f>
        <v>1</v>
      </c>
      <c r="O53" s="46">
        <f>IF($AG53="","",IFERROR(VALUE(INDEX(Kobo_Import!$A$2:$CZ$301,$AG53,Field_Map!$B$23)&amp;""),0))</f>
        <v>1</v>
      </c>
      <c r="P53" s="46">
        <f>IF($AG53="","",IFERROR(VALUE(INDEX(Kobo_Import!$A$2:$CZ$301,$AG53,Field_Map!$B$24)&amp;""),0))</f>
        <v>0</v>
      </c>
      <c r="Q53" s="46">
        <f>IF($AG53="","",IFERROR(VALUE(INDEX(Kobo_Import!$A$2:$CZ$301,$AG53,Field_Map!$B$25)&amp;""),0))</f>
        <v>5</v>
      </c>
      <c r="R53" s="46">
        <f>IF($AG53="","",IFERROR(VALUE(INDEX(Kobo_Import!$A$2:$CZ$301,$AG53,Field_Map!$B$26)&amp;""),0))</f>
        <v>3</v>
      </c>
      <c r="S53" s="46">
        <f>IF($AG53="","",IFERROR(VALUE(INDEX(Kobo_Import!$A$2:$CZ$301,$AG53,Field_Map!$B$27)&amp;""),0))</f>
        <v>0</v>
      </c>
      <c r="T53" s="46">
        <f>IF($AG53="","",IFERROR(VALUE(INDEX(Kobo_Import!$A$2:$CZ$301,$AG53,Field_Map!$B$28)&amp;""),0))</f>
        <v>0</v>
      </c>
      <c r="U53" s="46" t="str">
        <f>IF($AG53="","",IF(IFERROR(INDEX(Kobo_Import!$A$2:$CZ$301,$AG53,Field_Map!$B$29)&amp;"","")="","",IFERROR(INDEX(Lists!$N$5:$N$19,MATCH(INDEX(Kobo_Import!$A$2:$CZ$301,$AG53,Field_Map!$B$29)&amp;"",Lists!$M$5:$M$19,0)),INDEX(Kobo_Import!$A$2:$CZ$301,$AG53,Field_Map!$B$29)&amp;"")))</f>
        <v>No</v>
      </c>
      <c r="V53" s="50">
        <f>IF($A53="","",Settings!$B$5-F53)</f>
        <v>14</v>
      </c>
      <c r="W53" s="46">
        <f>IF($A53="","",(J53&gt;0)*Settings!$B$22+(P53&gt;0)*Settings!$B$23+(M53&gt;0)*Settings!$B$24+(O53&gt;0)*Settings!$B$25+(I53="Yes")*Settings!$B$26+(D53="Unusable")*Settings!$B$27+(D53="Damaged")*Settings!$B$28+(H53&gt;=Settings!$B$30)*Settings!$B$29)</f>
        <v>3</v>
      </c>
      <c r="X53" s="46" t="str">
        <f>IF($A53="","",IF(W53&gt;=Settings!$B$31,"High",IF(W53&gt;=Settings!$B$32,"Medium","Low")))</f>
        <v>Medium</v>
      </c>
      <c r="Y53" s="46" t="str">
        <f>IF($A53="","",IF(V53&gt;Settings!$B$21,"Yes",""))</f>
        <v/>
      </c>
      <c r="Z53" s="46">
        <f>IF($A53="","",COUNTIFS(Referrals!$B$5:$B$52,$A53,Referrals!$G$5:$G$52,"Referred")+COUNTIFS(Referrals!$B$5:$B$52,$A53,Referrals!$G$5:$G$52,"Acknowledged"))</f>
        <v>0</v>
      </c>
      <c r="AA53" s="46">
        <f>IF($A53="","",COUNTIFS(Referrals!$B$5:$B$52,$A53,Referrals!$K$5:$K$52,"Overdue"))</f>
        <v>0</v>
      </c>
      <c r="AB53" s="46" t="str">
        <f>IF($A53="","",IF(AND(J53&gt;0,U53="Yes"),IF(COUNTIFS(Referrals!$B$5:$B$52,$A53,Referrals!$D$5:$D$52,"Nutrition / IYCF")=0,"Referral needed","Referred"),""))</f>
        <v/>
      </c>
      <c r="AC53" s="46" t="str">
        <f>IF($A53="","",IF(N(Needs_Gaps!O53)&gt;0,"Yes",""))</f>
        <v/>
      </c>
      <c r="AD53" s="46" t="str">
        <f>IF($A53="","",IF(COUNTIFS(Maintenance_Log!$C$5:$C$40,$A53,Maintenance_Log!$H$5:$H$40,"&lt;&gt;Resolved")&gt;0,"Yes",""))</f>
        <v/>
      </c>
      <c r="AE53" s="46">
        <f t="shared" si="2"/>
        <v>0</v>
      </c>
      <c r="AF53" s="46">
        <f t="shared" si="3"/>
        <v>0</v>
      </c>
      <c r="AG53" s="46">
        <f>IFERROR(MATCH(ROW()-4,Import_Index!$H$5:$H$304,0),"")</f>
        <v>96</v>
      </c>
    </row>
    <row r="54" spans="1:33" x14ac:dyDescent="0.3">
      <c r="A54" s="46" t="str">
        <f>IF($AG54="","",IFERROR(INDEX(Kobo_Import!$A$2:$CZ$301,$AG54,Field_Map!$B$13)&amp;"",""))</f>
        <v>HH-050</v>
      </c>
      <c r="B54" s="46" t="str">
        <f>IF($AG54="","",IF(IFERROR(INDEX(Kobo_Import!$A$2:$CZ$301,$AG54,Field_Map!$B$9)&amp;"","")="","",IFERROR(INDEX(Lists!$N$5:$N$19,MATCH(INDEX(Kobo_Import!$A$2:$CZ$301,$AG54,Field_Map!$B$9)&amp;"",Lists!$M$5:$M$19,0)),INDEX(Kobo_Import!$A$2:$CZ$301,$AG54,Field_Map!$B$9)&amp;"")))</f>
        <v>Site B – School Shelter</v>
      </c>
      <c r="C54" s="46" t="str">
        <f>IF($AG54="","",IF(IFERROR(INDEX(Kobo_Import!$A$2:$CZ$301,$AG54,Field_Map!$B$14)&amp;"","")="","",IFERROR(INDEX(Lists!$N$5:$N$19,MATCH(INDEX(Kobo_Import!$A$2:$CZ$301,$AG54,Field_Map!$B$14)&amp;"",Lists!$M$5:$M$19,0)),INDEX(Kobo_Import!$A$2:$CZ$301,$AG54,Field_Map!$B$14)&amp;"")))</f>
        <v>Classroom</v>
      </c>
      <c r="D54" s="46" t="str">
        <f>IF($AG54="","",IF(IFERROR(INDEX(Kobo_Import!$A$2:$CZ$301,$AG54,Field_Map!$B$15)&amp;"","")="","",IFERROR(INDEX(Lists!$N$5:$N$19,MATCH(INDEX(Kobo_Import!$A$2:$CZ$301,$AG54,Field_Map!$B$15)&amp;"",Lists!$M$5:$M$19,0)),INDEX(Kobo_Import!$A$2:$CZ$301,$AG54,Field_Map!$B$15)&amp;"")))</f>
        <v>Adequate</v>
      </c>
      <c r="E54" s="49">
        <f>IF($A54="","",IFERROR(INDEX(Import_Index!$D$5:$D$304,MATCH($A54&amp;"|registration",Import_Index!$I$5:$I$304,0)),F54))</f>
        <v>46050</v>
      </c>
      <c r="F54" s="49">
        <f>IF($AG54="","",INDEX(Import_Index!$D$5:$D$304,$AG54))</f>
        <v>46050</v>
      </c>
      <c r="G54" s="46">
        <f>IF($A54="","",COUNTIFS(Import_Index!$B$5:$B$304,$A54,Import_Index!$C$5:$C$304,"yes"))</f>
        <v>1</v>
      </c>
      <c r="H54" s="46">
        <f>IF($AG54="","",IFERROR(VALUE(INDEX(Kobo_Import!$A$2:$CZ$301,$AG54,Field_Map!$B$16)&amp;""),0))</f>
        <v>4</v>
      </c>
      <c r="I54" s="46" t="str">
        <f>IF($AG54="","",IF(IFERROR(INDEX(Kobo_Import!$A$2:$CZ$301,$AG54,Field_Map!$B$17)&amp;"","")="","",IFERROR(INDEX(Lists!$N$5:$N$19,MATCH(INDEX(Kobo_Import!$A$2:$CZ$301,$AG54,Field_Map!$B$17)&amp;"",Lists!$M$5:$M$19,0)),INDEX(Kobo_Import!$A$2:$CZ$301,$AG54,Field_Map!$B$17)&amp;"")))</f>
        <v>No</v>
      </c>
      <c r="J54" s="46">
        <f>IF($AG54="","",IFERROR(VALUE(INDEX(Kobo_Import!$A$2:$CZ$301,$AG54,Field_Map!$B$18)&amp;""),0))</f>
        <v>1</v>
      </c>
      <c r="K54" s="46">
        <f>IF($AG54="","",IFERROR(VALUE(INDEX(Kobo_Import!$A$2:$CZ$301,$AG54,Field_Map!$B$19)&amp;""),0))</f>
        <v>0</v>
      </c>
      <c r="L54" s="46">
        <f>IF($AG54="","",IFERROR(VALUE(INDEX(Kobo_Import!$A$2:$CZ$301,$AG54,Field_Map!$B$20)&amp;""),0))</f>
        <v>2</v>
      </c>
      <c r="M54" s="46">
        <f>IF($AG54="","",IFERROR(VALUE(INDEX(Kobo_Import!$A$2:$CZ$301,$AG54,Field_Map!$B$21)&amp;""),0))</f>
        <v>1</v>
      </c>
      <c r="N54" s="46">
        <f>IF($AG54="","",IFERROR(VALUE(INDEX(Kobo_Import!$A$2:$CZ$301,$AG54,Field_Map!$B$22)&amp;""),0))</f>
        <v>1</v>
      </c>
      <c r="O54" s="46">
        <f>IF($AG54="","",IFERROR(VALUE(INDEX(Kobo_Import!$A$2:$CZ$301,$AG54,Field_Map!$B$23)&amp;""),0))</f>
        <v>0</v>
      </c>
      <c r="P54" s="46">
        <f>IF($AG54="","",IFERROR(VALUE(INDEX(Kobo_Import!$A$2:$CZ$301,$AG54,Field_Map!$B$24)&amp;""),0))</f>
        <v>0</v>
      </c>
      <c r="Q54" s="46">
        <f>IF($AG54="","",IFERROR(VALUE(INDEX(Kobo_Import!$A$2:$CZ$301,$AG54,Field_Map!$B$25)&amp;""),0))</f>
        <v>1</v>
      </c>
      <c r="R54" s="46">
        <f>IF($AG54="","",IFERROR(VALUE(INDEX(Kobo_Import!$A$2:$CZ$301,$AG54,Field_Map!$B$26)&amp;""),0))</f>
        <v>2</v>
      </c>
      <c r="S54" s="46">
        <f>IF($AG54="","",IFERROR(VALUE(INDEX(Kobo_Import!$A$2:$CZ$301,$AG54,Field_Map!$B$27)&amp;""),0))</f>
        <v>0</v>
      </c>
      <c r="T54" s="46">
        <f>IF($AG54="","",IFERROR(VALUE(INDEX(Kobo_Import!$A$2:$CZ$301,$AG54,Field_Map!$B$28)&amp;""),0))</f>
        <v>0</v>
      </c>
      <c r="U54" s="46" t="str">
        <f>IF($AG54="","",IF(IFERROR(INDEX(Kobo_Import!$A$2:$CZ$301,$AG54,Field_Map!$B$29)&amp;"","")="","",IFERROR(INDEX(Lists!$N$5:$N$19,MATCH(INDEX(Kobo_Import!$A$2:$CZ$301,$AG54,Field_Map!$B$29)&amp;"",Lists!$M$5:$M$19,0)),INDEX(Kobo_Import!$A$2:$CZ$301,$AG54,Field_Map!$B$29)&amp;"")))</f>
        <v>No</v>
      </c>
      <c r="V54" s="50">
        <f>IF($A54="","",Settings!$B$5-F54)</f>
        <v>3</v>
      </c>
      <c r="W54" s="46">
        <f>IF($A54="","",(J54&gt;0)*Settings!$B$22+(P54&gt;0)*Settings!$B$23+(M54&gt;0)*Settings!$B$24+(O54&gt;0)*Settings!$B$25+(I54="Yes")*Settings!$B$26+(D54="Unusable")*Settings!$B$27+(D54="Damaged")*Settings!$B$28+(H54&gt;=Settings!$B$30)*Settings!$B$29)</f>
        <v>3</v>
      </c>
      <c r="X54" s="46" t="str">
        <f>IF($A54="","",IF(W54&gt;=Settings!$B$31,"High",IF(W54&gt;=Settings!$B$32,"Medium","Low")))</f>
        <v>Medium</v>
      </c>
      <c r="Y54" s="46" t="str">
        <f>IF($A54="","",IF(V54&gt;Settings!$B$21,"Yes",""))</f>
        <v/>
      </c>
      <c r="Z54" s="46">
        <f>IF($A54="","",COUNTIFS(Referrals!$B$5:$B$52,$A54,Referrals!$G$5:$G$52,"Referred")+COUNTIFS(Referrals!$B$5:$B$52,$A54,Referrals!$G$5:$G$52,"Acknowledged"))</f>
        <v>1</v>
      </c>
      <c r="AA54" s="46">
        <f>IF($A54="","",COUNTIFS(Referrals!$B$5:$B$52,$A54,Referrals!$K$5:$K$52,"Overdue"))</f>
        <v>0</v>
      </c>
      <c r="AB54" s="46" t="str">
        <f>IF($A54="","",IF(AND(J54&gt;0,U54="Yes"),IF(COUNTIFS(Referrals!$B$5:$B$52,$A54,Referrals!$D$5:$D$52,"Nutrition / IYCF")=0,"Referral needed","Referred"),""))</f>
        <v/>
      </c>
      <c r="AC54" s="46" t="str">
        <f>IF($A54="","",IF(N(Needs_Gaps!O54)&gt;0,"Yes",""))</f>
        <v/>
      </c>
      <c r="AD54" s="46" t="str">
        <f>IF($A54="","",IF(COUNTIFS(Maintenance_Log!$C$5:$C$40,$A54,Maintenance_Log!$H$5:$H$40,"&lt;&gt;Resolved")&gt;0,"Yes",""))</f>
        <v/>
      </c>
      <c r="AE54" s="46">
        <f t="shared" si="2"/>
        <v>0</v>
      </c>
      <c r="AF54" s="46">
        <f t="shared" si="3"/>
        <v>0</v>
      </c>
      <c r="AG54" s="46">
        <f>IFERROR(MATCH(ROW()-4,Import_Index!$H$5:$H$304,0),"")</f>
        <v>144</v>
      </c>
    </row>
    <row r="55" spans="1:33" x14ac:dyDescent="0.3">
      <c r="A55" s="46" t="str">
        <f>IF($AG55="","",IFERROR(INDEX(Kobo_Import!$A$2:$CZ$301,$AG55,Field_Map!$B$13)&amp;"",""))</f>
        <v>HH-051</v>
      </c>
      <c r="B55" s="46" t="str">
        <f>IF($AG55="","",IF(IFERROR(INDEX(Kobo_Import!$A$2:$CZ$301,$AG55,Field_Map!$B$9)&amp;"","")="","",IFERROR(INDEX(Lists!$N$5:$N$19,MATCH(INDEX(Kobo_Import!$A$2:$CZ$301,$AG55,Field_Map!$B$9)&amp;"",Lists!$M$5:$M$19,0)),INDEX(Kobo_Import!$A$2:$CZ$301,$AG55,Field_Map!$B$9)&amp;"")))</f>
        <v>Site B – School Shelter</v>
      </c>
      <c r="C55" s="46" t="str">
        <f>IF($AG55="","",IF(IFERROR(INDEX(Kobo_Import!$A$2:$CZ$301,$AG55,Field_Map!$B$14)&amp;"","")="","",IFERROR(INDEX(Lists!$N$5:$N$19,MATCH(INDEX(Kobo_Import!$A$2:$CZ$301,$AG55,Field_Map!$B$14)&amp;"",Lists!$M$5:$M$19,0)),INDEX(Kobo_Import!$A$2:$CZ$301,$AG55,Field_Map!$B$14)&amp;"")))</f>
        <v>Classroom</v>
      </c>
      <c r="D55" s="46" t="str">
        <f>IF($AG55="","",IF(IFERROR(INDEX(Kobo_Import!$A$2:$CZ$301,$AG55,Field_Map!$B$15)&amp;"","")="","",IFERROR(INDEX(Lists!$N$5:$N$19,MATCH(INDEX(Kobo_Import!$A$2:$CZ$301,$AG55,Field_Map!$B$15)&amp;"",Lists!$M$5:$M$19,0)),INDEX(Kobo_Import!$A$2:$CZ$301,$AG55,Field_Map!$B$15)&amp;"")))</f>
        <v>Damaged</v>
      </c>
      <c r="E55" s="49">
        <f>IF($A55="","",IFERROR(INDEX(Import_Index!$D$5:$D$304,MATCH($A55&amp;"|registration",Import_Index!$I$5:$I$304,0)),F55))</f>
        <v>46048</v>
      </c>
      <c r="F55" s="49">
        <f>IF($AG55="","",INDEX(Import_Index!$D$5:$D$304,$AG55))</f>
        <v>46048</v>
      </c>
      <c r="G55" s="46">
        <f>IF($A55="","",COUNTIFS(Import_Index!$B$5:$B$304,$A55,Import_Index!$C$5:$C$304,"yes"))</f>
        <v>1</v>
      </c>
      <c r="H55" s="46">
        <f>IF($AG55="","",IFERROR(VALUE(INDEX(Kobo_Import!$A$2:$CZ$301,$AG55,Field_Map!$B$16)&amp;""),0))</f>
        <v>11</v>
      </c>
      <c r="I55" s="46" t="str">
        <f>IF($AG55="","",IF(IFERROR(INDEX(Kobo_Import!$A$2:$CZ$301,$AG55,Field_Map!$B$17)&amp;"","")="","",IFERROR(INDEX(Lists!$N$5:$N$19,MATCH(INDEX(Kobo_Import!$A$2:$CZ$301,$AG55,Field_Map!$B$17)&amp;"",Lists!$M$5:$M$19,0)),INDEX(Kobo_Import!$A$2:$CZ$301,$AG55,Field_Map!$B$17)&amp;"")))</f>
        <v>No</v>
      </c>
      <c r="J55" s="46">
        <f>IF($AG55="","",IFERROR(VALUE(INDEX(Kobo_Import!$A$2:$CZ$301,$AG55,Field_Map!$B$18)&amp;""),0))</f>
        <v>0</v>
      </c>
      <c r="K55" s="46">
        <f>IF($AG55="","",IFERROR(VALUE(INDEX(Kobo_Import!$A$2:$CZ$301,$AG55,Field_Map!$B$19)&amp;""),0))</f>
        <v>9</v>
      </c>
      <c r="L55" s="46">
        <f>IF($AG55="","",IFERROR(VALUE(INDEX(Kobo_Import!$A$2:$CZ$301,$AG55,Field_Map!$B$20)&amp;""),0))</f>
        <v>2</v>
      </c>
      <c r="M55" s="46">
        <f>IF($AG55="","",IFERROR(VALUE(INDEX(Kobo_Import!$A$2:$CZ$301,$AG55,Field_Map!$B$21)&amp;""),0))</f>
        <v>0</v>
      </c>
      <c r="N55" s="46">
        <f>IF($AG55="","",IFERROR(VALUE(INDEX(Kobo_Import!$A$2:$CZ$301,$AG55,Field_Map!$B$22)&amp;""),0))</f>
        <v>1</v>
      </c>
      <c r="O55" s="46">
        <f>IF($AG55="","",IFERROR(VALUE(INDEX(Kobo_Import!$A$2:$CZ$301,$AG55,Field_Map!$B$23)&amp;""),0))</f>
        <v>0</v>
      </c>
      <c r="P55" s="46">
        <f>IF($AG55="","",IFERROR(VALUE(INDEX(Kobo_Import!$A$2:$CZ$301,$AG55,Field_Map!$B$24)&amp;""),0))</f>
        <v>0</v>
      </c>
      <c r="Q55" s="46">
        <f>IF($AG55="","",IFERROR(VALUE(INDEX(Kobo_Import!$A$2:$CZ$301,$AG55,Field_Map!$B$25)&amp;""),0))</f>
        <v>0</v>
      </c>
      <c r="R55" s="46">
        <f>IF($AG55="","",IFERROR(VALUE(INDEX(Kobo_Import!$A$2:$CZ$301,$AG55,Field_Map!$B$26)&amp;""),0))</f>
        <v>8</v>
      </c>
      <c r="S55" s="46">
        <f>IF($AG55="","",IFERROR(VALUE(INDEX(Kobo_Import!$A$2:$CZ$301,$AG55,Field_Map!$B$27)&amp;""),0))</f>
        <v>9</v>
      </c>
      <c r="T55" s="46">
        <f>IF($AG55="","",IFERROR(VALUE(INDEX(Kobo_Import!$A$2:$CZ$301,$AG55,Field_Map!$B$28)&amp;""),0))</f>
        <v>2</v>
      </c>
      <c r="U55" s="46" t="str">
        <f>IF($AG55="","",IF(IFERROR(INDEX(Kobo_Import!$A$2:$CZ$301,$AG55,Field_Map!$B$29)&amp;"","")="","",IFERROR(INDEX(Lists!$N$5:$N$19,MATCH(INDEX(Kobo_Import!$A$2:$CZ$301,$AG55,Field_Map!$B$29)&amp;"",Lists!$M$5:$M$19,0)),INDEX(Kobo_Import!$A$2:$CZ$301,$AG55,Field_Map!$B$29)&amp;"")))</f>
        <v/>
      </c>
      <c r="V55" s="50">
        <f>IF($A55="","",Settings!$B$5-F55)</f>
        <v>5</v>
      </c>
      <c r="W55" s="46">
        <f>IF($A55="","",(J55&gt;0)*Settings!$B$22+(P55&gt;0)*Settings!$B$23+(M55&gt;0)*Settings!$B$24+(O55&gt;0)*Settings!$B$25+(I55="Yes")*Settings!$B$26+(D55="Unusable")*Settings!$B$27+(D55="Damaged")*Settings!$B$28+(H55&gt;=Settings!$B$30)*Settings!$B$29)</f>
        <v>2</v>
      </c>
      <c r="X55" s="46" t="str">
        <f>IF($A55="","",IF(W55&gt;=Settings!$B$31,"High",IF(W55&gt;=Settings!$B$32,"Medium","Low")))</f>
        <v>Low</v>
      </c>
      <c r="Y55" s="46" t="str">
        <f>IF($A55="","",IF(V55&gt;Settings!$B$21,"Yes",""))</f>
        <v/>
      </c>
      <c r="Z55" s="46">
        <f>IF($A55="","",COUNTIFS(Referrals!$B$5:$B$52,$A55,Referrals!$G$5:$G$52,"Referred")+COUNTIFS(Referrals!$B$5:$B$52,$A55,Referrals!$G$5:$G$52,"Acknowledged"))</f>
        <v>1</v>
      </c>
      <c r="AA55" s="46">
        <f>IF($A55="","",COUNTIFS(Referrals!$B$5:$B$52,$A55,Referrals!$K$5:$K$52,"Overdue"))</f>
        <v>0</v>
      </c>
      <c r="AB55" s="46" t="str">
        <f>IF($A55="","",IF(AND(J55&gt;0,U55="Yes"),IF(COUNTIFS(Referrals!$B$5:$B$52,$A55,Referrals!$D$5:$D$52,"Nutrition / IYCF")=0,"Referral needed","Referred"),""))</f>
        <v/>
      </c>
      <c r="AC55" s="46" t="str">
        <f>IF($A55="","",IF(N(Needs_Gaps!O55)&gt;0,"Yes",""))</f>
        <v/>
      </c>
      <c r="AD55" s="46" t="str">
        <f>IF($A55="","",IF(COUNTIFS(Maintenance_Log!$C$5:$C$40,$A55,Maintenance_Log!$H$5:$H$40,"&lt;&gt;Resolved")&gt;0,"Yes",""))</f>
        <v/>
      </c>
      <c r="AE55" s="46">
        <f t="shared" si="2"/>
        <v>0</v>
      </c>
      <c r="AF55" s="46">
        <f t="shared" si="3"/>
        <v>0</v>
      </c>
      <c r="AG55" s="46">
        <f>IFERROR(MATCH(ROW()-4,Import_Index!$H$5:$H$304,0),"")</f>
        <v>139</v>
      </c>
    </row>
    <row r="56" spans="1:33" x14ac:dyDescent="0.3">
      <c r="A56" s="46" t="str">
        <f>IF($AG56="","",IFERROR(INDEX(Kobo_Import!$A$2:$CZ$301,$AG56,Field_Map!$B$13)&amp;"",""))</f>
        <v>HH-052</v>
      </c>
      <c r="B56" s="46" t="str">
        <f>IF($AG56="","",IF(IFERROR(INDEX(Kobo_Import!$A$2:$CZ$301,$AG56,Field_Map!$B$9)&amp;"","")="","",IFERROR(INDEX(Lists!$N$5:$N$19,MATCH(INDEX(Kobo_Import!$A$2:$CZ$301,$AG56,Field_Map!$B$9)&amp;"",Lists!$M$5:$M$19,0)),INDEX(Kobo_Import!$A$2:$CZ$301,$AG56,Field_Map!$B$9)&amp;"")))</f>
        <v>Site B – School Shelter</v>
      </c>
      <c r="C56" s="46" t="str">
        <f>IF($AG56="","",IF(IFERROR(INDEX(Kobo_Import!$A$2:$CZ$301,$AG56,Field_Map!$B$14)&amp;"","")="","",IFERROR(INDEX(Lists!$N$5:$N$19,MATCH(INDEX(Kobo_Import!$A$2:$CZ$301,$AG56,Field_Map!$B$14)&amp;"",Lists!$M$5:$M$19,0)),INDEX(Kobo_Import!$A$2:$CZ$301,$AG56,Field_Map!$B$14)&amp;"")))</f>
        <v>Classroom</v>
      </c>
      <c r="D56" s="46" t="str">
        <f>IF($AG56="","",IF(IFERROR(INDEX(Kobo_Import!$A$2:$CZ$301,$AG56,Field_Map!$B$15)&amp;"","")="","",IFERROR(INDEX(Lists!$N$5:$N$19,MATCH(INDEX(Kobo_Import!$A$2:$CZ$301,$AG56,Field_Map!$B$15)&amp;"",Lists!$M$5:$M$19,0)),INDEX(Kobo_Import!$A$2:$CZ$301,$AG56,Field_Map!$B$15)&amp;"")))</f>
        <v>Adequate</v>
      </c>
      <c r="E56" s="49">
        <f>IF($A56="","",IFERROR(INDEX(Import_Index!$D$5:$D$304,MATCH($A56&amp;"|registration",Import_Index!$I$5:$I$304,0)),F56))</f>
        <v>46047</v>
      </c>
      <c r="F56" s="49">
        <f>IF($AG56="","",INDEX(Import_Index!$D$5:$D$304,$AG56))</f>
        <v>46047</v>
      </c>
      <c r="G56" s="46">
        <f>IF($A56="","",COUNTIFS(Import_Index!$B$5:$B$304,$A56,Import_Index!$C$5:$C$304,"yes"))</f>
        <v>1</v>
      </c>
      <c r="H56" s="46">
        <f>IF($AG56="","",IFERROR(VALUE(INDEX(Kobo_Import!$A$2:$CZ$301,$AG56,Field_Map!$B$16)&amp;""),0))</f>
        <v>7</v>
      </c>
      <c r="I56" s="46" t="str">
        <f>IF($AG56="","",IF(IFERROR(INDEX(Kobo_Import!$A$2:$CZ$301,$AG56,Field_Map!$B$17)&amp;"","")="","",IFERROR(INDEX(Lists!$N$5:$N$19,MATCH(INDEX(Kobo_Import!$A$2:$CZ$301,$AG56,Field_Map!$B$17)&amp;"",Lists!$M$5:$M$19,0)),INDEX(Kobo_Import!$A$2:$CZ$301,$AG56,Field_Map!$B$17)&amp;"")))</f>
        <v>No</v>
      </c>
      <c r="J56" s="46">
        <f>IF($AG56="","",IFERROR(VALUE(INDEX(Kobo_Import!$A$2:$CZ$301,$AG56,Field_Map!$B$18)&amp;""),0))</f>
        <v>0</v>
      </c>
      <c r="K56" s="46">
        <f>IF($AG56="","",IFERROR(VALUE(INDEX(Kobo_Import!$A$2:$CZ$301,$AG56,Field_Map!$B$19)&amp;""),0))</f>
        <v>5</v>
      </c>
      <c r="L56" s="46">
        <f>IF($AG56="","",IFERROR(VALUE(INDEX(Kobo_Import!$A$2:$CZ$301,$AG56,Field_Map!$B$20)&amp;""),0))</f>
        <v>2</v>
      </c>
      <c r="M56" s="46">
        <f>IF($AG56="","",IFERROR(VALUE(INDEX(Kobo_Import!$A$2:$CZ$301,$AG56,Field_Map!$B$21)&amp;""),0))</f>
        <v>0</v>
      </c>
      <c r="N56" s="46">
        <f>IF($AG56="","",IFERROR(VALUE(INDEX(Kobo_Import!$A$2:$CZ$301,$AG56,Field_Map!$B$22)&amp;""),0))</f>
        <v>2</v>
      </c>
      <c r="O56" s="46">
        <f>IF($AG56="","",IFERROR(VALUE(INDEX(Kobo_Import!$A$2:$CZ$301,$AG56,Field_Map!$B$23)&amp;""),0))</f>
        <v>0</v>
      </c>
      <c r="P56" s="46">
        <f>IF($AG56="","",IFERROR(VALUE(INDEX(Kobo_Import!$A$2:$CZ$301,$AG56,Field_Map!$B$24)&amp;""),0))</f>
        <v>0</v>
      </c>
      <c r="Q56" s="46">
        <f>IF($AG56="","",IFERROR(VALUE(INDEX(Kobo_Import!$A$2:$CZ$301,$AG56,Field_Map!$B$25)&amp;""),0))</f>
        <v>4</v>
      </c>
      <c r="R56" s="46">
        <f>IF($AG56="","",IFERROR(VALUE(INDEX(Kobo_Import!$A$2:$CZ$301,$AG56,Field_Map!$B$26)&amp;""),0))</f>
        <v>0</v>
      </c>
      <c r="S56" s="46">
        <f>IF($AG56="","",IFERROR(VALUE(INDEX(Kobo_Import!$A$2:$CZ$301,$AG56,Field_Map!$B$27)&amp;""),0))</f>
        <v>3</v>
      </c>
      <c r="T56" s="46">
        <f>IF($AG56="","",IFERROR(VALUE(INDEX(Kobo_Import!$A$2:$CZ$301,$AG56,Field_Map!$B$28)&amp;""),0))</f>
        <v>0</v>
      </c>
      <c r="U56" s="46" t="str">
        <f>IF($AG56="","",IF(IFERROR(INDEX(Kobo_Import!$A$2:$CZ$301,$AG56,Field_Map!$B$29)&amp;"","")="","",IFERROR(INDEX(Lists!$N$5:$N$19,MATCH(INDEX(Kobo_Import!$A$2:$CZ$301,$AG56,Field_Map!$B$29)&amp;"",Lists!$M$5:$M$19,0)),INDEX(Kobo_Import!$A$2:$CZ$301,$AG56,Field_Map!$B$29)&amp;"")))</f>
        <v/>
      </c>
      <c r="V56" s="50">
        <f>IF($A56="","",Settings!$B$5-F56)</f>
        <v>6</v>
      </c>
      <c r="W56" s="46">
        <f>IF($A56="","",(J56&gt;0)*Settings!$B$22+(P56&gt;0)*Settings!$B$23+(M56&gt;0)*Settings!$B$24+(O56&gt;0)*Settings!$B$25+(I56="Yes")*Settings!$B$26+(D56="Unusable")*Settings!$B$27+(D56="Damaged")*Settings!$B$28+(H56&gt;=Settings!$B$30)*Settings!$B$29)</f>
        <v>0</v>
      </c>
      <c r="X56" s="46" t="str">
        <f>IF($A56="","",IF(W56&gt;=Settings!$B$31,"High",IF(W56&gt;=Settings!$B$32,"Medium","Low")))</f>
        <v>Low</v>
      </c>
      <c r="Y56" s="46" t="str">
        <f>IF($A56="","",IF(V56&gt;Settings!$B$21,"Yes",""))</f>
        <v/>
      </c>
      <c r="Z56" s="46">
        <f>IF($A56="","",COUNTIFS(Referrals!$B$5:$B$52,$A56,Referrals!$G$5:$G$52,"Referred")+COUNTIFS(Referrals!$B$5:$B$52,$A56,Referrals!$G$5:$G$52,"Acknowledged"))</f>
        <v>0</v>
      </c>
      <c r="AA56" s="46">
        <f>IF($A56="","",COUNTIFS(Referrals!$B$5:$B$52,$A56,Referrals!$K$5:$K$52,"Overdue"))</f>
        <v>0</v>
      </c>
      <c r="AB56" s="46" t="str">
        <f>IF($A56="","",IF(AND(J56&gt;0,U56="Yes"),IF(COUNTIFS(Referrals!$B$5:$B$52,$A56,Referrals!$D$5:$D$52,"Nutrition / IYCF")=0,"Referral needed","Referred"),""))</f>
        <v/>
      </c>
      <c r="AC56" s="46" t="str">
        <f>IF($A56="","",IF(N(Needs_Gaps!O56)&gt;0,"Yes",""))</f>
        <v/>
      </c>
      <c r="AD56" s="46" t="str">
        <f>IF($A56="","",IF(COUNTIFS(Maintenance_Log!$C$5:$C$40,$A56,Maintenance_Log!$H$5:$H$40,"&lt;&gt;Resolved")&gt;0,"Yes",""))</f>
        <v/>
      </c>
      <c r="AE56" s="46">
        <f t="shared" si="2"/>
        <v>0</v>
      </c>
      <c r="AF56" s="46">
        <f t="shared" si="3"/>
        <v>0</v>
      </c>
      <c r="AG56" s="46">
        <f>IFERROR(MATCH(ROW()-4,Import_Index!$H$5:$H$304,0),"")</f>
        <v>131</v>
      </c>
    </row>
    <row r="57" spans="1:33" x14ac:dyDescent="0.3">
      <c r="A57" s="46" t="str">
        <f>IF($AG57="","",IFERROR(INDEX(Kobo_Import!$A$2:$CZ$301,$AG57,Field_Map!$B$13)&amp;"",""))</f>
        <v>HH-053</v>
      </c>
      <c r="B57" s="46" t="str">
        <f>IF($AG57="","",IF(IFERROR(INDEX(Kobo_Import!$A$2:$CZ$301,$AG57,Field_Map!$B$9)&amp;"","")="","",IFERROR(INDEX(Lists!$N$5:$N$19,MATCH(INDEX(Kobo_Import!$A$2:$CZ$301,$AG57,Field_Map!$B$9)&amp;"",Lists!$M$5:$M$19,0)),INDEX(Kobo_Import!$A$2:$CZ$301,$AG57,Field_Map!$B$9)&amp;"")))</f>
        <v>Site B – School Shelter</v>
      </c>
      <c r="C57" s="46" t="str">
        <f>IF($AG57="","",IF(IFERROR(INDEX(Kobo_Import!$A$2:$CZ$301,$AG57,Field_Map!$B$14)&amp;"","")="","",IFERROR(INDEX(Lists!$N$5:$N$19,MATCH(INDEX(Kobo_Import!$A$2:$CZ$301,$AG57,Field_Map!$B$14)&amp;"",Lists!$M$5:$M$19,0)),INDEX(Kobo_Import!$A$2:$CZ$301,$AG57,Field_Map!$B$14)&amp;"")))</f>
        <v>Classroom</v>
      </c>
      <c r="D57" s="46" t="str">
        <f>IF($AG57="","",IF(IFERROR(INDEX(Kobo_Import!$A$2:$CZ$301,$AG57,Field_Map!$B$15)&amp;"","")="","",IFERROR(INDEX(Lists!$N$5:$N$19,MATCH(INDEX(Kobo_Import!$A$2:$CZ$301,$AG57,Field_Map!$B$15)&amp;"",Lists!$M$5:$M$19,0)),INDEX(Kobo_Import!$A$2:$CZ$301,$AG57,Field_Map!$B$15)&amp;"")))</f>
        <v>Adequate</v>
      </c>
      <c r="E57" s="49">
        <f>IF($A57="","",IFERROR(INDEX(Import_Index!$D$5:$D$304,MATCH($A57&amp;"|registration",Import_Index!$I$5:$I$304,0)),F57))</f>
        <v>46037</v>
      </c>
      <c r="F57" s="49">
        <f>IF($AG57="","",INDEX(Import_Index!$D$5:$D$304,$AG57))</f>
        <v>46037</v>
      </c>
      <c r="G57" s="46">
        <f>IF($A57="","",COUNTIFS(Import_Index!$B$5:$B$304,$A57,Import_Index!$C$5:$C$304,"yes"))</f>
        <v>1</v>
      </c>
      <c r="H57" s="46">
        <f>IF($AG57="","",IFERROR(VALUE(INDEX(Kobo_Import!$A$2:$CZ$301,$AG57,Field_Map!$B$16)&amp;""),0))</f>
        <v>6</v>
      </c>
      <c r="I57" s="46" t="str">
        <f>IF($AG57="","",IF(IFERROR(INDEX(Kobo_Import!$A$2:$CZ$301,$AG57,Field_Map!$B$17)&amp;"","")="","",IFERROR(INDEX(Lists!$N$5:$N$19,MATCH(INDEX(Kobo_Import!$A$2:$CZ$301,$AG57,Field_Map!$B$17)&amp;"",Lists!$M$5:$M$19,0)),INDEX(Kobo_Import!$A$2:$CZ$301,$AG57,Field_Map!$B$17)&amp;"")))</f>
        <v>No</v>
      </c>
      <c r="J57" s="46">
        <f>IF($AG57="","",IFERROR(VALUE(INDEX(Kobo_Import!$A$2:$CZ$301,$AG57,Field_Map!$B$18)&amp;""),0))</f>
        <v>0</v>
      </c>
      <c r="K57" s="46">
        <f>IF($AG57="","",IFERROR(VALUE(INDEX(Kobo_Import!$A$2:$CZ$301,$AG57,Field_Map!$B$19)&amp;""),0))</f>
        <v>3</v>
      </c>
      <c r="L57" s="46">
        <f>IF($AG57="","",IFERROR(VALUE(INDEX(Kobo_Import!$A$2:$CZ$301,$AG57,Field_Map!$B$20)&amp;""),0))</f>
        <v>2</v>
      </c>
      <c r="M57" s="46">
        <f>IF($AG57="","",IFERROR(VALUE(INDEX(Kobo_Import!$A$2:$CZ$301,$AG57,Field_Map!$B$21)&amp;""),0))</f>
        <v>1</v>
      </c>
      <c r="N57" s="46">
        <f>IF($AG57="","",IFERROR(VALUE(INDEX(Kobo_Import!$A$2:$CZ$301,$AG57,Field_Map!$B$22)&amp;""),0))</f>
        <v>1</v>
      </c>
      <c r="O57" s="46">
        <f>IF($AG57="","",IFERROR(VALUE(INDEX(Kobo_Import!$A$2:$CZ$301,$AG57,Field_Map!$B$23)&amp;""),0))</f>
        <v>1</v>
      </c>
      <c r="P57" s="46">
        <f>IF($AG57="","",IFERROR(VALUE(INDEX(Kobo_Import!$A$2:$CZ$301,$AG57,Field_Map!$B$24)&amp;""),0))</f>
        <v>1</v>
      </c>
      <c r="Q57" s="46">
        <f>IF($AG57="","",IFERROR(VALUE(INDEX(Kobo_Import!$A$2:$CZ$301,$AG57,Field_Map!$B$25)&amp;""),0))</f>
        <v>8</v>
      </c>
      <c r="R57" s="46">
        <f>IF($AG57="","",IFERROR(VALUE(INDEX(Kobo_Import!$A$2:$CZ$301,$AG57,Field_Map!$B$26)&amp;""),0))</f>
        <v>5</v>
      </c>
      <c r="S57" s="46">
        <f>IF($AG57="","",IFERROR(VALUE(INDEX(Kobo_Import!$A$2:$CZ$301,$AG57,Field_Map!$B$27)&amp;""),0))</f>
        <v>0</v>
      </c>
      <c r="T57" s="46">
        <f>IF($AG57="","",IFERROR(VALUE(INDEX(Kobo_Import!$A$2:$CZ$301,$AG57,Field_Map!$B$28)&amp;""),0))</f>
        <v>0</v>
      </c>
      <c r="U57" s="46" t="str">
        <f>IF($AG57="","",IF(IFERROR(INDEX(Kobo_Import!$A$2:$CZ$301,$AG57,Field_Map!$B$29)&amp;"","")="","",IFERROR(INDEX(Lists!$N$5:$N$19,MATCH(INDEX(Kobo_Import!$A$2:$CZ$301,$AG57,Field_Map!$B$29)&amp;"",Lists!$M$5:$M$19,0)),INDEX(Kobo_Import!$A$2:$CZ$301,$AG57,Field_Map!$B$29)&amp;"")))</f>
        <v/>
      </c>
      <c r="V57" s="50">
        <f>IF($A57="","",Settings!$B$5-F57)</f>
        <v>16</v>
      </c>
      <c r="W57" s="46">
        <f>IF($A57="","",(J57&gt;0)*Settings!$B$22+(P57&gt;0)*Settings!$B$23+(M57&gt;0)*Settings!$B$24+(O57&gt;0)*Settings!$B$25+(I57="Yes")*Settings!$B$26+(D57="Unusable")*Settings!$B$27+(D57="Damaged")*Settings!$B$28+(H57&gt;=Settings!$B$30)*Settings!$B$29)</f>
        <v>4</v>
      </c>
      <c r="X57" s="46" t="str">
        <f>IF($A57="","",IF(W57&gt;=Settings!$B$31,"High",IF(W57&gt;=Settings!$B$32,"Medium","Low")))</f>
        <v>Medium</v>
      </c>
      <c r="Y57" s="46" t="str">
        <f>IF($A57="","",IF(V57&gt;Settings!$B$21,"Yes",""))</f>
        <v/>
      </c>
      <c r="Z57" s="46">
        <f>IF($A57="","",COUNTIFS(Referrals!$B$5:$B$52,$A57,Referrals!$G$5:$G$52,"Referred")+COUNTIFS(Referrals!$B$5:$B$52,$A57,Referrals!$G$5:$G$52,"Acknowledged"))</f>
        <v>0</v>
      </c>
      <c r="AA57" s="46">
        <f>IF($A57="","",COUNTIFS(Referrals!$B$5:$B$52,$A57,Referrals!$K$5:$K$52,"Overdue"))</f>
        <v>0</v>
      </c>
      <c r="AB57" s="46" t="str">
        <f>IF($A57="","",IF(AND(J57&gt;0,U57="Yes"),IF(COUNTIFS(Referrals!$B$5:$B$52,$A57,Referrals!$D$5:$D$52,"Nutrition / IYCF")=0,"Referral needed","Referred"),""))</f>
        <v/>
      </c>
      <c r="AC57" s="46" t="str">
        <f>IF($A57="","",IF(N(Needs_Gaps!O57)&gt;0,"Yes",""))</f>
        <v/>
      </c>
      <c r="AD57" s="46" t="str">
        <f>IF($A57="","",IF(COUNTIFS(Maintenance_Log!$C$5:$C$40,$A57,Maintenance_Log!$H$5:$H$40,"&lt;&gt;Resolved")&gt;0,"Yes",""))</f>
        <v/>
      </c>
      <c r="AE57" s="46">
        <f t="shared" si="2"/>
        <v>0</v>
      </c>
      <c r="AF57" s="46">
        <f t="shared" si="3"/>
        <v>0</v>
      </c>
      <c r="AG57" s="46">
        <f>IFERROR(MATCH(ROW()-4,Import_Index!$H$5:$H$304,0),"")</f>
        <v>88</v>
      </c>
    </row>
    <row r="58" spans="1:33" x14ac:dyDescent="0.3">
      <c r="A58" s="46" t="str">
        <f>IF($AG58="","",IFERROR(INDEX(Kobo_Import!$A$2:$CZ$301,$AG58,Field_Map!$B$13)&amp;"",""))</f>
        <v>HH-054</v>
      </c>
      <c r="B58" s="46" t="str">
        <f>IF($AG58="","",IF(IFERROR(INDEX(Kobo_Import!$A$2:$CZ$301,$AG58,Field_Map!$B$9)&amp;"","")="","",IFERROR(INDEX(Lists!$N$5:$N$19,MATCH(INDEX(Kobo_Import!$A$2:$CZ$301,$AG58,Field_Map!$B$9)&amp;"",Lists!$M$5:$M$19,0)),INDEX(Kobo_Import!$A$2:$CZ$301,$AG58,Field_Map!$B$9)&amp;"")))</f>
        <v>Site B – School Shelter</v>
      </c>
      <c r="C58" s="46" t="str">
        <f>IF($AG58="","",IF(IFERROR(INDEX(Kobo_Import!$A$2:$CZ$301,$AG58,Field_Map!$B$14)&amp;"","")="","",IFERROR(INDEX(Lists!$N$5:$N$19,MATCH(INDEX(Kobo_Import!$A$2:$CZ$301,$AG58,Field_Map!$B$14)&amp;"",Lists!$M$5:$M$19,0)),INDEX(Kobo_Import!$A$2:$CZ$301,$AG58,Field_Map!$B$14)&amp;"")))</f>
        <v>Classroom</v>
      </c>
      <c r="D58" s="46" t="str">
        <f>IF($AG58="","",IF(IFERROR(INDEX(Kobo_Import!$A$2:$CZ$301,$AG58,Field_Map!$B$15)&amp;"","")="","",IFERROR(INDEX(Lists!$N$5:$N$19,MATCH(INDEX(Kobo_Import!$A$2:$CZ$301,$AG58,Field_Map!$B$15)&amp;"",Lists!$M$5:$M$19,0)),INDEX(Kobo_Import!$A$2:$CZ$301,$AG58,Field_Map!$B$15)&amp;"")))</f>
        <v>Adequate</v>
      </c>
      <c r="E58" s="49">
        <f>IF($A58="","",IFERROR(INDEX(Import_Index!$D$5:$D$304,MATCH($A58&amp;"|registration",Import_Index!$I$5:$I$304,0)),F58))</f>
        <v>46013</v>
      </c>
      <c r="F58" s="49">
        <f>IF($AG58="","",INDEX(Import_Index!$D$5:$D$304,$AG58))</f>
        <v>46051</v>
      </c>
      <c r="G58" s="46">
        <f>IF($A58="","",COUNTIFS(Import_Index!$B$5:$B$304,$A58,Import_Index!$C$5:$C$304,"yes"))</f>
        <v>2</v>
      </c>
      <c r="H58" s="46">
        <f>IF($AG58="","",IFERROR(VALUE(INDEX(Kobo_Import!$A$2:$CZ$301,$AG58,Field_Map!$B$16)&amp;""),0))</f>
        <v>3</v>
      </c>
      <c r="I58" s="46" t="str">
        <f>IF($AG58="","",IF(IFERROR(INDEX(Kobo_Import!$A$2:$CZ$301,$AG58,Field_Map!$B$17)&amp;"","")="","",IFERROR(INDEX(Lists!$N$5:$N$19,MATCH(INDEX(Kobo_Import!$A$2:$CZ$301,$AG58,Field_Map!$B$17)&amp;"",Lists!$M$5:$M$19,0)),INDEX(Kobo_Import!$A$2:$CZ$301,$AG58,Field_Map!$B$17)&amp;"")))</f>
        <v>No</v>
      </c>
      <c r="J58" s="46">
        <f>IF($AG58="","",IFERROR(VALUE(INDEX(Kobo_Import!$A$2:$CZ$301,$AG58,Field_Map!$B$18)&amp;""),0))</f>
        <v>1</v>
      </c>
      <c r="K58" s="46">
        <f>IF($AG58="","",IFERROR(VALUE(INDEX(Kobo_Import!$A$2:$CZ$301,$AG58,Field_Map!$B$19)&amp;""),0))</f>
        <v>0</v>
      </c>
      <c r="L58" s="46">
        <f>IF($AG58="","",IFERROR(VALUE(INDEX(Kobo_Import!$A$2:$CZ$301,$AG58,Field_Map!$B$20)&amp;""),0))</f>
        <v>2</v>
      </c>
      <c r="M58" s="46">
        <f>IF($AG58="","",IFERROR(VALUE(INDEX(Kobo_Import!$A$2:$CZ$301,$AG58,Field_Map!$B$21)&amp;""),0))</f>
        <v>0</v>
      </c>
      <c r="N58" s="46">
        <f>IF($AG58="","",IFERROR(VALUE(INDEX(Kobo_Import!$A$2:$CZ$301,$AG58,Field_Map!$B$22)&amp;""),0))</f>
        <v>1</v>
      </c>
      <c r="O58" s="46">
        <f>IF($AG58="","",IFERROR(VALUE(INDEX(Kobo_Import!$A$2:$CZ$301,$AG58,Field_Map!$B$23)&amp;""),0))</f>
        <v>0</v>
      </c>
      <c r="P58" s="46">
        <f>IF($AG58="","",IFERROR(VALUE(INDEX(Kobo_Import!$A$2:$CZ$301,$AG58,Field_Map!$B$24)&amp;""),0))</f>
        <v>0</v>
      </c>
      <c r="Q58" s="46">
        <f>IF($AG58="","",IFERROR(VALUE(INDEX(Kobo_Import!$A$2:$CZ$301,$AG58,Field_Map!$B$25)&amp;""),0))</f>
        <v>3</v>
      </c>
      <c r="R58" s="46">
        <f>IF($AG58="","",IFERROR(VALUE(INDEX(Kobo_Import!$A$2:$CZ$301,$AG58,Field_Map!$B$26)&amp;""),0))</f>
        <v>2</v>
      </c>
      <c r="S58" s="46">
        <f>IF($AG58="","",IFERROR(VALUE(INDEX(Kobo_Import!$A$2:$CZ$301,$AG58,Field_Map!$B$27)&amp;""),0))</f>
        <v>0</v>
      </c>
      <c r="T58" s="46">
        <f>IF($AG58="","",IFERROR(VALUE(INDEX(Kobo_Import!$A$2:$CZ$301,$AG58,Field_Map!$B$28)&amp;""),0))</f>
        <v>1</v>
      </c>
      <c r="U58" s="46" t="str">
        <f>IF($AG58="","",IF(IFERROR(INDEX(Kobo_Import!$A$2:$CZ$301,$AG58,Field_Map!$B$29)&amp;"","")="","",IFERROR(INDEX(Lists!$N$5:$N$19,MATCH(INDEX(Kobo_Import!$A$2:$CZ$301,$AG58,Field_Map!$B$29)&amp;"",Lists!$M$5:$M$19,0)),INDEX(Kobo_Import!$A$2:$CZ$301,$AG58,Field_Map!$B$29)&amp;"")))</f>
        <v>No</v>
      </c>
      <c r="V58" s="50">
        <f>IF($A58="","",Settings!$B$5-F58)</f>
        <v>2</v>
      </c>
      <c r="W58" s="46">
        <f>IF($A58="","",(J58&gt;0)*Settings!$B$22+(P58&gt;0)*Settings!$B$23+(M58&gt;0)*Settings!$B$24+(O58&gt;0)*Settings!$B$25+(I58="Yes")*Settings!$B$26+(D58="Unusable")*Settings!$B$27+(D58="Damaged")*Settings!$B$28+(H58&gt;=Settings!$B$30)*Settings!$B$29)</f>
        <v>2</v>
      </c>
      <c r="X58" s="46" t="str">
        <f>IF($A58="","",IF(W58&gt;=Settings!$B$31,"High",IF(W58&gt;=Settings!$B$32,"Medium","Low")))</f>
        <v>Low</v>
      </c>
      <c r="Y58" s="46" t="str">
        <f>IF($A58="","",IF(V58&gt;Settings!$B$21,"Yes",""))</f>
        <v/>
      </c>
      <c r="Z58" s="46">
        <f>IF($A58="","",COUNTIFS(Referrals!$B$5:$B$52,$A58,Referrals!$G$5:$G$52,"Referred")+COUNTIFS(Referrals!$B$5:$B$52,$A58,Referrals!$G$5:$G$52,"Acknowledged"))</f>
        <v>0</v>
      </c>
      <c r="AA58" s="46">
        <f>IF($A58="","",COUNTIFS(Referrals!$B$5:$B$52,$A58,Referrals!$K$5:$K$52,"Overdue"))</f>
        <v>0</v>
      </c>
      <c r="AB58" s="46" t="str">
        <f>IF($A58="","",IF(AND(J58&gt;0,U58="Yes"),IF(COUNTIFS(Referrals!$B$5:$B$52,$A58,Referrals!$D$5:$D$52,"Nutrition / IYCF")=0,"Referral needed","Referred"),""))</f>
        <v/>
      </c>
      <c r="AC58" s="46" t="str">
        <f>IF($A58="","",IF(N(Needs_Gaps!O58)&gt;0,"Yes",""))</f>
        <v/>
      </c>
      <c r="AD58" s="46" t="str">
        <f>IF($A58="","",IF(COUNTIFS(Maintenance_Log!$C$5:$C$40,$A58,Maintenance_Log!$H$5:$H$40,"&lt;&gt;Resolved")&gt;0,"Yes",""))</f>
        <v/>
      </c>
      <c r="AE58" s="46">
        <f t="shared" si="2"/>
        <v>0</v>
      </c>
      <c r="AF58" s="46">
        <f t="shared" si="3"/>
        <v>0</v>
      </c>
      <c r="AG58" s="46">
        <f>IFERROR(MATCH(ROW()-4,Import_Index!$H$5:$H$304,0),"")</f>
        <v>146</v>
      </c>
    </row>
    <row r="59" spans="1:33" x14ac:dyDescent="0.3">
      <c r="A59" s="46" t="str">
        <f>IF($AG59="","",IFERROR(INDEX(Kobo_Import!$A$2:$CZ$301,$AG59,Field_Map!$B$13)&amp;"",""))</f>
        <v>HH-055</v>
      </c>
      <c r="B59" s="46" t="str">
        <f>IF($AG59="","",IF(IFERROR(INDEX(Kobo_Import!$A$2:$CZ$301,$AG59,Field_Map!$B$9)&amp;"","")="","",IFERROR(INDEX(Lists!$N$5:$N$19,MATCH(INDEX(Kobo_Import!$A$2:$CZ$301,$AG59,Field_Map!$B$9)&amp;"",Lists!$M$5:$M$19,0)),INDEX(Kobo_Import!$A$2:$CZ$301,$AG59,Field_Map!$B$9)&amp;"")))</f>
        <v>Site B – School Shelter</v>
      </c>
      <c r="C59" s="46" t="str">
        <f>IF($AG59="","",IF(IFERROR(INDEX(Kobo_Import!$A$2:$CZ$301,$AG59,Field_Map!$B$14)&amp;"","")="","",IFERROR(INDEX(Lists!$N$5:$N$19,MATCH(INDEX(Kobo_Import!$A$2:$CZ$301,$AG59,Field_Map!$B$14)&amp;"",Lists!$M$5:$M$19,0)),INDEX(Kobo_Import!$A$2:$CZ$301,$AG59,Field_Map!$B$14)&amp;"")))</f>
        <v>Classroom</v>
      </c>
      <c r="D59" s="46" t="str">
        <f>IF($AG59="","",IF(IFERROR(INDEX(Kobo_Import!$A$2:$CZ$301,$AG59,Field_Map!$B$15)&amp;"","")="","",IFERROR(INDEX(Lists!$N$5:$N$19,MATCH(INDEX(Kobo_Import!$A$2:$CZ$301,$AG59,Field_Map!$B$15)&amp;"",Lists!$M$5:$M$19,0)),INDEX(Kobo_Import!$A$2:$CZ$301,$AG59,Field_Map!$B$15)&amp;"")))</f>
        <v>Adequate</v>
      </c>
      <c r="E59" s="49">
        <f>IF($A59="","",IFERROR(INDEX(Import_Index!$D$5:$D$304,MATCH($A59&amp;"|registration",Import_Index!$I$5:$I$304,0)),F59))</f>
        <v>46028</v>
      </c>
      <c r="F59" s="49">
        <f>IF($AG59="","",INDEX(Import_Index!$D$5:$D$304,$AG59))</f>
        <v>46028</v>
      </c>
      <c r="G59" s="46">
        <f>IF($A59="","",COUNTIFS(Import_Index!$B$5:$B$304,$A59,Import_Index!$C$5:$C$304,"yes"))</f>
        <v>1</v>
      </c>
      <c r="H59" s="46">
        <f>IF($AG59="","",IFERROR(VALUE(INDEX(Kobo_Import!$A$2:$CZ$301,$AG59,Field_Map!$B$16)&amp;""),0))</f>
        <v>6</v>
      </c>
      <c r="I59" s="46" t="str">
        <f>IF($AG59="","",IF(IFERROR(INDEX(Kobo_Import!$A$2:$CZ$301,$AG59,Field_Map!$B$17)&amp;"","")="","",IFERROR(INDEX(Lists!$N$5:$N$19,MATCH(INDEX(Kobo_Import!$A$2:$CZ$301,$AG59,Field_Map!$B$17)&amp;"",Lists!$M$5:$M$19,0)),INDEX(Kobo_Import!$A$2:$CZ$301,$AG59,Field_Map!$B$17)&amp;"")))</f>
        <v>No</v>
      </c>
      <c r="J59" s="46">
        <f>IF($AG59="","",IFERROR(VALUE(INDEX(Kobo_Import!$A$2:$CZ$301,$AG59,Field_Map!$B$18)&amp;""),0))</f>
        <v>0</v>
      </c>
      <c r="K59" s="46">
        <f>IF($AG59="","",IFERROR(VALUE(INDEX(Kobo_Import!$A$2:$CZ$301,$AG59,Field_Map!$B$19)&amp;""),0))</f>
        <v>3</v>
      </c>
      <c r="L59" s="46">
        <f>IF($AG59="","",IFERROR(VALUE(INDEX(Kobo_Import!$A$2:$CZ$301,$AG59,Field_Map!$B$20)&amp;""),0))</f>
        <v>2</v>
      </c>
      <c r="M59" s="46">
        <f>IF($AG59="","",IFERROR(VALUE(INDEX(Kobo_Import!$A$2:$CZ$301,$AG59,Field_Map!$B$21)&amp;""),0))</f>
        <v>1</v>
      </c>
      <c r="N59" s="46">
        <f>IF($AG59="","",IFERROR(VALUE(INDEX(Kobo_Import!$A$2:$CZ$301,$AG59,Field_Map!$B$22)&amp;""),0))</f>
        <v>1</v>
      </c>
      <c r="O59" s="46">
        <f>IF($AG59="","",IFERROR(VALUE(INDEX(Kobo_Import!$A$2:$CZ$301,$AG59,Field_Map!$B$23)&amp;""),0))</f>
        <v>0</v>
      </c>
      <c r="P59" s="46">
        <f>IF($AG59="","",IFERROR(VALUE(INDEX(Kobo_Import!$A$2:$CZ$301,$AG59,Field_Map!$B$24)&amp;""),0))</f>
        <v>0</v>
      </c>
      <c r="Q59" s="46">
        <f>IF($AG59="","",IFERROR(VALUE(INDEX(Kobo_Import!$A$2:$CZ$301,$AG59,Field_Map!$B$25)&amp;""),0))</f>
        <v>0</v>
      </c>
      <c r="R59" s="46">
        <f>IF($AG59="","",IFERROR(VALUE(INDEX(Kobo_Import!$A$2:$CZ$301,$AG59,Field_Map!$B$26)&amp;""),0))</f>
        <v>6</v>
      </c>
      <c r="S59" s="46">
        <f>IF($AG59="","",IFERROR(VALUE(INDEX(Kobo_Import!$A$2:$CZ$301,$AG59,Field_Map!$B$27)&amp;""),0))</f>
        <v>3</v>
      </c>
      <c r="T59" s="46">
        <f>IF($AG59="","",IFERROR(VALUE(INDEX(Kobo_Import!$A$2:$CZ$301,$AG59,Field_Map!$B$28)&amp;""),0))</f>
        <v>2</v>
      </c>
      <c r="U59" s="46" t="str">
        <f>IF($AG59="","",IF(IFERROR(INDEX(Kobo_Import!$A$2:$CZ$301,$AG59,Field_Map!$B$29)&amp;"","")="","",IFERROR(INDEX(Lists!$N$5:$N$19,MATCH(INDEX(Kobo_Import!$A$2:$CZ$301,$AG59,Field_Map!$B$29)&amp;"",Lists!$M$5:$M$19,0)),INDEX(Kobo_Import!$A$2:$CZ$301,$AG59,Field_Map!$B$29)&amp;"")))</f>
        <v/>
      </c>
      <c r="V59" s="50">
        <f>IF($A59="","",Settings!$B$5-F59)</f>
        <v>25</v>
      </c>
      <c r="W59" s="46">
        <f>IF($A59="","",(J59&gt;0)*Settings!$B$22+(P59&gt;0)*Settings!$B$23+(M59&gt;0)*Settings!$B$24+(O59&gt;0)*Settings!$B$25+(I59="Yes")*Settings!$B$26+(D59="Unusable")*Settings!$B$27+(D59="Damaged")*Settings!$B$28+(H59&gt;=Settings!$B$30)*Settings!$B$29)</f>
        <v>1</v>
      </c>
      <c r="X59" s="46" t="str">
        <f>IF($A59="","",IF(W59&gt;=Settings!$B$31,"High",IF(W59&gt;=Settings!$B$32,"Medium","Low")))</f>
        <v>Low</v>
      </c>
      <c r="Y59" s="46" t="str">
        <f>IF($A59="","",IF(V59&gt;Settings!$B$21,"Yes",""))</f>
        <v/>
      </c>
      <c r="Z59" s="46">
        <f>IF($A59="","",COUNTIFS(Referrals!$B$5:$B$52,$A59,Referrals!$G$5:$G$52,"Referred")+COUNTIFS(Referrals!$B$5:$B$52,$A59,Referrals!$G$5:$G$52,"Acknowledged"))</f>
        <v>0</v>
      </c>
      <c r="AA59" s="46">
        <f>IF($A59="","",COUNTIFS(Referrals!$B$5:$B$52,$A59,Referrals!$K$5:$K$52,"Overdue"))</f>
        <v>0</v>
      </c>
      <c r="AB59" s="46" t="str">
        <f>IF($A59="","",IF(AND(J59&gt;0,U59="Yes"),IF(COUNTIFS(Referrals!$B$5:$B$52,$A59,Referrals!$D$5:$D$52,"Nutrition / IYCF")=0,"Referral needed","Referred"),""))</f>
        <v/>
      </c>
      <c r="AC59" s="46" t="str">
        <f>IF($A59="","",IF(N(Needs_Gaps!O59)&gt;0,"Yes",""))</f>
        <v/>
      </c>
      <c r="AD59" s="46" t="str">
        <f>IF($A59="","",IF(COUNTIFS(Maintenance_Log!$C$5:$C$40,$A59,Maintenance_Log!$H$5:$H$40,"&lt;&gt;Resolved")&gt;0,"Yes",""))</f>
        <v/>
      </c>
      <c r="AE59" s="46">
        <f t="shared" si="2"/>
        <v>0</v>
      </c>
      <c r="AF59" s="46">
        <f t="shared" si="3"/>
        <v>0</v>
      </c>
      <c r="AG59" s="46">
        <f>IFERROR(MATCH(ROW()-4,Import_Index!$H$5:$H$304,0),"")</f>
        <v>54</v>
      </c>
    </row>
    <row r="60" spans="1:33" x14ac:dyDescent="0.3">
      <c r="A60" s="46" t="str">
        <f>IF($AG60="","",IFERROR(INDEX(Kobo_Import!$A$2:$CZ$301,$AG60,Field_Map!$B$13)&amp;"",""))</f>
        <v>HH-056</v>
      </c>
      <c r="B60" s="46" t="str">
        <f>IF($AG60="","",IF(IFERROR(INDEX(Kobo_Import!$A$2:$CZ$301,$AG60,Field_Map!$B$9)&amp;"","")="","",IFERROR(INDEX(Lists!$N$5:$N$19,MATCH(INDEX(Kobo_Import!$A$2:$CZ$301,$AG60,Field_Map!$B$9)&amp;"",Lists!$M$5:$M$19,0)),INDEX(Kobo_Import!$A$2:$CZ$301,$AG60,Field_Map!$B$9)&amp;"")))</f>
        <v>Site B – School Shelter</v>
      </c>
      <c r="C60" s="46" t="str">
        <f>IF($AG60="","",IF(IFERROR(INDEX(Kobo_Import!$A$2:$CZ$301,$AG60,Field_Map!$B$14)&amp;"","")="","",IFERROR(INDEX(Lists!$N$5:$N$19,MATCH(INDEX(Kobo_Import!$A$2:$CZ$301,$AG60,Field_Map!$B$14)&amp;"",Lists!$M$5:$M$19,0)),INDEX(Kobo_Import!$A$2:$CZ$301,$AG60,Field_Map!$B$14)&amp;"")))</f>
        <v>Classroom</v>
      </c>
      <c r="D60" s="46" t="str">
        <f>IF($AG60="","",IF(IFERROR(INDEX(Kobo_Import!$A$2:$CZ$301,$AG60,Field_Map!$B$15)&amp;"","")="","",IFERROR(INDEX(Lists!$N$5:$N$19,MATCH(INDEX(Kobo_Import!$A$2:$CZ$301,$AG60,Field_Map!$B$15)&amp;"",Lists!$M$5:$M$19,0)),INDEX(Kobo_Import!$A$2:$CZ$301,$AG60,Field_Map!$B$15)&amp;"")))</f>
        <v>Adequate</v>
      </c>
      <c r="E60" s="49">
        <f>IF($A60="","",IFERROR(INDEX(Import_Index!$D$5:$D$304,MATCH($A60&amp;"|registration",Import_Index!$I$5:$I$304,0)),F60))</f>
        <v>46036</v>
      </c>
      <c r="F60" s="49">
        <f>IF($AG60="","",INDEX(Import_Index!$D$5:$D$304,$AG60))</f>
        <v>46036</v>
      </c>
      <c r="G60" s="46">
        <f>IF($A60="","",COUNTIFS(Import_Index!$B$5:$B$304,$A60,Import_Index!$C$5:$C$304,"yes"))</f>
        <v>1</v>
      </c>
      <c r="H60" s="46">
        <f>IF($AG60="","",IFERROR(VALUE(INDEX(Kobo_Import!$A$2:$CZ$301,$AG60,Field_Map!$B$16)&amp;""),0))</f>
        <v>8</v>
      </c>
      <c r="I60" s="46" t="str">
        <f>IF($AG60="","",IF(IFERROR(INDEX(Kobo_Import!$A$2:$CZ$301,$AG60,Field_Map!$B$17)&amp;"","")="","",IFERROR(INDEX(Lists!$N$5:$N$19,MATCH(INDEX(Kobo_Import!$A$2:$CZ$301,$AG60,Field_Map!$B$17)&amp;"",Lists!$M$5:$M$19,0)),INDEX(Kobo_Import!$A$2:$CZ$301,$AG60,Field_Map!$B$17)&amp;"")))</f>
        <v>No</v>
      </c>
      <c r="J60" s="46">
        <f>IF($AG60="","",IFERROR(VALUE(INDEX(Kobo_Import!$A$2:$CZ$301,$AG60,Field_Map!$B$18)&amp;""),0))</f>
        <v>0</v>
      </c>
      <c r="K60" s="46">
        <f>IF($AG60="","",IFERROR(VALUE(INDEX(Kobo_Import!$A$2:$CZ$301,$AG60,Field_Map!$B$19)&amp;""),0))</f>
        <v>4</v>
      </c>
      <c r="L60" s="46">
        <f>IF($AG60="","",IFERROR(VALUE(INDEX(Kobo_Import!$A$2:$CZ$301,$AG60,Field_Map!$B$20)&amp;""),0))</f>
        <v>3</v>
      </c>
      <c r="M60" s="46">
        <f>IF($AG60="","",IFERROR(VALUE(INDEX(Kobo_Import!$A$2:$CZ$301,$AG60,Field_Map!$B$21)&amp;""),0))</f>
        <v>1</v>
      </c>
      <c r="N60" s="46">
        <f>IF($AG60="","",IFERROR(VALUE(INDEX(Kobo_Import!$A$2:$CZ$301,$AG60,Field_Map!$B$22)&amp;""),0))</f>
        <v>2</v>
      </c>
      <c r="O60" s="46">
        <f>IF($AG60="","",IFERROR(VALUE(INDEX(Kobo_Import!$A$2:$CZ$301,$AG60,Field_Map!$B$23)&amp;""),0))</f>
        <v>0</v>
      </c>
      <c r="P60" s="46">
        <f>IF($AG60="","",IFERROR(VALUE(INDEX(Kobo_Import!$A$2:$CZ$301,$AG60,Field_Map!$B$24)&amp;""),0))</f>
        <v>1</v>
      </c>
      <c r="Q60" s="46">
        <f>IF($AG60="","",IFERROR(VALUE(INDEX(Kobo_Import!$A$2:$CZ$301,$AG60,Field_Map!$B$25)&amp;""),0))</f>
        <v>6</v>
      </c>
      <c r="R60" s="46">
        <f>IF($AG60="","",IFERROR(VALUE(INDEX(Kobo_Import!$A$2:$CZ$301,$AG60,Field_Map!$B$26)&amp;""),0))</f>
        <v>4</v>
      </c>
      <c r="S60" s="46">
        <f>IF($AG60="","",IFERROR(VALUE(INDEX(Kobo_Import!$A$2:$CZ$301,$AG60,Field_Map!$B$27)&amp;""),0))</f>
        <v>3</v>
      </c>
      <c r="T60" s="46">
        <f>IF($AG60="","",IFERROR(VALUE(INDEX(Kobo_Import!$A$2:$CZ$301,$AG60,Field_Map!$B$28)&amp;""),0))</f>
        <v>0</v>
      </c>
      <c r="U60" s="46" t="str">
        <f>IF($AG60="","",IF(IFERROR(INDEX(Kobo_Import!$A$2:$CZ$301,$AG60,Field_Map!$B$29)&amp;"","")="","",IFERROR(INDEX(Lists!$N$5:$N$19,MATCH(INDEX(Kobo_Import!$A$2:$CZ$301,$AG60,Field_Map!$B$29)&amp;"",Lists!$M$5:$M$19,0)),INDEX(Kobo_Import!$A$2:$CZ$301,$AG60,Field_Map!$B$29)&amp;"")))</f>
        <v/>
      </c>
      <c r="V60" s="50">
        <f>IF($A60="","",Settings!$B$5-F60)</f>
        <v>17</v>
      </c>
      <c r="W60" s="46">
        <f>IF($A60="","",(J60&gt;0)*Settings!$B$22+(P60&gt;0)*Settings!$B$23+(M60&gt;0)*Settings!$B$24+(O60&gt;0)*Settings!$B$25+(I60="Yes")*Settings!$B$26+(D60="Unusable")*Settings!$B$27+(D60="Damaged")*Settings!$B$28+(H60&gt;=Settings!$B$30)*Settings!$B$29)</f>
        <v>3</v>
      </c>
      <c r="X60" s="46" t="str">
        <f>IF($A60="","",IF(W60&gt;=Settings!$B$31,"High",IF(W60&gt;=Settings!$B$32,"Medium","Low")))</f>
        <v>Medium</v>
      </c>
      <c r="Y60" s="46" t="str">
        <f>IF($A60="","",IF(V60&gt;Settings!$B$21,"Yes",""))</f>
        <v/>
      </c>
      <c r="Z60" s="46">
        <f>IF($A60="","",COUNTIFS(Referrals!$B$5:$B$52,$A60,Referrals!$G$5:$G$52,"Referred")+COUNTIFS(Referrals!$B$5:$B$52,$A60,Referrals!$G$5:$G$52,"Acknowledged"))</f>
        <v>1</v>
      </c>
      <c r="AA60" s="46">
        <f>IF($A60="","",COUNTIFS(Referrals!$B$5:$B$52,$A60,Referrals!$K$5:$K$52,"Overdue"))</f>
        <v>0</v>
      </c>
      <c r="AB60" s="46" t="str">
        <f>IF($A60="","",IF(AND(J60&gt;0,U60="Yes"),IF(COUNTIFS(Referrals!$B$5:$B$52,$A60,Referrals!$D$5:$D$52,"Nutrition / IYCF")=0,"Referral needed","Referred"),""))</f>
        <v/>
      </c>
      <c r="AC60" s="46" t="str">
        <f>IF($A60="","",IF(N(Needs_Gaps!O60)&gt;0,"Yes",""))</f>
        <v/>
      </c>
      <c r="AD60" s="46" t="str">
        <f>IF($A60="","",IF(COUNTIFS(Maintenance_Log!$C$5:$C$40,$A60,Maintenance_Log!$H$5:$H$40,"&lt;&gt;Resolved")&gt;0,"Yes",""))</f>
        <v/>
      </c>
      <c r="AE60" s="46">
        <f t="shared" si="2"/>
        <v>0</v>
      </c>
      <c r="AF60" s="46">
        <f t="shared" si="3"/>
        <v>0</v>
      </c>
      <c r="AG60" s="46">
        <f>IFERROR(MATCH(ROW()-4,Import_Index!$H$5:$H$304,0),"")</f>
        <v>84</v>
      </c>
    </row>
    <row r="61" spans="1:33" x14ac:dyDescent="0.3">
      <c r="A61" s="46" t="str">
        <f>IF($AG61="","",IFERROR(INDEX(Kobo_Import!$A$2:$CZ$301,$AG61,Field_Map!$B$13)&amp;"",""))</f>
        <v>HH-057</v>
      </c>
      <c r="B61" s="46" t="str">
        <f>IF($AG61="","",IF(IFERROR(INDEX(Kobo_Import!$A$2:$CZ$301,$AG61,Field_Map!$B$9)&amp;"","")="","",IFERROR(INDEX(Lists!$N$5:$N$19,MATCH(INDEX(Kobo_Import!$A$2:$CZ$301,$AG61,Field_Map!$B$9)&amp;"",Lists!$M$5:$M$19,0)),INDEX(Kobo_Import!$A$2:$CZ$301,$AG61,Field_Map!$B$9)&amp;"")))</f>
        <v>Site B – School Shelter</v>
      </c>
      <c r="C61" s="46" t="str">
        <f>IF($AG61="","",IF(IFERROR(INDEX(Kobo_Import!$A$2:$CZ$301,$AG61,Field_Map!$B$14)&amp;"","")="","",IFERROR(INDEX(Lists!$N$5:$N$19,MATCH(INDEX(Kobo_Import!$A$2:$CZ$301,$AG61,Field_Map!$B$14)&amp;"",Lists!$M$5:$M$19,0)),INDEX(Kobo_Import!$A$2:$CZ$301,$AG61,Field_Map!$B$14)&amp;"")))</f>
        <v>Classroom</v>
      </c>
      <c r="D61" s="46" t="str">
        <f>IF($AG61="","",IF(IFERROR(INDEX(Kobo_Import!$A$2:$CZ$301,$AG61,Field_Map!$B$15)&amp;"","")="","",IFERROR(INDEX(Lists!$N$5:$N$19,MATCH(INDEX(Kobo_Import!$A$2:$CZ$301,$AG61,Field_Map!$B$15)&amp;"",Lists!$M$5:$M$19,0)),INDEX(Kobo_Import!$A$2:$CZ$301,$AG61,Field_Map!$B$15)&amp;"")))</f>
        <v>Adequate</v>
      </c>
      <c r="E61" s="49">
        <f>IF($A61="","",IFERROR(INDEX(Import_Index!$D$5:$D$304,MATCH($A61&amp;"|registration",Import_Index!$I$5:$I$304,0)),F61))</f>
        <v>46041</v>
      </c>
      <c r="F61" s="49">
        <f>IF($AG61="","",INDEX(Import_Index!$D$5:$D$304,$AG61))</f>
        <v>46041</v>
      </c>
      <c r="G61" s="46">
        <f>IF($A61="","",COUNTIFS(Import_Index!$B$5:$B$304,$A61,Import_Index!$C$5:$C$304,"yes"))</f>
        <v>1</v>
      </c>
      <c r="H61" s="46">
        <f>IF($AG61="","",IFERROR(VALUE(INDEX(Kobo_Import!$A$2:$CZ$301,$AG61,Field_Map!$B$16)&amp;""),0))</f>
        <v>10</v>
      </c>
      <c r="I61" s="46" t="str">
        <f>IF($AG61="","",IF(IFERROR(INDEX(Kobo_Import!$A$2:$CZ$301,$AG61,Field_Map!$B$17)&amp;"","")="","",IFERROR(INDEX(Lists!$N$5:$N$19,MATCH(INDEX(Kobo_Import!$A$2:$CZ$301,$AG61,Field_Map!$B$17)&amp;"",Lists!$M$5:$M$19,0)),INDEX(Kobo_Import!$A$2:$CZ$301,$AG61,Field_Map!$B$17)&amp;"")))</f>
        <v>No</v>
      </c>
      <c r="J61" s="46">
        <f>IF($AG61="","",IFERROR(VALUE(INDEX(Kobo_Import!$A$2:$CZ$301,$AG61,Field_Map!$B$18)&amp;""),0))</f>
        <v>0</v>
      </c>
      <c r="K61" s="46">
        <f>IF($AG61="","",IFERROR(VALUE(INDEX(Kobo_Import!$A$2:$CZ$301,$AG61,Field_Map!$B$19)&amp;""),0))</f>
        <v>7</v>
      </c>
      <c r="L61" s="46">
        <f>IF($AG61="","",IFERROR(VALUE(INDEX(Kobo_Import!$A$2:$CZ$301,$AG61,Field_Map!$B$20)&amp;""),0))</f>
        <v>2</v>
      </c>
      <c r="M61" s="46">
        <f>IF($AG61="","",IFERROR(VALUE(INDEX(Kobo_Import!$A$2:$CZ$301,$AG61,Field_Map!$B$21)&amp;""),0))</f>
        <v>1</v>
      </c>
      <c r="N61" s="46">
        <f>IF($AG61="","",IFERROR(VALUE(INDEX(Kobo_Import!$A$2:$CZ$301,$AG61,Field_Map!$B$22)&amp;""),0))</f>
        <v>2</v>
      </c>
      <c r="O61" s="46">
        <f>IF($AG61="","",IFERROR(VALUE(INDEX(Kobo_Import!$A$2:$CZ$301,$AG61,Field_Map!$B$23)&amp;""),0))</f>
        <v>1</v>
      </c>
      <c r="P61" s="46">
        <f>IF($AG61="","",IFERROR(VALUE(INDEX(Kobo_Import!$A$2:$CZ$301,$AG61,Field_Map!$B$24)&amp;""),0))</f>
        <v>0</v>
      </c>
      <c r="Q61" s="46">
        <f>IF($AG61="","",IFERROR(VALUE(INDEX(Kobo_Import!$A$2:$CZ$301,$AG61,Field_Map!$B$25)&amp;""),0))</f>
        <v>17</v>
      </c>
      <c r="R61" s="46">
        <f>IF($AG61="","",IFERROR(VALUE(INDEX(Kobo_Import!$A$2:$CZ$301,$AG61,Field_Map!$B$26)&amp;""),0))</f>
        <v>4</v>
      </c>
      <c r="S61" s="46">
        <f>IF($AG61="","",IFERROR(VALUE(INDEX(Kobo_Import!$A$2:$CZ$301,$AG61,Field_Map!$B$27)&amp;""),0))</f>
        <v>2</v>
      </c>
      <c r="T61" s="46">
        <f>IF($AG61="","",IFERROR(VALUE(INDEX(Kobo_Import!$A$2:$CZ$301,$AG61,Field_Map!$B$28)&amp;""),0))</f>
        <v>0</v>
      </c>
      <c r="U61" s="46" t="str">
        <f>IF($AG61="","",IF(IFERROR(INDEX(Kobo_Import!$A$2:$CZ$301,$AG61,Field_Map!$B$29)&amp;"","")="","",IFERROR(INDEX(Lists!$N$5:$N$19,MATCH(INDEX(Kobo_Import!$A$2:$CZ$301,$AG61,Field_Map!$B$29)&amp;"",Lists!$M$5:$M$19,0)),INDEX(Kobo_Import!$A$2:$CZ$301,$AG61,Field_Map!$B$29)&amp;"")))</f>
        <v/>
      </c>
      <c r="V61" s="50">
        <f>IF($A61="","",Settings!$B$5-F61)</f>
        <v>12</v>
      </c>
      <c r="W61" s="46">
        <f>IF($A61="","",(J61&gt;0)*Settings!$B$22+(P61&gt;0)*Settings!$B$23+(M61&gt;0)*Settings!$B$24+(O61&gt;0)*Settings!$B$25+(I61="Yes")*Settings!$B$26+(D61="Unusable")*Settings!$B$27+(D61="Damaged")*Settings!$B$28+(H61&gt;=Settings!$B$30)*Settings!$B$29)</f>
        <v>3</v>
      </c>
      <c r="X61" s="46" t="str">
        <f>IF($A61="","",IF(W61&gt;=Settings!$B$31,"High",IF(W61&gt;=Settings!$B$32,"Medium","Low")))</f>
        <v>Medium</v>
      </c>
      <c r="Y61" s="46" t="str">
        <f>IF($A61="","",IF(V61&gt;Settings!$B$21,"Yes",""))</f>
        <v/>
      </c>
      <c r="Z61" s="46">
        <f>IF($A61="","",COUNTIFS(Referrals!$B$5:$B$52,$A61,Referrals!$G$5:$G$52,"Referred")+COUNTIFS(Referrals!$B$5:$B$52,$A61,Referrals!$G$5:$G$52,"Acknowledged"))</f>
        <v>0</v>
      </c>
      <c r="AA61" s="46">
        <f>IF($A61="","",COUNTIFS(Referrals!$B$5:$B$52,$A61,Referrals!$K$5:$K$52,"Overdue"))</f>
        <v>0</v>
      </c>
      <c r="AB61" s="46" t="str">
        <f>IF($A61="","",IF(AND(J61&gt;0,U61="Yes"),IF(COUNTIFS(Referrals!$B$5:$B$52,$A61,Referrals!$D$5:$D$52,"Nutrition / IYCF")=0,"Referral needed","Referred"),""))</f>
        <v/>
      </c>
      <c r="AC61" s="46" t="str">
        <f>IF($A61="","",IF(N(Needs_Gaps!O61)&gt;0,"Yes",""))</f>
        <v/>
      </c>
      <c r="AD61" s="46" t="str">
        <f>IF($A61="","",IF(COUNTIFS(Maintenance_Log!$C$5:$C$40,$A61,Maintenance_Log!$H$5:$H$40,"&lt;&gt;Resolved")&gt;0,"Yes",""))</f>
        <v/>
      </c>
      <c r="AE61" s="46">
        <f t="shared" si="2"/>
        <v>0</v>
      </c>
      <c r="AF61" s="46">
        <f t="shared" si="3"/>
        <v>0</v>
      </c>
      <c r="AG61" s="46">
        <f>IFERROR(MATCH(ROW()-4,Import_Index!$H$5:$H$304,0),"")</f>
        <v>104</v>
      </c>
    </row>
    <row r="62" spans="1:33" x14ac:dyDescent="0.3">
      <c r="A62" s="46" t="str">
        <f>IF($AG62="","",IFERROR(INDEX(Kobo_Import!$A$2:$CZ$301,$AG62,Field_Map!$B$13)&amp;"",""))</f>
        <v>HH-058</v>
      </c>
      <c r="B62" s="46" t="str">
        <f>IF($AG62="","",IF(IFERROR(INDEX(Kobo_Import!$A$2:$CZ$301,$AG62,Field_Map!$B$9)&amp;"","")="","",IFERROR(INDEX(Lists!$N$5:$N$19,MATCH(INDEX(Kobo_Import!$A$2:$CZ$301,$AG62,Field_Map!$B$9)&amp;"",Lists!$M$5:$M$19,0)),INDEX(Kobo_Import!$A$2:$CZ$301,$AG62,Field_Map!$B$9)&amp;"")))</f>
        <v>Site B – School Shelter</v>
      </c>
      <c r="C62" s="46" t="str">
        <f>IF($AG62="","",IF(IFERROR(INDEX(Kobo_Import!$A$2:$CZ$301,$AG62,Field_Map!$B$14)&amp;"","")="","",IFERROR(INDEX(Lists!$N$5:$N$19,MATCH(INDEX(Kobo_Import!$A$2:$CZ$301,$AG62,Field_Map!$B$14)&amp;"",Lists!$M$5:$M$19,0)),INDEX(Kobo_Import!$A$2:$CZ$301,$AG62,Field_Map!$B$14)&amp;"")))</f>
        <v>Classroom</v>
      </c>
      <c r="D62" s="46" t="str">
        <f>IF($AG62="","",IF(IFERROR(INDEX(Kobo_Import!$A$2:$CZ$301,$AG62,Field_Map!$B$15)&amp;"","")="","",IFERROR(INDEX(Lists!$N$5:$N$19,MATCH(INDEX(Kobo_Import!$A$2:$CZ$301,$AG62,Field_Map!$B$15)&amp;"",Lists!$M$5:$M$19,0)),INDEX(Kobo_Import!$A$2:$CZ$301,$AG62,Field_Map!$B$15)&amp;"")))</f>
        <v>Adequate</v>
      </c>
      <c r="E62" s="49">
        <f>IF($A62="","",IFERROR(INDEX(Import_Index!$D$5:$D$304,MATCH($A62&amp;"|registration",Import_Index!$I$5:$I$304,0)),F62))</f>
        <v>46013</v>
      </c>
      <c r="F62" s="49">
        <f>IF($AG62="","",INDEX(Import_Index!$D$5:$D$304,$AG62))</f>
        <v>46013</v>
      </c>
      <c r="G62" s="46">
        <f>IF($A62="","",COUNTIFS(Import_Index!$B$5:$B$304,$A62,Import_Index!$C$5:$C$304,"yes"))</f>
        <v>1</v>
      </c>
      <c r="H62" s="46">
        <f>IF($AG62="","",IFERROR(VALUE(INDEX(Kobo_Import!$A$2:$CZ$301,$AG62,Field_Map!$B$16)&amp;""),0))</f>
        <v>10</v>
      </c>
      <c r="I62" s="46" t="str">
        <f>IF($AG62="","",IF(IFERROR(INDEX(Kobo_Import!$A$2:$CZ$301,$AG62,Field_Map!$B$17)&amp;"","")="","",IFERROR(INDEX(Lists!$N$5:$N$19,MATCH(INDEX(Kobo_Import!$A$2:$CZ$301,$AG62,Field_Map!$B$17)&amp;"",Lists!$M$5:$M$19,0)),INDEX(Kobo_Import!$A$2:$CZ$301,$AG62,Field_Map!$B$17)&amp;"")))</f>
        <v>No</v>
      </c>
      <c r="J62" s="46">
        <f>IF($AG62="","",IFERROR(VALUE(INDEX(Kobo_Import!$A$2:$CZ$301,$AG62,Field_Map!$B$18)&amp;""),0))</f>
        <v>1</v>
      </c>
      <c r="K62" s="46">
        <f>IF($AG62="","",IFERROR(VALUE(INDEX(Kobo_Import!$A$2:$CZ$301,$AG62,Field_Map!$B$19)&amp;""),0))</f>
        <v>7</v>
      </c>
      <c r="L62" s="46">
        <f>IF($AG62="","",IFERROR(VALUE(INDEX(Kobo_Import!$A$2:$CZ$301,$AG62,Field_Map!$B$20)&amp;""),0))</f>
        <v>2</v>
      </c>
      <c r="M62" s="46">
        <f>IF($AG62="","",IFERROR(VALUE(INDEX(Kobo_Import!$A$2:$CZ$301,$AG62,Field_Map!$B$21)&amp;""),0))</f>
        <v>0</v>
      </c>
      <c r="N62" s="46">
        <f>IF($AG62="","",IFERROR(VALUE(INDEX(Kobo_Import!$A$2:$CZ$301,$AG62,Field_Map!$B$22)&amp;""),0))</f>
        <v>2</v>
      </c>
      <c r="O62" s="46">
        <f>IF($AG62="","",IFERROR(VALUE(INDEX(Kobo_Import!$A$2:$CZ$301,$AG62,Field_Map!$B$23)&amp;""),0))</f>
        <v>1</v>
      </c>
      <c r="P62" s="46">
        <f>IF($AG62="","",IFERROR(VALUE(INDEX(Kobo_Import!$A$2:$CZ$301,$AG62,Field_Map!$B$24)&amp;""),0))</f>
        <v>1</v>
      </c>
      <c r="Q62" s="46">
        <f>IF($AG62="","",IFERROR(VALUE(INDEX(Kobo_Import!$A$2:$CZ$301,$AG62,Field_Map!$B$25)&amp;""),0))</f>
        <v>16</v>
      </c>
      <c r="R62" s="46">
        <f>IF($AG62="","",IFERROR(VALUE(INDEX(Kobo_Import!$A$2:$CZ$301,$AG62,Field_Map!$B$26)&amp;""),0))</f>
        <v>6</v>
      </c>
      <c r="S62" s="46">
        <f>IF($AG62="","",IFERROR(VALUE(INDEX(Kobo_Import!$A$2:$CZ$301,$AG62,Field_Map!$B$27)&amp;""),0))</f>
        <v>6</v>
      </c>
      <c r="T62" s="46">
        <f>IF($AG62="","",IFERROR(VALUE(INDEX(Kobo_Import!$A$2:$CZ$301,$AG62,Field_Map!$B$28)&amp;""),0))</f>
        <v>2</v>
      </c>
      <c r="U62" s="46" t="str">
        <f>IF($AG62="","",IF(IFERROR(INDEX(Kobo_Import!$A$2:$CZ$301,$AG62,Field_Map!$B$29)&amp;"","")="","",IFERROR(INDEX(Lists!$N$5:$N$19,MATCH(INDEX(Kobo_Import!$A$2:$CZ$301,$AG62,Field_Map!$B$29)&amp;"",Lists!$M$5:$M$19,0)),INDEX(Kobo_Import!$A$2:$CZ$301,$AG62,Field_Map!$B$29)&amp;"")))</f>
        <v>No</v>
      </c>
      <c r="V62" s="50">
        <f>IF($A62="","",Settings!$B$5-F62)</f>
        <v>40</v>
      </c>
      <c r="W62" s="46">
        <f>IF($A62="","",(J62&gt;0)*Settings!$B$22+(P62&gt;0)*Settings!$B$23+(M62&gt;0)*Settings!$B$24+(O62&gt;0)*Settings!$B$25+(I62="Yes")*Settings!$B$26+(D62="Unusable")*Settings!$B$27+(D62="Damaged")*Settings!$B$28+(H62&gt;=Settings!$B$30)*Settings!$B$29)</f>
        <v>6</v>
      </c>
      <c r="X62" s="46" t="str">
        <f>IF($A62="","",IF(W62&gt;=Settings!$B$31,"High",IF(W62&gt;=Settings!$B$32,"Medium","Low")))</f>
        <v>High</v>
      </c>
      <c r="Y62" s="46" t="str">
        <f>IF($A62="","",IF(V62&gt;Settings!$B$21,"Yes",""))</f>
        <v>Yes</v>
      </c>
      <c r="Z62" s="46">
        <f>IF($A62="","",COUNTIFS(Referrals!$B$5:$B$52,$A62,Referrals!$G$5:$G$52,"Referred")+COUNTIFS(Referrals!$B$5:$B$52,$A62,Referrals!$G$5:$G$52,"Acknowledged"))</f>
        <v>0</v>
      </c>
      <c r="AA62" s="46">
        <f>IF($A62="","",COUNTIFS(Referrals!$B$5:$B$52,$A62,Referrals!$K$5:$K$52,"Overdue"))</f>
        <v>0</v>
      </c>
      <c r="AB62" s="46" t="str">
        <f>IF($A62="","",IF(AND(J62&gt;0,U62="Yes"),IF(COUNTIFS(Referrals!$B$5:$B$52,$A62,Referrals!$D$5:$D$52,"Nutrition / IYCF")=0,"Referral needed","Referred"),""))</f>
        <v/>
      </c>
      <c r="AC62" s="46" t="str">
        <f>IF($A62="","",IF(N(Needs_Gaps!O62)&gt;0,"Yes",""))</f>
        <v/>
      </c>
      <c r="AD62" s="46" t="str">
        <f>IF($A62="","",IF(COUNTIFS(Maintenance_Log!$C$5:$C$40,$A62,Maintenance_Log!$H$5:$H$40,"&lt;&gt;Resolved")&gt;0,"Yes",""))</f>
        <v/>
      </c>
      <c r="AE62" s="46">
        <f t="shared" si="2"/>
        <v>1</v>
      </c>
      <c r="AF62" s="46">
        <f t="shared" si="3"/>
        <v>106942</v>
      </c>
      <c r="AG62" s="46">
        <f>IFERROR(MATCH(ROW()-4,Import_Index!$H$5:$H$304,0),"")</f>
        <v>18</v>
      </c>
    </row>
    <row r="63" spans="1:33" x14ac:dyDescent="0.3">
      <c r="A63" s="46" t="str">
        <f>IF($AG63="","",IFERROR(INDEX(Kobo_Import!$A$2:$CZ$301,$AG63,Field_Map!$B$13)&amp;"",""))</f>
        <v>HH-059</v>
      </c>
      <c r="B63" s="46" t="str">
        <f>IF($AG63="","",IF(IFERROR(INDEX(Kobo_Import!$A$2:$CZ$301,$AG63,Field_Map!$B$9)&amp;"","")="","",IFERROR(INDEX(Lists!$N$5:$N$19,MATCH(INDEX(Kobo_Import!$A$2:$CZ$301,$AG63,Field_Map!$B$9)&amp;"",Lists!$M$5:$M$19,0)),INDEX(Kobo_Import!$A$2:$CZ$301,$AG63,Field_Map!$B$9)&amp;"")))</f>
        <v>Site B – School Shelter</v>
      </c>
      <c r="C63" s="46" t="str">
        <f>IF($AG63="","",IF(IFERROR(INDEX(Kobo_Import!$A$2:$CZ$301,$AG63,Field_Map!$B$14)&amp;"","")="","",IFERROR(INDEX(Lists!$N$5:$N$19,MATCH(INDEX(Kobo_Import!$A$2:$CZ$301,$AG63,Field_Map!$B$14)&amp;"",Lists!$M$5:$M$19,0)),INDEX(Kobo_Import!$A$2:$CZ$301,$AG63,Field_Map!$B$14)&amp;"")))</f>
        <v>Classroom</v>
      </c>
      <c r="D63" s="46" t="str">
        <f>IF($AG63="","",IF(IFERROR(INDEX(Kobo_Import!$A$2:$CZ$301,$AG63,Field_Map!$B$15)&amp;"","")="","",IFERROR(INDEX(Lists!$N$5:$N$19,MATCH(INDEX(Kobo_Import!$A$2:$CZ$301,$AG63,Field_Map!$B$15)&amp;"",Lists!$M$5:$M$19,0)),INDEX(Kobo_Import!$A$2:$CZ$301,$AG63,Field_Map!$B$15)&amp;"")))</f>
        <v>Damaged</v>
      </c>
      <c r="E63" s="49">
        <f>IF($A63="","",IFERROR(INDEX(Import_Index!$D$5:$D$304,MATCH($A63&amp;"|registration",Import_Index!$I$5:$I$304,0)),F63))</f>
        <v>46022</v>
      </c>
      <c r="F63" s="49">
        <f>IF($AG63="","",INDEX(Import_Index!$D$5:$D$304,$AG63))</f>
        <v>46045</v>
      </c>
      <c r="G63" s="46">
        <f>IF($A63="","",COUNTIFS(Import_Index!$B$5:$B$304,$A63,Import_Index!$C$5:$C$304,"yes"))</f>
        <v>2</v>
      </c>
      <c r="H63" s="46">
        <f>IF($AG63="","",IFERROR(VALUE(INDEX(Kobo_Import!$A$2:$CZ$301,$AG63,Field_Map!$B$16)&amp;""),0))</f>
        <v>9</v>
      </c>
      <c r="I63" s="46" t="str">
        <f>IF($AG63="","",IF(IFERROR(INDEX(Kobo_Import!$A$2:$CZ$301,$AG63,Field_Map!$B$17)&amp;"","")="","",IFERROR(INDEX(Lists!$N$5:$N$19,MATCH(INDEX(Kobo_Import!$A$2:$CZ$301,$AG63,Field_Map!$B$17)&amp;"",Lists!$M$5:$M$19,0)),INDEX(Kobo_Import!$A$2:$CZ$301,$AG63,Field_Map!$B$17)&amp;"")))</f>
        <v>Yes</v>
      </c>
      <c r="J63" s="46">
        <f>IF($AG63="","",IFERROR(VALUE(INDEX(Kobo_Import!$A$2:$CZ$301,$AG63,Field_Map!$B$18)&amp;""),0))</f>
        <v>0</v>
      </c>
      <c r="K63" s="46">
        <f>IF($AG63="","",IFERROR(VALUE(INDEX(Kobo_Import!$A$2:$CZ$301,$AG63,Field_Map!$B$19)&amp;""),0))</f>
        <v>8</v>
      </c>
      <c r="L63" s="46">
        <f>IF($AG63="","",IFERROR(VALUE(INDEX(Kobo_Import!$A$2:$CZ$301,$AG63,Field_Map!$B$20)&amp;""),0))</f>
        <v>1</v>
      </c>
      <c r="M63" s="46">
        <f>IF($AG63="","",IFERROR(VALUE(INDEX(Kobo_Import!$A$2:$CZ$301,$AG63,Field_Map!$B$21)&amp;""),0))</f>
        <v>0</v>
      </c>
      <c r="N63" s="46">
        <f>IF($AG63="","",IFERROR(VALUE(INDEX(Kobo_Import!$A$2:$CZ$301,$AG63,Field_Map!$B$22)&amp;""),0))</f>
        <v>2</v>
      </c>
      <c r="O63" s="46">
        <f>IF($AG63="","",IFERROR(VALUE(INDEX(Kobo_Import!$A$2:$CZ$301,$AG63,Field_Map!$B$23)&amp;""),0))</f>
        <v>0</v>
      </c>
      <c r="P63" s="46">
        <f>IF($AG63="","",IFERROR(VALUE(INDEX(Kobo_Import!$A$2:$CZ$301,$AG63,Field_Map!$B$24)&amp;""),0))</f>
        <v>0</v>
      </c>
      <c r="Q63" s="46">
        <f>IF($AG63="","",IFERROR(VALUE(INDEX(Kobo_Import!$A$2:$CZ$301,$AG63,Field_Map!$B$25)&amp;""),0))</f>
        <v>3</v>
      </c>
      <c r="R63" s="46">
        <f>IF($AG63="","",IFERROR(VALUE(INDEX(Kobo_Import!$A$2:$CZ$301,$AG63,Field_Map!$B$26)&amp;""),0))</f>
        <v>1</v>
      </c>
      <c r="S63" s="46">
        <f>IF($AG63="","",IFERROR(VALUE(INDEX(Kobo_Import!$A$2:$CZ$301,$AG63,Field_Map!$B$27)&amp;""),0))</f>
        <v>0</v>
      </c>
      <c r="T63" s="46">
        <f>IF($AG63="","",IFERROR(VALUE(INDEX(Kobo_Import!$A$2:$CZ$301,$AG63,Field_Map!$B$28)&amp;""),0))</f>
        <v>0</v>
      </c>
      <c r="U63" s="46" t="str">
        <f>IF($AG63="","",IF(IFERROR(INDEX(Kobo_Import!$A$2:$CZ$301,$AG63,Field_Map!$B$29)&amp;"","")="","",IFERROR(INDEX(Lists!$N$5:$N$19,MATCH(INDEX(Kobo_Import!$A$2:$CZ$301,$AG63,Field_Map!$B$29)&amp;"",Lists!$M$5:$M$19,0)),INDEX(Kobo_Import!$A$2:$CZ$301,$AG63,Field_Map!$B$29)&amp;"")))</f>
        <v/>
      </c>
      <c r="V63" s="50">
        <f>IF($A63="","",Settings!$B$5-F63)</f>
        <v>8</v>
      </c>
      <c r="W63" s="46">
        <f>IF($A63="","",(J63&gt;0)*Settings!$B$22+(P63&gt;0)*Settings!$B$23+(M63&gt;0)*Settings!$B$24+(O63&gt;0)*Settings!$B$25+(I63="Yes")*Settings!$B$26+(D63="Unusable")*Settings!$B$27+(D63="Damaged")*Settings!$B$28+(H63&gt;=Settings!$B$30)*Settings!$B$29)</f>
        <v>3</v>
      </c>
      <c r="X63" s="46" t="str">
        <f>IF($A63="","",IF(W63&gt;=Settings!$B$31,"High",IF(W63&gt;=Settings!$B$32,"Medium","Low")))</f>
        <v>Medium</v>
      </c>
      <c r="Y63" s="46" t="str">
        <f>IF($A63="","",IF(V63&gt;Settings!$B$21,"Yes",""))</f>
        <v/>
      </c>
      <c r="Z63" s="46">
        <f>IF($A63="","",COUNTIFS(Referrals!$B$5:$B$52,$A63,Referrals!$G$5:$G$52,"Referred")+COUNTIFS(Referrals!$B$5:$B$52,$A63,Referrals!$G$5:$G$52,"Acknowledged"))</f>
        <v>0</v>
      </c>
      <c r="AA63" s="46">
        <f>IF($A63="","",COUNTIFS(Referrals!$B$5:$B$52,$A63,Referrals!$K$5:$K$52,"Overdue"))</f>
        <v>0</v>
      </c>
      <c r="AB63" s="46" t="str">
        <f>IF($A63="","",IF(AND(J63&gt;0,U63="Yes"),IF(COUNTIFS(Referrals!$B$5:$B$52,$A63,Referrals!$D$5:$D$52,"Nutrition / IYCF")=0,"Referral needed","Referred"),""))</f>
        <v/>
      </c>
      <c r="AC63" s="46" t="str">
        <f>IF($A63="","",IF(N(Needs_Gaps!O63)&gt;0,"Yes",""))</f>
        <v/>
      </c>
      <c r="AD63" s="46" t="str">
        <f>IF($A63="","",IF(COUNTIFS(Maintenance_Log!$C$5:$C$40,$A63,Maintenance_Log!$H$5:$H$40,"&lt;&gt;Resolved")&gt;0,"Yes",""))</f>
        <v/>
      </c>
      <c r="AE63" s="46">
        <f t="shared" si="2"/>
        <v>0</v>
      </c>
      <c r="AF63" s="46">
        <f t="shared" si="3"/>
        <v>0</v>
      </c>
      <c r="AG63" s="46">
        <f>IFERROR(MATCH(ROW()-4,Import_Index!$H$5:$H$304,0),"")</f>
        <v>123</v>
      </c>
    </row>
    <row r="64" spans="1:33" x14ac:dyDescent="0.3">
      <c r="A64" s="46" t="str">
        <f>IF($AG64="","",IFERROR(INDEX(Kobo_Import!$A$2:$CZ$301,$AG64,Field_Map!$B$13)&amp;"",""))</f>
        <v>HH-060</v>
      </c>
      <c r="B64" s="46" t="str">
        <f>IF($AG64="","",IF(IFERROR(INDEX(Kobo_Import!$A$2:$CZ$301,$AG64,Field_Map!$B$9)&amp;"","")="","",IFERROR(INDEX(Lists!$N$5:$N$19,MATCH(INDEX(Kobo_Import!$A$2:$CZ$301,$AG64,Field_Map!$B$9)&amp;"",Lists!$M$5:$M$19,0)),INDEX(Kobo_Import!$A$2:$CZ$301,$AG64,Field_Map!$B$9)&amp;"")))</f>
        <v>Site B – School Shelter</v>
      </c>
      <c r="C64" s="46" t="str">
        <f>IF($AG64="","",IF(IFERROR(INDEX(Kobo_Import!$A$2:$CZ$301,$AG64,Field_Map!$B$14)&amp;"","")="","",IFERROR(INDEX(Lists!$N$5:$N$19,MATCH(INDEX(Kobo_Import!$A$2:$CZ$301,$AG64,Field_Map!$B$14)&amp;"",Lists!$M$5:$M$19,0)),INDEX(Kobo_Import!$A$2:$CZ$301,$AG64,Field_Map!$B$14)&amp;"")))</f>
        <v>Classroom</v>
      </c>
      <c r="D64" s="46" t="str">
        <f>IF($AG64="","",IF(IFERROR(INDEX(Kobo_Import!$A$2:$CZ$301,$AG64,Field_Map!$B$15)&amp;"","")="","",IFERROR(INDEX(Lists!$N$5:$N$19,MATCH(INDEX(Kobo_Import!$A$2:$CZ$301,$AG64,Field_Map!$B$15)&amp;"",Lists!$M$5:$M$19,0)),INDEX(Kobo_Import!$A$2:$CZ$301,$AG64,Field_Map!$B$15)&amp;"")))</f>
        <v>Adequate</v>
      </c>
      <c r="E64" s="49">
        <f>IF($A64="","",IFERROR(INDEX(Import_Index!$D$5:$D$304,MATCH($A64&amp;"|registration",Import_Index!$I$5:$I$304,0)),F64))</f>
        <v>46020</v>
      </c>
      <c r="F64" s="49">
        <f>IF($AG64="","",INDEX(Import_Index!$D$5:$D$304,$AG64))</f>
        <v>46020</v>
      </c>
      <c r="G64" s="46">
        <f>IF($A64="","",COUNTIFS(Import_Index!$B$5:$B$304,$A64,Import_Index!$C$5:$C$304,"yes"))</f>
        <v>1</v>
      </c>
      <c r="H64" s="46">
        <f>IF($AG64="","",IFERROR(VALUE(INDEX(Kobo_Import!$A$2:$CZ$301,$AG64,Field_Map!$B$16)&amp;""),0))</f>
        <v>8</v>
      </c>
      <c r="I64" s="46" t="str">
        <f>IF($AG64="","",IF(IFERROR(INDEX(Kobo_Import!$A$2:$CZ$301,$AG64,Field_Map!$B$17)&amp;"","")="","",IFERROR(INDEX(Lists!$N$5:$N$19,MATCH(INDEX(Kobo_Import!$A$2:$CZ$301,$AG64,Field_Map!$B$17)&amp;"",Lists!$M$5:$M$19,0)),INDEX(Kobo_Import!$A$2:$CZ$301,$AG64,Field_Map!$B$17)&amp;"")))</f>
        <v>No</v>
      </c>
      <c r="J64" s="46">
        <f>IF($AG64="","",IFERROR(VALUE(INDEX(Kobo_Import!$A$2:$CZ$301,$AG64,Field_Map!$B$18)&amp;""),0))</f>
        <v>1</v>
      </c>
      <c r="K64" s="46">
        <f>IF($AG64="","",IFERROR(VALUE(INDEX(Kobo_Import!$A$2:$CZ$301,$AG64,Field_Map!$B$19)&amp;""),0))</f>
        <v>5</v>
      </c>
      <c r="L64" s="46">
        <f>IF($AG64="","",IFERROR(VALUE(INDEX(Kobo_Import!$A$2:$CZ$301,$AG64,Field_Map!$B$20)&amp;""),0))</f>
        <v>2</v>
      </c>
      <c r="M64" s="46">
        <f>IF($AG64="","",IFERROR(VALUE(INDEX(Kobo_Import!$A$2:$CZ$301,$AG64,Field_Map!$B$21)&amp;""),0))</f>
        <v>0</v>
      </c>
      <c r="N64" s="46">
        <f>IF($AG64="","",IFERROR(VALUE(INDEX(Kobo_Import!$A$2:$CZ$301,$AG64,Field_Map!$B$22)&amp;""),0))</f>
        <v>1</v>
      </c>
      <c r="O64" s="46">
        <f>IF($AG64="","",IFERROR(VALUE(INDEX(Kobo_Import!$A$2:$CZ$301,$AG64,Field_Map!$B$23)&amp;""),0))</f>
        <v>1</v>
      </c>
      <c r="P64" s="46">
        <f>IF($AG64="","",IFERROR(VALUE(INDEX(Kobo_Import!$A$2:$CZ$301,$AG64,Field_Map!$B$24)&amp;""),0))</f>
        <v>0</v>
      </c>
      <c r="Q64" s="46">
        <f>IF($AG64="","",IFERROR(VALUE(INDEX(Kobo_Import!$A$2:$CZ$301,$AG64,Field_Map!$B$25)&amp;""),0))</f>
        <v>2</v>
      </c>
      <c r="R64" s="46">
        <f>IF($AG64="","",IFERROR(VALUE(INDEX(Kobo_Import!$A$2:$CZ$301,$AG64,Field_Map!$B$26)&amp;""),0))</f>
        <v>8</v>
      </c>
      <c r="S64" s="46">
        <f>IF($AG64="","",IFERROR(VALUE(INDEX(Kobo_Import!$A$2:$CZ$301,$AG64,Field_Map!$B$27)&amp;""),0))</f>
        <v>4</v>
      </c>
      <c r="T64" s="46">
        <f>IF($AG64="","",IFERROR(VALUE(INDEX(Kobo_Import!$A$2:$CZ$301,$AG64,Field_Map!$B$28)&amp;""),0))</f>
        <v>1</v>
      </c>
      <c r="U64" s="46" t="str">
        <f>IF($AG64="","",IF(IFERROR(INDEX(Kobo_Import!$A$2:$CZ$301,$AG64,Field_Map!$B$29)&amp;"","")="","",IFERROR(INDEX(Lists!$N$5:$N$19,MATCH(INDEX(Kobo_Import!$A$2:$CZ$301,$AG64,Field_Map!$B$29)&amp;"",Lists!$M$5:$M$19,0)),INDEX(Kobo_Import!$A$2:$CZ$301,$AG64,Field_Map!$B$29)&amp;"")))</f>
        <v>No</v>
      </c>
      <c r="V64" s="50">
        <f>IF($A64="","",Settings!$B$5-F64)</f>
        <v>33</v>
      </c>
      <c r="W64" s="46">
        <f>IF($A64="","",(J64&gt;0)*Settings!$B$22+(P64&gt;0)*Settings!$B$23+(M64&gt;0)*Settings!$B$24+(O64&gt;0)*Settings!$B$25+(I64="Yes")*Settings!$B$26+(D64="Unusable")*Settings!$B$27+(D64="Damaged")*Settings!$B$28+(H64&gt;=Settings!$B$30)*Settings!$B$29)</f>
        <v>3</v>
      </c>
      <c r="X64" s="46" t="str">
        <f>IF($A64="","",IF(W64&gt;=Settings!$B$31,"High",IF(W64&gt;=Settings!$B$32,"Medium","Low")))</f>
        <v>Medium</v>
      </c>
      <c r="Y64" s="46" t="str">
        <f>IF($A64="","",IF(V64&gt;Settings!$B$21,"Yes",""))</f>
        <v>Yes</v>
      </c>
      <c r="Z64" s="46">
        <f>IF($A64="","",COUNTIFS(Referrals!$B$5:$B$52,$A64,Referrals!$G$5:$G$52,"Referred")+COUNTIFS(Referrals!$B$5:$B$52,$A64,Referrals!$G$5:$G$52,"Acknowledged"))</f>
        <v>0</v>
      </c>
      <c r="AA64" s="46">
        <f>IF($A64="","",COUNTIFS(Referrals!$B$5:$B$52,$A64,Referrals!$K$5:$K$52,"Overdue"))</f>
        <v>0</v>
      </c>
      <c r="AB64" s="46" t="str">
        <f>IF($A64="","",IF(AND(J64&gt;0,U64="Yes"),IF(COUNTIFS(Referrals!$B$5:$B$52,$A64,Referrals!$D$5:$D$52,"Nutrition / IYCF")=0,"Referral needed","Referred"),""))</f>
        <v/>
      </c>
      <c r="AC64" s="46" t="str">
        <f>IF($A64="","",IF(N(Needs_Gaps!O64)&gt;0,"Yes",""))</f>
        <v/>
      </c>
      <c r="AD64" s="46" t="str">
        <f>IF($A64="","",IF(COUNTIFS(Maintenance_Log!$C$5:$C$40,$A64,Maintenance_Log!$H$5:$H$40,"&lt;&gt;Resolved")&gt;0,"Yes",""))</f>
        <v/>
      </c>
      <c r="AE64" s="46">
        <f t="shared" si="2"/>
        <v>1</v>
      </c>
      <c r="AF64" s="46">
        <f t="shared" si="3"/>
        <v>103940</v>
      </c>
      <c r="AG64" s="46">
        <f>IFERROR(MATCH(ROW()-4,Import_Index!$H$5:$H$304,0),"")</f>
        <v>36</v>
      </c>
    </row>
    <row r="65" spans="1:33" x14ac:dyDescent="0.3">
      <c r="A65" s="46" t="str">
        <f>IF($AG65="","",IFERROR(INDEX(Kobo_Import!$A$2:$CZ$301,$AG65,Field_Map!$B$13)&amp;"",""))</f>
        <v>HH-061</v>
      </c>
      <c r="B65" s="46" t="str">
        <f>IF($AG65="","",IF(IFERROR(INDEX(Kobo_Import!$A$2:$CZ$301,$AG65,Field_Map!$B$9)&amp;"","")="","",IFERROR(INDEX(Lists!$N$5:$N$19,MATCH(INDEX(Kobo_Import!$A$2:$CZ$301,$AG65,Field_Map!$B$9)&amp;"",Lists!$M$5:$M$19,0)),INDEX(Kobo_Import!$A$2:$CZ$301,$AG65,Field_Map!$B$9)&amp;"")))</f>
        <v>Site B – School Shelter</v>
      </c>
      <c r="C65" s="46" t="str">
        <f>IF($AG65="","",IF(IFERROR(INDEX(Kobo_Import!$A$2:$CZ$301,$AG65,Field_Map!$B$14)&amp;"","")="","",IFERROR(INDEX(Lists!$N$5:$N$19,MATCH(INDEX(Kobo_Import!$A$2:$CZ$301,$AG65,Field_Map!$B$14)&amp;"",Lists!$M$5:$M$19,0)),INDEX(Kobo_Import!$A$2:$CZ$301,$AG65,Field_Map!$B$14)&amp;"")))</f>
        <v>Classroom</v>
      </c>
      <c r="D65" s="46" t="str">
        <f>IF($AG65="","",IF(IFERROR(INDEX(Kobo_Import!$A$2:$CZ$301,$AG65,Field_Map!$B$15)&amp;"","")="","",IFERROR(INDEX(Lists!$N$5:$N$19,MATCH(INDEX(Kobo_Import!$A$2:$CZ$301,$AG65,Field_Map!$B$15)&amp;"",Lists!$M$5:$M$19,0)),INDEX(Kobo_Import!$A$2:$CZ$301,$AG65,Field_Map!$B$15)&amp;"")))</f>
        <v>Damaged</v>
      </c>
      <c r="E65" s="49">
        <f>IF($A65="","",IFERROR(INDEX(Import_Index!$D$5:$D$304,MATCH($A65&amp;"|registration",Import_Index!$I$5:$I$304,0)),F65))</f>
        <v>46016</v>
      </c>
      <c r="F65" s="49">
        <f>IF($AG65="","",INDEX(Import_Index!$D$5:$D$304,$AG65))</f>
        <v>46016</v>
      </c>
      <c r="G65" s="46">
        <f>IF($A65="","",COUNTIFS(Import_Index!$B$5:$B$304,$A65,Import_Index!$C$5:$C$304,"yes"))</f>
        <v>1</v>
      </c>
      <c r="H65" s="46">
        <f>IF($AG65="","",IFERROR(VALUE(INDEX(Kobo_Import!$A$2:$CZ$301,$AG65,Field_Map!$B$16)&amp;""),0))</f>
        <v>6</v>
      </c>
      <c r="I65" s="46" t="str">
        <f>IF($AG65="","",IF(IFERROR(INDEX(Kobo_Import!$A$2:$CZ$301,$AG65,Field_Map!$B$17)&amp;"","")="","",IFERROR(INDEX(Lists!$N$5:$N$19,MATCH(INDEX(Kobo_Import!$A$2:$CZ$301,$AG65,Field_Map!$B$17)&amp;"",Lists!$M$5:$M$19,0)),INDEX(Kobo_Import!$A$2:$CZ$301,$AG65,Field_Map!$B$17)&amp;"")))</f>
        <v>No</v>
      </c>
      <c r="J65" s="46">
        <f>IF($AG65="","",IFERROR(VALUE(INDEX(Kobo_Import!$A$2:$CZ$301,$AG65,Field_Map!$B$18)&amp;""),0))</f>
        <v>0</v>
      </c>
      <c r="K65" s="46">
        <f>IF($AG65="","",IFERROR(VALUE(INDEX(Kobo_Import!$A$2:$CZ$301,$AG65,Field_Map!$B$19)&amp;""),0))</f>
        <v>3</v>
      </c>
      <c r="L65" s="46">
        <f>IF($AG65="","",IFERROR(VALUE(INDEX(Kobo_Import!$A$2:$CZ$301,$AG65,Field_Map!$B$20)&amp;""),0))</f>
        <v>3</v>
      </c>
      <c r="M65" s="46">
        <f>IF($AG65="","",IFERROR(VALUE(INDEX(Kobo_Import!$A$2:$CZ$301,$AG65,Field_Map!$B$21)&amp;""),0))</f>
        <v>0</v>
      </c>
      <c r="N65" s="46">
        <f>IF($AG65="","",IFERROR(VALUE(INDEX(Kobo_Import!$A$2:$CZ$301,$AG65,Field_Map!$B$22)&amp;""),0))</f>
        <v>2</v>
      </c>
      <c r="O65" s="46">
        <f>IF($AG65="","",IFERROR(VALUE(INDEX(Kobo_Import!$A$2:$CZ$301,$AG65,Field_Map!$B$23)&amp;""),0))</f>
        <v>0</v>
      </c>
      <c r="P65" s="46">
        <f>IF($AG65="","",IFERROR(VALUE(INDEX(Kobo_Import!$A$2:$CZ$301,$AG65,Field_Map!$B$24)&amp;""),0))</f>
        <v>0</v>
      </c>
      <c r="Q65" s="46">
        <f>IF($AG65="","",IFERROR(VALUE(INDEX(Kobo_Import!$A$2:$CZ$301,$AG65,Field_Map!$B$25)&amp;""),0))</f>
        <v>1</v>
      </c>
      <c r="R65" s="46">
        <f>IF($AG65="","",IFERROR(VALUE(INDEX(Kobo_Import!$A$2:$CZ$301,$AG65,Field_Map!$B$26)&amp;""),0))</f>
        <v>4</v>
      </c>
      <c r="S65" s="46">
        <f>IF($AG65="","",IFERROR(VALUE(INDEX(Kobo_Import!$A$2:$CZ$301,$AG65,Field_Map!$B$27)&amp;""),0))</f>
        <v>0</v>
      </c>
      <c r="T65" s="46">
        <f>IF($AG65="","",IFERROR(VALUE(INDEX(Kobo_Import!$A$2:$CZ$301,$AG65,Field_Map!$B$28)&amp;""),0))</f>
        <v>1</v>
      </c>
      <c r="U65" s="46" t="str">
        <f>IF($AG65="","",IF(IFERROR(INDEX(Kobo_Import!$A$2:$CZ$301,$AG65,Field_Map!$B$29)&amp;"","")="","",IFERROR(INDEX(Lists!$N$5:$N$19,MATCH(INDEX(Kobo_Import!$A$2:$CZ$301,$AG65,Field_Map!$B$29)&amp;"",Lists!$M$5:$M$19,0)),INDEX(Kobo_Import!$A$2:$CZ$301,$AG65,Field_Map!$B$29)&amp;"")))</f>
        <v/>
      </c>
      <c r="V65" s="50">
        <f>IF($A65="","",Settings!$B$5-F65)</f>
        <v>37</v>
      </c>
      <c r="W65" s="46">
        <f>IF($A65="","",(J65&gt;0)*Settings!$B$22+(P65&gt;0)*Settings!$B$23+(M65&gt;0)*Settings!$B$24+(O65&gt;0)*Settings!$B$25+(I65="Yes")*Settings!$B$26+(D65="Unusable")*Settings!$B$27+(D65="Damaged")*Settings!$B$28+(H65&gt;=Settings!$B$30)*Settings!$B$29)</f>
        <v>1</v>
      </c>
      <c r="X65" s="46" t="str">
        <f>IF($A65="","",IF(W65&gt;=Settings!$B$31,"High",IF(W65&gt;=Settings!$B$32,"Medium","Low")))</f>
        <v>Low</v>
      </c>
      <c r="Y65" s="46" t="str">
        <f>IF($A65="","",IF(V65&gt;Settings!$B$21,"Yes",""))</f>
        <v>Yes</v>
      </c>
      <c r="Z65" s="46">
        <f>IF($A65="","",COUNTIFS(Referrals!$B$5:$B$52,$A65,Referrals!$G$5:$G$52,"Referred")+COUNTIFS(Referrals!$B$5:$B$52,$A65,Referrals!$G$5:$G$52,"Acknowledged"))</f>
        <v>0</v>
      </c>
      <c r="AA65" s="46">
        <f>IF($A65="","",COUNTIFS(Referrals!$B$5:$B$52,$A65,Referrals!$K$5:$K$52,"Overdue"))</f>
        <v>0</v>
      </c>
      <c r="AB65" s="46" t="str">
        <f>IF($A65="","",IF(AND(J65&gt;0,U65="Yes"),IF(COUNTIFS(Referrals!$B$5:$B$52,$A65,Referrals!$D$5:$D$52,"Nutrition / IYCF")=0,"Referral needed","Referred"),""))</f>
        <v/>
      </c>
      <c r="AC65" s="46" t="str">
        <f>IF($A65="","",IF(N(Needs_Gaps!O65)&gt;0,"Yes",""))</f>
        <v/>
      </c>
      <c r="AD65" s="46" t="str">
        <f>IF($A65="","",IF(COUNTIFS(Maintenance_Log!$C$5:$C$40,$A65,Maintenance_Log!$H$5:$H$40,"&lt;&gt;Resolved")&gt;0,"Yes",""))</f>
        <v/>
      </c>
      <c r="AE65" s="46">
        <f t="shared" si="2"/>
        <v>1</v>
      </c>
      <c r="AF65" s="46">
        <f t="shared" si="3"/>
        <v>101939</v>
      </c>
      <c r="AG65" s="46">
        <f>IFERROR(MATCH(ROW()-4,Import_Index!$H$5:$H$304,0),"")</f>
        <v>26</v>
      </c>
    </row>
    <row r="66" spans="1:33" x14ac:dyDescent="0.3">
      <c r="A66" s="46" t="str">
        <f>IF($AG66="","",IFERROR(INDEX(Kobo_Import!$A$2:$CZ$301,$AG66,Field_Map!$B$13)&amp;"",""))</f>
        <v>HH-062</v>
      </c>
      <c r="B66" s="46" t="str">
        <f>IF($AG66="","",IF(IFERROR(INDEX(Kobo_Import!$A$2:$CZ$301,$AG66,Field_Map!$B$9)&amp;"","")="","",IFERROR(INDEX(Lists!$N$5:$N$19,MATCH(INDEX(Kobo_Import!$A$2:$CZ$301,$AG66,Field_Map!$B$9)&amp;"",Lists!$M$5:$M$19,0)),INDEX(Kobo_Import!$A$2:$CZ$301,$AG66,Field_Map!$B$9)&amp;"")))</f>
        <v>Site B – School Shelter</v>
      </c>
      <c r="C66" s="46" t="str">
        <f>IF($AG66="","",IF(IFERROR(INDEX(Kobo_Import!$A$2:$CZ$301,$AG66,Field_Map!$B$14)&amp;"","")="","",IFERROR(INDEX(Lists!$N$5:$N$19,MATCH(INDEX(Kobo_Import!$A$2:$CZ$301,$AG66,Field_Map!$B$14)&amp;"",Lists!$M$5:$M$19,0)),INDEX(Kobo_Import!$A$2:$CZ$301,$AG66,Field_Map!$B$14)&amp;"")))</f>
        <v>Classroom</v>
      </c>
      <c r="D66" s="46" t="str">
        <f>IF($AG66="","",IF(IFERROR(INDEX(Kobo_Import!$A$2:$CZ$301,$AG66,Field_Map!$B$15)&amp;"","")="","",IFERROR(INDEX(Lists!$N$5:$N$19,MATCH(INDEX(Kobo_Import!$A$2:$CZ$301,$AG66,Field_Map!$B$15)&amp;"",Lists!$M$5:$M$19,0)),INDEX(Kobo_Import!$A$2:$CZ$301,$AG66,Field_Map!$B$15)&amp;"")))</f>
        <v>Adequate</v>
      </c>
      <c r="E66" s="49">
        <f>IF($A66="","",IFERROR(INDEX(Import_Index!$D$5:$D$304,MATCH($A66&amp;"|registration",Import_Index!$I$5:$I$304,0)),F66))</f>
        <v>46027</v>
      </c>
      <c r="F66" s="49">
        <f>IF($AG66="","",INDEX(Import_Index!$D$5:$D$304,$AG66))</f>
        <v>46027</v>
      </c>
      <c r="G66" s="46">
        <f>IF($A66="","",COUNTIFS(Import_Index!$B$5:$B$304,$A66,Import_Index!$C$5:$C$304,"yes"))</f>
        <v>1</v>
      </c>
      <c r="H66" s="46">
        <f>IF($AG66="","",IFERROR(VALUE(INDEX(Kobo_Import!$A$2:$CZ$301,$AG66,Field_Map!$B$16)&amp;""),0))</f>
        <v>8</v>
      </c>
      <c r="I66" s="46" t="str">
        <f>IF($AG66="","",IF(IFERROR(INDEX(Kobo_Import!$A$2:$CZ$301,$AG66,Field_Map!$B$17)&amp;"","")="","",IFERROR(INDEX(Lists!$N$5:$N$19,MATCH(INDEX(Kobo_Import!$A$2:$CZ$301,$AG66,Field_Map!$B$17)&amp;"",Lists!$M$5:$M$19,0)),INDEX(Kobo_Import!$A$2:$CZ$301,$AG66,Field_Map!$B$17)&amp;"")))</f>
        <v>Yes</v>
      </c>
      <c r="J66" s="46">
        <f>IF($AG66="","",IFERROR(VALUE(INDEX(Kobo_Import!$A$2:$CZ$301,$AG66,Field_Map!$B$18)&amp;""),0))</f>
        <v>0</v>
      </c>
      <c r="K66" s="46">
        <f>IF($AG66="","",IFERROR(VALUE(INDEX(Kobo_Import!$A$2:$CZ$301,$AG66,Field_Map!$B$19)&amp;""),0))</f>
        <v>6</v>
      </c>
      <c r="L66" s="46">
        <f>IF($AG66="","",IFERROR(VALUE(INDEX(Kobo_Import!$A$2:$CZ$301,$AG66,Field_Map!$B$20)&amp;""),0))</f>
        <v>2</v>
      </c>
      <c r="M66" s="46">
        <f>IF($AG66="","",IFERROR(VALUE(INDEX(Kobo_Import!$A$2:$CZ$301,$AG66,Field_Map!$B$21)&amp;""),0))</f>
        <v>0</v>
      </c>
      <c r="N66" s="46">
        <f>IF($AG66="","",IFERROR(VALUE(INDEX(Kobo_Import!$A$2:$CZ$301,$AG66,Field_Map!$B$22)&amp;""),0))</f>
        <v>3</v>
      </c>
      <c r="O66" s="46">
        <f>IF($AG66="","",IFERROR(VALUE(INDEX(Kobo_Import!$A$2:$CZ$301,$AG66,Field_Map!$B$23)&amp;""),0))</f>
        <v>0</v>
      </c>
      <c r="P66" s="46">
        <f>IF($AG66="","",IFERROR(VALUE(INDEX(Kobo_Import!$A$2:$CZ$301,$AG66,Field_Map!$B$24)&amp;""),0))</f>
        <v>0</v>
      </c>
      <c r="Q66" s="46">
        <f>IF($AG66="","",IFERROR(VALUE(INDEX(Kobo_Import!$A$2:$CZ$301,$AG66,Field_Map!$B$25)&amp;""),0))</f>
        <v>2</v>
      </c>
      <c r="R66" s="46">
        <f>IF($AG66="","",IFERROR(VALUE(INDEX(Kobo_Import!$A$2:$CZ$301,$AG66,Field_Map!$B$26)&amp;""),0))</f>
        <v>7</v>
      </c>
      <c r="S66" s="46">
        <f>IF($AG66="","",IFERROR(VALUE(INDEX(Kobo_Import!$A$2:$CZ$301,$AG66,Field_Map!$B$27)&amp;""),0))</f>
        <v>1</v>
      </c>
      <c r="T66" s="46">
        <f>IF($AG66="","",IFERROR(VALUE(INDEX(Kobo_Import!$A$2:$CZ$301,$AG66,Field_Map!$B$28)&amp;""),0))</f>
        <v>2</v>
      </c>
      <c r="U66" s="46" t="str">
        <f>IF($AG66="","",IF(IFERROR(INDEX(Kobo_Import!$A$2:$CZ$301,$AG66,Field_Map!$B$29)&amp;"","")="","",IFERROR(INDEX(Lists!$N$5:$N$19,MATCH(INDEX(Kobo_Import!$A$2:$CZ$301,$AG66,Field_Map!$B$29)&amp;"",Lists!$M$5:$M$19,0)),INDEX(Kobo_Import!$A$2:$CZ$301,$AG66,Field_Map!$B$29)&amp;"")))</f>
        <v/>
      </c>
      <c r="V66" s="50">
        <f>IF($A66="","",Settings!$B$5-F66)</f>
        <v>26</v>
      </c>
      <c r="W66" s="46">
        <f>IF($A66="","",(J66&gt;0)*Settings!$B$22+(P66&gt;0)*Settings!$B$23+(M66&gt;0)*Settings!$B$24+(O66&gt;0)*Settings!$B$25+(I66="Yes")*Settings!$B$26+(D66="Unusable")*Settings!$B$27+(D66="Damaged")*Settings!$B$28+(H66&gt;=Settings!$B$30)*Settings!$B$29)</f>
        <v>1</v>
      </c>
      <c r="X66" s="46" t="str">
        <f>IF($A66="","",IF(W66&gt;=Settings!$B$31,"High",IF(W66&gt;=Settings!$B$32,"Medium","Low")))</f>
        <v>Low</v>
      </c>
      <c r="Y66" s="46" t="str">
        <f>IF($A66="","",IF(V66&gt;Settings!$B$21,"Yes",""))</f>
        <v/>
      </c>
      <c r="Z66" s="46">
        <f>IF($A66="","",COUNTIFS(Referrals!$B$5:$B$52,$A66,Referrals!$G$5:$G$52,"Referred")+COUNTIFS(Referrals!$B$5:$B$52,$A66,Referrals!$G$5:$G$52,"Acknowledged"))</f>
        <v>0</v>
      </c>
      <c r="AA66" s="46">
        <f>IF($A66="","",COUNTIFS(Referrals!$B$5:$B$52,$A66,Referrals!$K$5:$K$52,"Overdue"))</f>
        <v>0</v>
      </c>
      <c r="AB66" s="46" t="str">
        <f>IF($A66="","",IF(AND(J66&gt;0,U66="Yes"),IF(COUNTIFS(Referrals!$B$5:$B$52,$A66,Referrals!$D$5:$D$52,"Nutrition / IYCF")=0,"Referral needed","Referred"),""))</f>
        <v/>
      </c>
      <c r="AC66" s="46" t="str">
        <f>IF($A66="","",IF(N(Needs_Gaps!O66)&gt;0,"Yes",""))</f>
        <v/>
      </c>
      <c r="AD66" s="46" t="str">
        <f>IF($A66="","",IF(COUNTIFS(Maintenance_Log!$C$5:$C$40,$A66,Maintenance_Log!$H$5:$H$40,"&lt;&gt;Resolved")&gt;0,"Yes",""))</f>
        <v/>
      </c>
      <c r="AE66" s="46">
        <f t="shared" si="2"/>
        <v>0</v>
      </c>
      <c r="AF66" s="46">
        <f t="shared" si="3"/>
        <v>0</v>
      </c>
      <c r="AG66" s="46">
        <f>IFERROR(MATCH(ROW()-4,Import_Index!$H$5:$H$304,0),"")</f>
        <v>51</v>
      </c>
    </row>
    <row r="67" spans="1:33" x14ac:dyDescent="0.3">
      <c r="A67" s="46" t="str">
        <f>IF($AG67="","",IFERROR(INDEX(Kobo_Import!$A$2:$CZ$301,$AG67,Field_Map!$B$13)&amp;"",""))</f>
        <v>HH-063</v>
      </c>
      <c r="B67" s="46" t="str">
        <f>IF($AG67="","",IF(IFERROR(INDEX(Kobo_Import!$A$2:$CZ$301,$AG67,Field_Map!$B$9)&amp;"","")="","",IFERROR(INDEX(Lists!$N$5:$N$19,MATCH(INDEX(Kobo_Import!$A$2:$CZ$301,$AG67,Field_Map!$B$9)&amp;"",Lists!$M$5:$M$19,0)),INDEX(Kobo_Import!$A$2:$CZ$301,$AG67,Field_Map!$B$9)&amp;"")))</f>
        <v>Site B – School Shelter</v>
      </c>
      <c r="C67" s="46" t="str">
        <f>IF($AG67="","",IF(IFERROR(INDEX(Kobo_Import!$A$2:$CZ$301,$AG67,Field_Map!$B$14)&amp;"","")="","",IFERROR(INDEX(Lists!$N$5:$N$19,MATCH(INDEX(Kobo_Import!$A$2:$CZ$301,$AG67,Field_Map!$B$14)&amp;"",Lists!$M$5:$M$19,0)),INDEX(Kobo_Import!$A$2:$CZ$301,$AG67,Field_Map!$B$14)&amp;"")))</f>
        <v>Classroom</v>
      </c>
      <c r="D67" s="46" t="str">
        <f>IF($AG67="","",IF(IFERROR(INDEX(Kobo_Import!$A$2:$CZ$301,$AG67,Field_Map!$B$15)&amp;"","")="","",IFERROR(INDEX(Lists!$N$5:$N$19,MATCH(INDEX(Kobo_Import!$A$2:$CZ$301,$AG67,Field_Map!$B$15)&amp;"",Lists!$M$5:$M$19,0)),INDEX(Kobo_Import!$A$2:$CZ$301,$AG67,Field_Map!$B$15)&amp;"")))</f>
        <v>Adequate</v>
      </c>
      <c r="E67" s="49">
        <f>IF($A67="","",IFERROR(INDEX(Import_Index!$D$5:$D$304,MATCH($A67&amp;"|registration",Import_Index!$I$5:$I$304,0)),F67))</f>
        <v>46014</v>
      </c>
      <c r="F67" s="49">
        <f>IF($AG67="","",INDEX(Import_Index!$D$5:$D$304,$AG67))</f>
        <v>46038</v>
      </c>
      <c r="G67" s="46">
        <f>IF($A67="","",COUNTIFS(Import_Index!$B$5:$B$304,$A67,Import_Index!$C$5:$C$304,"yes"))</f>
        <v>2</v>
      </c>
      <c r="H67" s="46">
        <f>IF($AG67="","",IFERROR(VALUE(INDEX(Kobo_Import!$A$2:$CZ$301,$AG67,Field_Map!$B$16)&amp;""),0))</f>
        <v>3</v>
      </c>
      <c r="I67" s="46" t="str">
        <f>IF($AG67="","",IF(IFERROR(INDEX(Kobo_Import!$A$2:$CZ$301,$AG67,Field_Map!$B$17)&amp;"","")="","",IFERROR(INDEX(Lists!$N$5:$N$19,MATCH(INDEX(Kobo_Import!$A$2:$CZ$301,$AG67,Field_Map!$B$17)&amp;"",Lists!$M$5:$M$19,0)),INDEX(Kobo_Import!$A$2:$CZ$301,$AG67,Field_Map!$B$17)&amp;"")))</f>
        <v>No</v>
      </c>
      <c r="J67" s="46">
        <f>IF($AG67="","",IFERROR(VALUE(INDEX(Kobo_Import!$A$2:$CZ$301,$AG67,Field_Map!$B$18)&amp;""),0))</f>
        <v>1</v>
      </c>
      <c r="K67" s="46">
        <f>IF($AG67="","",IFERROR(VALUE(INDEX(Kobo_Import!$A$2:$CZ$301,$AG67,Field_Map!$B$19)&amp;""),0))</f>
        <v>0</v>
      </c>
      <c r="L67" s="46">
        <f>IF($AG67="","",IFERROR(VALUE(INDEX(Kobo_Import!$A$2:$CZ$301,$AG67,Field_Map!$B$20)&amp;""),0))</f>
        <v>2</v>
      </c>
      <c r="M67" s="46">
        <f>IF($AG67="","",IFERROR(VALUE(INDEX(Kobo_Import!$A$2:$CZ$301,$AG67,Field_Map!$B$21)&amp;""),0))</f>
        <v>0</v>
      </c>
      <c r="N67" s="46">
        <f>IF($AG67="","",IFERROR(VALUE(INDEX(Kobo_Import!$A$2:$CZ$301,$AG67,Field_Map!$B$22)&amp;""),0))</f>
        <v>1</v>
      </c>
      <c r="O67" s="46">
        <f>IF($AG67="","",IFERROR(VALUE(INDEX(Kobo_Import!$A$2:$CZ$301,$AG67,Field_Map!$B$23)&amp;""),0))</f>
        <v>1</v>
      </c>
      <c r="P67" s="46">
        <f>IF($AG67="","",IFERROR(VALUE(INDEX(Kobo_Import!$A$2:$CZ$301,$AG67,Field_Map!$B$24)&amp;""),0))</f>
        <v>1</v>
      </c>
      <c r="Q67" s="46">
        <f>IF($AG67="","",IFERROR(VALUE(INDEX(Kobo_Import!$A$2:$CZ$301,$AG67,Field_Map!$B$25)&amp;""),0))</f>
        <v>1</v>
      </c>
      <c r="R67" s="46">
        <f>IF($AG67="","",IFERROR(VALUE(INDEX(Kobo_Import!$A$2:$CZ$301,$AG67,Field_Map!$B$26)&amp;""),0))</f>
        <v>3</v>
      </c>
      <c r="S67" s="46">
        <f>IF($AG67="","",IFERROR(VALUE(INDEX(Kobo_Import!$A$2:$CZ$301,$AG67,Field_Map!$B$27)&amp;""),0))</f>
        <v>0</v>
      </c>
      <c r="T67" s="46">
        <f>IF($AG67="","",IFERROR(VALUE(INDEX(Kobo_Import!$A$2:$CZ$301,$AG67,Field_Map!$B$28)&amp;""),0))</f>
        <v>0</v>
      </c>
      <c r="U67" s="46" t="str">
        <f>IF($AG67="","",IF(IFERROR(INDEX(Kobo_Import!$A$2:$CZ$301,$AG67,Field_Map!$B$29)&amp;"","")="","",IFERROR(INDEX(Lists!$N$5:$N$19,MATCH(INDEX(Kobo_Import!$A$2:$CZ$301,$AG67,Field_Map!$B$29)&amp;"",Lists!$M$5:$M$19,0)),INDEX(Kobo_Import!$A$2:$CZ$301,$AG67,Field_Map!$B$29)&amp;"")))</f>
        <v>No</v>
      </c>
      <c r="V67" s="50">
        <f>IF($A67="","",Settings!$B$5-F67)</f>
        <v>15</v>
      </c>
      <c r="W67" s="46">
        <f>IF($A67="","",(J67&gt;0)*Settings!$B$22+(P67&gt;0)*Settings!$B$23+(M67&gt;0)*Settings!$B$24+(O67&gt;0)*Settings!$B$25+(I67="Yes")*Settings!$B$26+(D67="Unusable")*Settings!$B$27+(D67="Damaged")*Settings!$B$28+(H67&gt;=Settings!$B$30)*Settings!$B$29)</f>
        <v>5</v>
      </c>
      <c r="X67" s="46" t="str">
        <f>IF($A67="","",IF(W67&gt;=Settings!$B$31,"High",IF(W67&gt;=Settings!$B$32,"Medium","Low")))</f>
        <v>High</v>
      </c>
      <c r="Y67" s="46" t="str">
        <f>IF($A67="","",IF(V67&gt;Settings!$B$21,"Yes",""))</f>
        <v/>
      </c>
      <c r="Z67" s="46">
        <f>IF($A67="","",COUNTIFS(Referrals!$B$5:$B$52,$A67,Referrals!$G$5:$G$52,"Referred")+COUNTIFS(Referrals!$B$5:$B$52,$A67,Referrals!$G$5:$G$52,"Acknowledged"))</f>
        <v>0</v>
      </c>
      <c r="AA67" s="46">
        <f>IF($A67="","",COUNTIFS(Referrals!$B$5:$B$52,$A67,Referrals!$K$5:$K$52,"Overdue"))</f>
        <v>0</v>
      </c>
      <c r="AB67" s="46" t="str">
        <f>IF($A67="","",IF(AND(J67&gt;0,U67="Yes"),IF(COUNTIFS(Referrals!$B$5:$B$52,$A67,Referrals!$D$5:$D$52,"Nutrition / IYCF")=0,"Referral needed","Referred"),""))</f>
        <v/>
      </c>
      <c r="AC67" s="46" t="str">
        <f>IF($A67="","",IF(N(Needs_Gaps!O67)&gt;0,"Yes",""))</f>
        <v/>
      </c>
      <c r="AD67" s="46" t="str">
        <f>IF($A67="","",IF(COUNTIFS(Maintenance_Log!$C$5:$C$40,$A67,Maintenance_Log!$H$5:$H$40,"&lt;&gt;Resolved")&gt;0,"Yes",""))</f>
        <v/>
      </c>
      <c r="AE67" s="46">
        <f t="shared" si="2"/>
        <v>0</v>
      </c>
      <c r="AF67" s="46">
        <f t="shared" si="3"/>
        <v>0</v>
      </c>
      <c r="AG67" s="46">
        <f>IFERROR(MATCH(ROW()-4,Import_Index!$H$5:$H$304,0),"")</f>
        <v>90</v>
      </c>
    </row>
    <row r="68" spans="1:33" x14ac:dyDescent="0.3">
      <c r="A68" s="46" t="str">
        <f>IF($AG68="","",IFERROR(INDEX(Kobo_Import!$A$2:$CZ$301,$AG68,Field_Map!$B$13)&amp;"",""))</f>
        <v>HH-064</v>
      </c>
      <c r="B68" s="46" t="str">
        <f>IF($AG68="","",IF(IFERROR(INDEX(Kobo_Import!$A$2:$CZ$301,$AG68,Field_Map!$B$9)&amp;"","")="","",IFERROR(INDEX(Lists!$N$5:$N$19,MATCH(INDEX(Kobo_Import!$A$2:$CZ$301,$AG68,Field_Map!$B$9)&amp;"",Lists!$M$5:$M$19,0)),INDEX(Kobo_Import!$A$2:$CZ$301,$AG68,Field_Map!$B$9)&amp;"")))</f>
        <v>Site B – School Shelter</v>
      </c>
      <c r="C68" s="46" t="str">
        <f>IF($AG68="","",IF(IFERROR(INDEX(Kobo_Import!$A$2:$CZ$301,$AG68,Field_Map!$B$14)&amp;"","")="","",IFERROR(INDEX(Lists!$N$5:$N$19,MATCH(INDEX(Kobo_Import!$A$2:$CZ$301,$AG68,Field_Map!$B$14)&amp;"",Lists!$M$5:$M$19,0)),INDEX(Kobo_Import!$A$2:$CZ$301,$AG68,Field_Map!$B$14)&amp;"")))</f>
        <v>Classroom</v>
      </c>
      <c r="D68" s="46" t="str">
        <f>IF($AG68="","",IF(IFERROR(INDEX(Kobo_Import!$A$2:$CZ$301,$AG68,Field_Map!$B$15)&amp;"","")="","",IFERROR(INDEX(Lists!$N$5:$N$19,MATCH(INDEX(Kobo_Import!$A$2:$CZ$301,$AG68,Field_Map!$B$15)&amp;"",Lists!$M$5:$M$19,0)),INDEX(Kobo_Import!$A$2:$CZ$301,$AG68,Field_Map!$B$15)&amp;"")))</f>
        <v>Adequate</v>
      </c>
      <c r="E68" s="49">
        <f>IF($A68="","",IFERROR(INDEX(Import_Index!$D$5:$D$304,MATCH($A68&amp;"|registration",Import_Index!$I$5:$I$304,0)),F68))</f>
        <v>46042</v>
      </c>
      <c r="F68" s="49">
        <f>IF($AG68="","",INDEX(Import_Index!$D$5:$D$304,$AG68))</f>
        <v>46042</v>
      </c>
      <c r="G68" s="46">
        <f>IF($A68="","",COUNTIFS(Import_Index!$B$5:$B$304,$A68,Import_Index!$C$5:$C$304,"yes"))</f>
        <v>1</v>
      </c>
      <c r="H68" s="46">
        <f>IF($AG68="","",IFERROR(VALUE(INDEX(Kobo_Import!$A$2:$CZ$301,$AG68,Field_Map!$B$16)&amp;""),0))</f>
        <v>3</v>
      </c>
      <c r="I68" s="46" t="str">
        <f>IF($AG68="","",IF(IFERROR(INDEX(Kobo_Import!$A$2:$CZ$301,$AG68,Field_Map!$B$17)&amp;"","")="","",IFERROR(INDEX(Lists!$N$5:$N$19,MATCH(INDEX(Kobo_Import!$A$2:$CZ$301,$AG68,Field_Map!$B$17)&amp;"",Lists!$M$5:$M$19,0)),INDEX(Kobo_Import!$A$2:$CZ$301,$AG68,Field_Map!$B$17)&amp;"")))</f>
        <v>Yes</v>
      </c>
      <c r="J68" s="46">
        <f>IF($AG68="","",IFERROR(VALUE(INDEX(Kobo_Import!$A$2:$CZ$301,$AG68,Field_Map!$B$18)&amp;""),0))</f>
        <v>1</v>
      </c>
      <c r="K68" s="46">
        <f>IF($AG68="","",IFERROR(VALUE(INDEX(Kobo_Import!$A$2:$CZ$301,$AG68,Field_Map!$B$19)&amp;""),0))</f>
        <v>0</v>
      </c>
      <c r="L68" s="46">
        <f>IF($AG68="","",IFERROR(VALUE(INDEX(Kobo_Import!$A$2:$CZ$301,$AG68,Field_Map!$B$20)&amp;""),0))</f>
        <v>1</v>
      </c>
      <c r="M68" s="46">
        <f>IF($AG68="","",IFERROR(VALUE(INDEX(Kobo_Import!$A$2:$CZ$301,$AG68,Field_Map!$B$21)&amp;""),0))</f>
        <v>1</v>
      </c>
      <c r="N68" s="46">
        <f>IF($AG68="","",IFERROR(VALUE(INDEX(Kobo_Import!$A$2:$CZ$301,$AG68,Field_Map!$B$22)&amp;""),0))</f>
        <v>1</v>
      </c>
      <c r="O68" s="46">
        <f>IF($AG68="","",IFERROR(VALUE(INDEX(Kobo_Import!$A$2:$CZ$301,$AG68,Field_Map!$B$23)&amp;""),0))</f>
        <v>1</v>
      </c>
      <c r="P68" s="46">
        <f>IF($AG68="","",IFERROR(VALUE(INDEX(Kobo_Import!$A$2:$CZ$301,$AG68,Field_Map!$B$24)&amp;""),0))</f>
        <v>0</v>
      </c>
      <c r="Q68" s="46">
        <f>IF($AG68="","",IFERROR(VALUE(INDEX(Kobo_Import!$A$2:$CZ$301,$AG68,Field_Map!$B$25)&amp;""),0))</f>
        <v>0</v>
      </c>
      <c r="R68" s="46">
        <f>IF($AG68="","",IFERROR(VALUE(INDEX(Kobo_Import!$A$2:$CZ$301,$AG68,Field_Map!$B$26)&amp;""),0))</f>
        <v>1</v>
      </c>
      <c r="S68" s="46">
        <f>IF($AG68="","",IFERROR(VALUE(INDEX(Kobo_Import!$A$2:$CZ$301,$AG68,Field_Map!$B$27)&amp;""),0))</f>
        <v>1</v>
      </c>
      <c r="T68" s="46">
        <f>IF($AG68="","",IFERROR(VALUE(INDEX(Kobo_Import!$A$2:$CZ$301,$AG68,Field_Map!$B$28)&amp;""),0))</f>
        <v>2</v>
      </c>
      <c r="U68" s="46" t="str">
        <f>IF($AG68="","",IF(IFERROR(INDEX(Kobo_Import!$A$2:$CZ$301,$AG68,Field_Map!$B$29)&amp;"","")="","",IFERROR(INDEX(Lists!$N$5:$N$19,MATCH(INDEX(Kobo_Import!$A$2:$CZ$301,$AG68,Field_Map!$B$29)&amp;"",Lists!$M$5:$M$19,0)),INDEX(Kobo_Import!$A$2:$CZ$301,$AG68,Field_Map!$B$29)&amp;"")))</f>
        <v>No</v>
      </c>
      <c r="V68" s="50">
        <f>IF($A68="","",Settings!$B$5-F68)</f>
        <v>11</v>
      </c>
      <c r="W68" s="46">
        <f>IF($A68="","",(J68&gt;0)*Settings!$B$22+(P68&gt;0)*Settings!$B$23+(M68&gt;0)*Settings!$B$24+(O68&gt;0)*Settings!$B$25+(I68="Yes")*Settings!$B$26+(D68="Unusable")*Settings!$B$27+(D68="Damaged")*Settings!$B$28+(H68&gt;=Settings!$B$30)*Settings!$B$29)</f>
        <v>5</v>
      </c>
      <c r="X68" s="46" t="str">
        <f>IF($A68="","",IF(W68&gt;=Settings!$B$31,"High",IF(W68&gt;=Settings!$B$32,"Medium","Low")))</f>
        <v>High</v>
      </c>
      <c r="Y68" s="46" t="str">
        <f>IF($A68="","",IF(V68&gt;Settings!$B$21,"Yes",""))</f>
        <v/>
      </c>
      <c r="Z68" s="46">
        <f>IF($A68="","",COUNTIFS(Referrals!$B$5:$B$52,$A68,Referrals!$G$5:$G$52,"Referred")+COUNTIFS(Referrals!$B$5:$B$52,$A68,Referrals!$G$5:$G$52,"Acknowledged"))</f>
        <v>0</v>
      </c>
      <c r="AA68" s="46">
        <f>IF($A68="","",COUNTIFS(Referrals!$B$5:$B$52,$A68,Referrals!$K$5:$K$52,"Overdue"))</f>
        <v>0</v>
      </c>
      <c r="AB68" s="46" t="str">
        <f>IF($A68="","",IF(AND(J68&gt;0,U68="Yes"),IF(COUNTIFS(Referrals!$B$5:$B$52,$A68,Referrals!$D$5:$D$52,"Nutrition / IYCF")=0,"Referral needed","Referred"),""))</f>
        <v/>
      </c>
      <c r="AC68" s="46" t="str">
        <f>IF($A68="","",IF(N(Needs_Gaps!O68)&gt;0,"Yes",""))</f>
        <v/>
      </c>
      <c r="AD68" s="46" t="str">
        <f>IF($A68="","",IF(COUNTIFS(Maintenance_Log!$C$5:$C$40,$A68,Maintenance_Log!$H$5:$H$40,"&lt;&gt;Resolved")&gt;0,"Yes",""))</f>
        <v/>
      </c>
      <c r="AE68" s="46">
        <f t="shared" si="2"/>
        <v>0</v>
      </c>
      <c r="AF68" s="46">
        <f t="shared" si="3"/>
        <v>0</v>
      </c>
      <c r="AG68" s="46">
        <f>IFERROR(MATCH(ROW()-4,Import_Index!$H$5:$H$304,0),"")</f>
        <v>110</v>
      </c>
    </row>
    <row r="69" spans="1:33" x14ac:dyDescent="0.3">
      <c r="A69" s="46" t="str">
        <f>IF($AG69="","",IFERROR(INDEX(Kobo_Import!$A$2:$CZ$301,$AG69,Field_Map!$B$13)&amp;"",""))</f>
        <v>HH-065</v>
      </c>
      <c r="B69" s="46" t="str">
        <f>IF($AG69="","",IF(IFERROR(INDEX(Kobo_Import!$A$2:$CZ$301,$AG69,Field_Map!$B$9)&amp;"","")="","",IFERROR(INDEX(Lists!$N$5:$N$19,MATCH(INDEX(Kobo_Import!$A$2:$CZ$301,$AG69,Field_Map!$B$9)&amp;"",Lists!$M$5:$M$19,0)),INDEX(Kobo_Import!$A$2:$CZ$301,$AG69,Field_Map!$B$9)&amp;"")))</f>
        <v>Site C – Informal Tent Area</v>
      </c>
      <c r="C69" s="46" t="str">
        <f>IF($AG69="","",IF(IFERROR(INDEX(Kobo_Import!$A$2:$CZ$301,$AG69,Field_Map!$B$14)&amp;"","")="","",IFERROR(INDEX(Lists!$N$5:$N$19,MATCH(INDEX(Kobo_Import!$A$2:$CZ$301,$AG69,Field_Map!$B$14)&amp;"",Lists!$M$5:$M$19,0)),INDEX(Kobo_Import!$A$2:$CZ$301,$AG69,Field_Map!$B$14)&amp;"")))</f>
        <v>Tent</v>
      </c>
      <c r="D69" s="46" t="str">
        <f>IF($AG69="","",IF(IFERROR(INDEX(Kobo_Import!$A$2:$CZ$301,$AG69,Field_Map!$B$15)&amp;"","")="","",IFERROR(INDEX(Lists!$N$5:$N$19,MATCH(INDEX(Kobo_Import!$A$2:$CZ$301,$AG69,Field_Map!$B$15)&amp;"",Lists!$M$5:$M$19,0)),INDEX(Kobo_Import!$A$2:$CZ$301,$AG69,Field_Map!$B$15)&amp;"")))</f>
        <v>Damaged</v>
      </c>
      <c r="E69" s="49">
        <f>IF($A69="","",IFERROR(INDEX(Import_Index!$D$5:$D$304,MATCH($A69&amp;"|registration",Import_Index!$I$5:$I$304,0)),F69))</f>
        <v>46009</v>
      </c>
      <c r="F69" s="49">
        <f>IF($AG69="","",INDEX(Import_Index!$D$5:$D$304,$AG69))</f>
        <v>46009</v>
      </c>
      <c r="G69" s="46">
        <f>IF($A69="","",COUNTIFS(Import_Index!$B$5:$B$304,$A69,Import_Index!$C$5:$C$304,"yes"))</f>
        <v>1</v>
      </c>
      <c r="H69" s="46">
        <f>IF($AG69="","",IFERROR(VALUE(INDEX(Kobo_Import!$A$2:$CZ$301,$AG69,Field_Map!$B$16)&amp;""),0))</f>
        <v>8</v>
      </c>
      <c r="I69" s="46" t="str">
        <f>IF($AG69="","",IF(IFERROR(INDEX(Kobo_Import!$A$2:$CZ$301,$AG69,Field_Map!$B$17)&amp;"","")="","",IFERROR(INDEX(Lists!$N$5:$N$19,MATCH(INDEX(Kobo_Import!$A$2:$CZ$301,$AG69,Field_Map!$B$17)&amp;"",Lists!$M$5:$M$19,0)),INDEX(Kobo_Import!$A$2:$CZ$301,$AG69,Field_Map!$B$17)&amp;"")))</f>
        <v>No</v>
      </c>
      <c r="J69" s="46">
        <f>IF($AG69="","",IFERROR(VALUE(INDEX(Kobo_Import!$A$2:$CZ$301,$AG69,Field_Map!$B$18)&amp;""),0))</f>
        <v>0</v>
      </c>
      <c r="K69" s="46">
        <f>IF($AG69="","",IFERROR(VALUE(INDEX(Kobo_Import!$A$2:$CZ$301,$AG69,Field_Map!$B$19)&amp;""),0))</f>
        <v>6</v>
      </c>
      <c r="L69" s="46">
        <f>IF($AG69="","",IFERROR(VALUE(INDEX(Kobo_Import!$A$2:$CZ$301,$AG69,Field_Map!$B$20)&amp;""),0))</f>
        <v>2</v>
      </c>
      <c r="M69" s="46">
        <f>IF($AG69="","",IFERROR(VALUE(INDEX(Kobo_Import!$A$2:$CZ$301,$AG69,Field_Map!$B$21)&amp;""),0))</f>
        <v>0</v>
      </c>
      <c r="N69" s="46">
        <f>IF($AG69="","",IFERROR(VALUE(INDEX(Kobo_Import!$A$2:$CZ$301,$AG69,Field_Map!$B$22)&amp;""),0))</f>
        <v>1</v>
      </c>
      <c r="O69" s="46">
        <f>IF($AG69="","",IFERROR(VALUE(INDEX(Kobo_Import!$A$2:$CZ$301,$AG69,Field_Map!$B$23)&amp;""),0))</f>
        <v>0</v>
      </c>
      <c r="P69" s="46">
        <f>IF($AG69="","",IFERROR(VALUE(INDEX(Kobo_Import!$A$2:$CZ$301,$AG69,Field_Map!$B$24)&amp;""),0))</f>
        <v>0</v>
      </c>
      <c r="Q69" s="46">
        <f>IF($AG69="","",IFERROR(VALUE(INDEX(Kobo_Import!$A$2:$CZ$301,$AG69,Field_Map!$B$25)&amp;""),0))</f>
        <v>8</v>
      </c>
      <c r="R69" s="46">
        <f>IF($AG69="","",IFERROR(VALUE(INDEX(Kobo_Import!$A$2:$CZ$301,$AG69,Field_Map!$B$26)&amp;""),0))</f>
        <v>8</v>
      </c>
      <c r="S69" s="46">
        <f>IF($AG69="","",IFERROR(VALUE(INDEX(Kobo_Import!$A$2:$CZ$301,$AG69,Field_Map!$B$27)&amp;""),0))</f>
        <v>1</v>
      </c>
      <c r="T69" s="46">
        <f>IF($AG69="","",IFERROR(VALUE(INDEX(Kobo_Import!$A$2:$CZ$301,$AG69,Field_Map!$B$28)&amp;""),0))</f>
        <v>1</v>
      </c>
      <c r="U69" s="46" t="str">
        <f>IF($AG69="","",IF(IFERROR(INDEX(Kobo_Import!$A$2:$CZ$301,$AG69,Field_Map!$B$29)&amp;"","")="","",IFERROR(INDEX(Lists!$N$5:$N$19,MATCH(INDEX(Kobo_Import!$A$2:$CZ$301,$AG69,Field_Map!$B$29)&amp;"",Lists!$M$5:$M$19,0)),INDEX(Kobo_Import!$A$2:$CZ$301,$AG69,Field_Map!$B$29)&amp;"")))</f>
        <v/>
      </c>
      <c r="V69" s="50">
        <f>IF($A69="","",Settings!$B$5-F69)</f>
        <v>44</v>
      </c>
      <c r="W69" s="46">
        <f>IF($A69="","",(J69&gt;0)*Settings!$B$22+(P69&gt;0)*Settings!$B$23+(M69&gt;0)*Settings!$B$24+(O69&gt;0)*Settings!$B$25+(I69="Yes")*Settings!$B$26+(D69="Unusable")*Settings!$B$27+(D69="Damaged")*Settings!$B$28+(H69&gt;=Settings!$B$30)*Settings!$B$29)</f>
        <v>1</v>
      </c>
      <c r="X69" s="46" t="str">
        <f>IF($A69="","",IF(W69&gt;=Settings!$B$31,"High",IF(W69&gt;=Settings!$B$32,"Medium","Low")))</f>
        <v>Low</v>
      </c>
      <c r="Y69" s="46" t="str">
        <f>IF($A69="","",IF(V69&gt;Settings!$B$21,"Yes",""))</f>
        <v>Yes</v>
      </c>
      <c r="Z69" s="46">
        <f>IF($A69="","",COUNTIFS(Referrals!$B$5:$B$52,$A69,Referrals!$G$5:$G$52,"Referred")+COUNTIFS(Referrals!$B$5:$B$52,$A69,Referrals!$G$5:$G$52,"Acknowledged"))</f>
        <v>0</v>
      </c>
      <c r="AA69" s="46">
        <f>IF($A69="","",COUNTIFS(Referrals!$B$5:$B$52,$A69,Referrals!$K$5:$K$52,"Overdue"))</f>
        <v>0</v>
      </c>
      <c r="AB69" s="46" t="str">
        <f>IF($A69="","",IF(AND(J69&gt;0,U69="Yes"),IF(COUNTIFS(Referrals!$B$5:$B$52,$A69,Referrals!$D$5:$D$52,"Nutrition / IYCF")=0,"Referral needed","Referred"),""))</f>
        <v/>
      </c>
      <c r="AC69" s="46" t="str">
        <f>IF($A69="","",IF(N(Needs_Gaps!O69)&gt;0,"Yes",""))</f>
        <v/>
      </c>
      <c r="AD69" s="46" t="str">
        <f>IF($A69="","",IF(COUNTIFS(Maintenance_Log!$C$5:$C$40,$A69,Maintenance_Log!$H$5:$H$40,"&lt;&gt;Resolved")&gt;0,"Yes",""))</f>
        <v/>
      </c>
      <c r="AE69" s="46">
        <f t="shared" ref="AE69:AE100" si="4">IF($A69="","",(Y69="Yes")+(AA69&gt;0)+(AB69="Referral needed")+(AC69="Yes")+(AD69="Yes"))</f>
        <v>1</v>
      </c>
      <c r="AF69" s="46">
        <f t="shared" ref="AF69:AF100" si="5">IF($A69="",0,IF(AE69&gt;0,AE69*100000+W69*1000+(1000-(ROW()-4)),0))</f>
        <v>101935</v>
      </c>
      <c r="AG69" s="46">
        <f>IFERROR(MATCH(ROW()-4,Import_Index!$H$5:$H$304,0),"")</f>
        <v>8</v>
      </c>
    </row>
    <row r="70" spans="1:33" x14ac:dyDescent="0.3">
      <c r="A70" s="46" t="str">
        <f>IF($AG70="","",IFERROR(INDEX(Kobo_Import!$A$2:$CZ$301,$AG70,Field_Map!$B$13)&amp;"",""))</f>
        <v>HH-066</v>
      </c>
      <c r="B70" s="46" t="str">
        <f>IF($AG70="","",IF(IFERROR(INDEX(Kobo_Import!$A$2:$CZ$301,$AG70,Field_Map!$B$9)&amp;"","")="","",IFERROR(INDEX(Lists!$N$5:$N$19,MATCH(INDEX(Kobo_Import!$A$2:$CZ$301,$AG70,Field_Map!$B$9)&amp;"",Lists!$M$5:$M$19,0)),INDEX(Kobo_Import!$A$2:$CZ$301,$AG70,Field_Map!$B$9)&amp;"")))</f>
        <v>Site C – Informal Tent Area</v>
      </c>
      <c r="C70" s="46" t="str">
        <f>IF($AG70="","",IF(IFERROR(INDEX(Kobo_Import!$A$2:$CZ$301,$AG70,Field_Map!$B$14)&amp;"","")="","",IFERROR(INDEX(Lists!$N$5:$N$19,MATCH(INDEX(Kobo_Import!$A$2:$CZ$301,$AG70,Field_Map!$B$14)&amp;"",Lists!$M$5:$M$19,0)),INDEX(Kobo_Import!$A$2:$CZ$301,$AG70,Field_Map!$B$14)&amp;"")))</f>
        <v>Tent</v>
      </c>
      <c r="D70" s="46" t="str">
        <f>IF($AG70="","",IF(IFERROR(INDEX(Kobo_Import!$A$2:$CZ$301,$AG70,Field_Map!$B$15)&amp;"","")="","",IFERROR(INDEX(Lists!$N$5:$N$19,MATCH(INDEX(Kobo_Import!$A$2:$CZ$301,$AG70,Field_Map!$B$15)&amp;"",Lists!$M$5:$M$19,0)),INDEX(Kobo_Import!$A$2:$CZ$301,$AG70,Field_Map!$B$15)&amp;"")))</f>
        <v>Damaged</v>
      </c>
      <c r="E70" s="49">
        <f>IF($A70="","",IFERROR(INDEX(Import_Index!$D$5:$D$304,MATCH($A70&amp;"|registration",Import_Index!$I$5:$I$304,0)),F70))</f>
        <v>46033</v>
      </c>
      <c r="F70" s="49">
        <f>IF($AG70="","",INDEX(Import_Index!$D$5:$D$304,$AG70))</f>
        <v>46033</v>
      </c>
      <c r="G70" s="46">
        <f>IF($A70="","",COUNTIFS(Import_Index!$B$5:$B$304,$A70,Import_Index!$C$5:$C$304,"yes"))</f>
        <v>1</v>
      </c>
      <c r="H70" s="46">
        <f>IF($AG70="","",IFERROR(VALUE(INDEX(Kobo_Import!$A$2:$CZ$301,$AG70,Field_Map!$B$16)&amp;""),0))</f>
        <v>6</v>
      </c>
      <c r="I70" s="46" t="str">
        <f>IF($AG70="","",IF(IFERROR(INDEX(Kobo_Import!$A$2:$CZ$301,$AG70,Field_Map!$B$17)&amp;"","")="","",IFERROR(INDEX(Lists!$N$5:$N$19,MATCH(INDEX(Kobo_Import!$A$2:$CZ$301,$AG70,Field_Map!$B$17)&amp;"",Lists!$M$5:$M$19,0)),INDEX(Kobo_Import!$A$2:$CZ$301,$AG70,Field_Map!$B$17)&amp;"")))</f>
        <v>No</v>
      </c>
      <c r="J70" s="46">
        <f>IF($AG70="","",IFERROR(VALUE(INDEX(Kobo_Import!$A$2:$CZ$301,$AG70,Field_Map!$B$18)&amp;""),0))</f>
        <v>0</v>
      </c>
      <c r="K70" s="46">
        <f>IF($AG70="","",IFERROR(VALUE(INDEX(Kobo_Import!$A$2:$CZ$301,$AG70,Field_Map!$B$19)&amp;""),0))</f>
        <v>3</v>
      </c>
      <c r="L70" s="46">
        <f>IF($AG70="","",IFERROR(VALUE(INDEX(Kobo_Import!$A$2:$CZ$301,$AG70,Field_Map!$B$20)&amp;""),0))</f>
        <v>3</v>
      </c>
      <c r="M70" s="46">
        <f>IF($AG70="","",IFERROR(VALUE(INDEX(Kobo_Import!$A$2:$CZ$301,$AG70,Field_Map!$B$21)&amp;""),0))</f>
        <v>0</v>
      </c>
      <c r="N70" s="46">
        <f>IF($AG70="","",IFERROR(VALUE(INDEX(Kobo_Import!$A$2:$CZ$301,$AG70,Field_Map!$B$22)&amp;""),0))</f>
        <v>2</v>
      </c>
      <c r="O70" s="46">
        <f>IF($AG70="","",IFERROR(VALUE(INDEX(Kobo_Import!$A$2:$CZ$301,$AG70,Field_Map!$B$23)&amp;""),0))</f>
        <v>0</v>
      </c>
      <c r="P70" s="46">
        <f>IF($AG70="","",IFERROR(VALUE(INDEX(Kobo_Import!$A$2:$CZ$301,$AG70,Field_Map!$B$24)&amp;""),0))</f>
        <v>0</v>
      </c>
      <c r="Q70" s="46">
        <f>IF($AG70="","",IFERROR(VALUE(INDEX(Kobo_Import!$A$2:$CZ$301,$AG70,Field_Map!$B$25)&amp;""),0))</f>
        <v>8</v>
      </c>
      <c r="R70" s="46">
        <f>IF($AG70="","",IFERROR(VALUE(INDEX(Kobo_Import!$A$2:$CZ$301,$AG70,Field_Map!$B$26)&amp;""),0))</f>
        <v>5</v>
      </c>
      <c r="S70" s="46">
        <f>IF($AG70="","",IFERROR(VALUE(INDEX(Kobo_Import!$A$2:$CZ$301,$AG70,Field_Map!$B$27)&amp;""),0))</f>
        <v>1</v>
      </c>
      <c r="T70" s="46">
        <f>IF($AG70="","",IFERROR(VALUE(INDEX(Kobo_Import!$A$2:$CZ$301,$AG70,Field_Map!$B$28)&amp;""),0))</f>
        <v>0</v>
      </c>
      <c r="U70" s="46" t="str">
        <f>IF($AG70="","",IF(IFERROR(INDEX(Kobo_Import!$A$2:$CZ$301,$AG70,Field_Map!$B$29)&amp;"","")="","",IFERROR(INDEX(Lists!$N$5:$N$19,MATCH(INDEX(Kobo_Import!$A$2:$CZ$301,$AG70,Field_Map!$B$29)&amp;"",Lists!$M$5:$M$19,0)),INDEX(Kobo_Import!$A$2:$CZ$301,$AG70,Field_Map!$B$29)&amp;"")))</f>
        <v/>
      </c>
      <c r="V70" s="50">
        <f>IF($A70="","",Settings!$B$5-F70)</f>
        <v>20</v>
      </c>
      <c r="W70" s="46">
        <f>IF($A70="","",(J70&gt;0)*Settings!$B$22+(P70&gt;0)*Settings!$B$23+(M70&gt;0)*Settings!$B$24+(O70&gt;0)*Settings!$B$25+(I70="Yes")*Settings!$B$26+(D70="Unusable")*Settings!$B$27+(D70="Damaged")*Settings!$B$28+(H70&gt;=Settings!$B$30)*Settings!$B$29)</f>
        <v>1</v>
      </c>
      <c r="X70" s="46" t="str">
        <f>IF($A70="","",IF(W70&gt;=Settings!$B$31,"High",IF(W70&gt;=Settings!$B$32,"Medium","Low")))</f>
        <v>Low</v>
      </c>
      <c r="Y70" s="46" t="str">
        <f>IF($A70="","",IF(V70&gt;Settings!$B$21,"Yes",""))</f>
        <v/>
      </c>
      <c r="Z70" s="46">
        <f>IF($A70="","",COUNTIFS(Referrals!$B$5:$B$52,$A70,Referrals!$G$5:$G$52,"Referred")+COUNTIFS(Referrals!$B$5:$B$52,$A70,Referrals!$G$5:$G$52,"Acknowledged"))</f>
        <v>0</v>
      </c>
      <c r="AA70" s="46">
        <f>IF($A70="","",COUNTIFS(Referrals!$B$5:$B$52,$A70,Referrals!$K$5:$K$52,"Overdue"))</f>
        <v>0</v>
      </c>
      <c r="AB70" s="46" t="str">
        <f>IF($A70="","",IF(AND(J70&gt;0,U70="Yes"),IF(COUNTIFS(Referrals!$B$5:$B$52,$A70,Referrals!$D$5:$D$52,"Nutrition / IYCF")=0,"Referral needed","Referred"),""))</f>
        <v/>
      </c>
      <c r="AC70" s="46" t="str">
        <f>IF($A70="","",IF(N(Needs_Gaps!O70)&gt;0,"Yes",""))</f>
        <v/>
      </c>
      <c r="AD70" s="46" t="str">
        <f>IF($A70="","",IF(COUNTIFS(Maintenance_Log!$C$5:$C$40,$A70,Maintenance_Log!$H$5:$H$40,"&lt;&gt;Resolved")&gt;0,"Yes",""))</f>
        <v/>
      </c>
      <c r="AE70" s="46">
        <f t="shared" si="4"/>
        <v>0</v>
      </c>
      <c r="AF70" s="46">
        <f t="shared" si="5"/>
        <v>0</v>
      </c>
      <c r="AG70" s="46">
        <f>IFERROR(MATCH(ROW()-4,Import_Index!$H$5:$H$304,0),"")</f>
        <v>71</v>
      </c>
    </row>
    <row r="71" spans="1:33" x14ac:dyDescent="0.3">
      <c r="A71" s="46" t="str">
        <f>IF($AG71="","",IFERROR(INDEX(Kobo_Import!$A$2:$CZ$301,$AG71,Field_Map!$B$13)&amp;"",""))</f>
        <v>HH-067</v>
      </c>
      <c r="B71" s="46" t="str">
        <f>IF($AG71="","",IF(IFERROR(INDEX(Kobo_Import!$A$2:$CZ$301,$AG71,Field_Map!$B$9)&amp;"","")="","",IFERROR(INDEX(Lists!$N$5:$N$19,MATCH(INDEX(Kobo_Import!$A$2:$CZ$301,$AG71,Field_Map!$B$9)&amp;"",Lists!$M$5:$M$19,0)),INDEX(Kobo_Import!$A$2:$CZ$301,$AG71,Field_Map!$B$9)&amp;"")))</f>
        <v>Site C – Informal Tent Area</v>
      </c>
      <c r="C71" s="46" t="str">
        <f>IF($AG71="","",IF(IFERROR(INDEX(Kobo_Import!$A$2:$CZ$301,$AG71,Field_Map!$B$14)&amp;"","")="","",IFERROR(INDEX(Lists!$N$5:$N$19,MATCH(INDEX(Kobo_Import!$A$2:$CZ$301,$AG71,Field_Map!$B$14)&amp;"",Lists!$M$5:$M$19,0)),INDEX(Kobo_Import!$A$2:$CZ$301,$AG71,Field_Map!$B$14)&amp;"")))</f>
        <v>Tent</v>
      </c>
      <c r="D71" s="46" t="str">
        <f>IF($AG71="","",IF(IFERROR(INDEX(Kobo_Import!$A$2:$CZ$301,$AG71,Field_Map!$B$15)&amp;"","")="","",IFERROR(INDEX(Lists!$N$5:$N$19,MATCH(INDEX(Kobo_Import!$A$2:$CZ$301,$AG71,Field_Map!$B$15)&amp;"",Lists!$M$5:$M$19,0)),INDEX(Kobo_Import!$A$2:$CZ$301,$AG71,Field_Map!$B$15)&amp;"")))</f>
        <v>Adequate</v>
      </c>
      <c r="E71" s="49">
        <f>IF($A71="","",IFERROR(INDEX(Import_Index!$D$5:$D$304,MATCH($A71&amp;"|registration",Import_Index!$I$5:$I$304,0)),F71))</f>
        <v>46036</v>
      </c>
      <c r="F71" s="49">
        <f>IF($AG71="","",INDEX(Import_Index!$D$5:$D$304,$AG71))</f>
        <v>46036</v>
      </c>
      <c r="G71" s="46">
        <f>IF($A71="","",COUNTIFS(Import_Index!$B$5:$B$304,$A71,Import_Index!$C$5:$C$304,"yes"))</f>
        <v>1</v>
      </c>
      <c r="H71" s="46">
        <f>IF($AG71="","",IFERROR(VALUE(INDEX(Kobo_Import!$A$2:$CZ$301,$AG71,Field_Map!$B$16)&amp;""),0))</f>
        <v>8</v>
      </c>
      <c r="I71" s="46" t="str">
        <f>IF($AG71="","",IF(IFERROR(INDEX(Kobo_Import!$A$2:$CZ$301,$AG71,Field_Map!$B$17)&amp;"","")="","",IFERROR(INDEX(Lists!$N$5:$N$19,MATCH(INDEX(Kobo_Import!$A$2:$CZ$301,$AG71,Field_Map!$B$17)&amp;"",Lists!$M$5:$M$19,0)),INDEX(Kobo_Import!$A$2:$CZ$301,$AG71,Field_Map!$B$17)&amp;"")))</f>
        <v>No</v>
      </c>
      <c r="J71" s="46">
        <f>IF($AG71="","",IFERROR(VALUE(INDEX(Kobo_Import!$A$2:$CZ$301,$AG71,Field_Map!$B$18)&amp;""),0))</f>
        <v>0</v>
      </c>
      <c r="K71" s="46">
        <f>IF($AG71="","",IFERROR(VALUE(INDEX(Kobo_Import!$A$2:$CZ$301,$AG71,Field_Map!$B$19)&amp;""),0))</f>
        <v>5</v>
      </c>
      <c r="L71" s="46">
        <f>IF($AG71="","",IFERROR(VALUE(INDEX(Kobo_Import!$A$2:$CZ$301,$AG71,Field_Map!$B$20)&amp;""),0))</f>
        <v>2</v>
      </c>
      <c r="M71" s="46">
        <f>IF($AG71="","",IFERROR(VALUE(INDEX(Kobo_Import!$A$2:$CZ$301,$AG71,Field_Map!$B$21)&amp;""),0))</f>
        <v>1</v>
      </c>
      <c r="N71" s="46">
        <f>IF($AG71="","",IFERROR(VALUE(INDEX(Kobo_Import!$A$2:$CZ$301,$AG71,Field_Map!$B$22)&amp;""),0))</f>
        <v>2</v>
      </c>
      <c r="O71" s="46">
        <f>IF($AG71="","",IFERROR(VALUE(INDEX(Kobo_Import!$A$2:$CZ$301,$AG71,Field_Map!$B$23)&amp;""),0))</f>
        <v>0</v>
      </c>
      <c r="P71" s="46">
        <f>IF($AG71="","",IFERROR(VALUE(INDEX(Kobo_Import!$A$2:$CZ$301,$AG71,Field_Map!$B$24)&amp;""),0))</f>
        <v>0</v>
      </c>
      <c r="Q71" s="46">
        <f>IF($AG71="","",IFERROR(VALUE(INDEX(Kobo_Import!$A$2:$CZ$301,$AG71,Field_Map!$B$25)&amp;""),0))</f>
        <v>4</v>
      </c>
      <c r="R71" s="46">
        <f>IF($AG71="","",IFERROR(VALUE(INDEX(Kobo_Import!$A$2:$CZ$301,$AG71,Field_Map!$B$26)&amp;""),0))</f>
        <v>2</v>
      </c>
      <c r="S71" s="46">
        <f>IF($AG71="","",IFERROR(VALUE(INDEX(Kobo_Import!$A$2:$CZ$301,$AG71,Field_Map!$B$27)&amp;""),0))</f>
        <v>5</v>
      </c>
      <c r="T71" s="46">
        <f>IF($AG71="","",IFERROR(VALUE(INDEX(Kobo_Import!$A$2:$CZ$301,$AG71,Field_Map!$B$28)&amp;""),0))</f>
        <v>1</v>
      </c>
      <c r="U71" s="46" t="str">
        <f>IF($AG71="","",IF(IFERROR(INDEX(Kobo_Import!$A$2:$CZ$301,$AG71,Field_Map!$B$29)&amp;"","")="","",IFERROR(INDEX(Lists!$N$5:$N$19,MATCH(INDEX(Kobo_Import!$A$2:$CZ$301,$AG71,Field_Map!$B$29)&amp;"",Lists!$M$5:$M$19,0)),INDEX(Kobo_Import!$A$2:$CZ$301,$AG71,Field_Map!$B$29)&amp;"")))</f>
        <v/>
      </c>
      <c r="V71" s="50">
        <f>IF($A71="","",Settings!$B$5-F71)</f>
        <v>17</v>
      </c>
      <c r="W71" s="46">
        <f>IF($A71="","",(J71&gt;0)*Settings!$B$22+(P71&gt;0)*Settings!$B$23+(M71&gt;0)*Settings!$B$24+(O71&gt;0)*Settings!$B$25+(I71="Yes")*Settings!$B$26+(D71="Unusable")*Settings!$B$27+(D71="Damaged")*Settings!$B$28+(H71&gt;=Settings!$B$30)*Settings!$B$29)</f>
        <v>1</v>
      </c>
      <c r="X71" s="46" t="str">
        <f>IF($A71="","",IF(W71&gt;=Settings!$B$31,"High",IF(W71&gt;=Settings!$B$32,"Medium","Low")))</f>
        <v>Low</v>
      </c>
      <c r="Y71" s="46" t="str">
        <f>IF($A71="","",IF(V71&gt;Settings!$B$21,"Yes",""))</f>
        <v/>
      </c>
      <c r="Z71" s="46">
        <f>IF($A71="","",COUNTIFS(Referrals!$B$5:$B$52,$A71,Referrals!$G$5:$G$52,"Referred")+COUNTIFS(Referrals!$B$5:$B$52,$A71,Referrals!$G$5:$G$52,"Acknowledged"))</f>
        <v>0</v>
      </c>
      <c r="AA71" s="46">
        <f>IF($A71="","",COUNTIFS(Referrals!$B$5:$B$52,$A71,Referrals!$K$5:$K$52,"Overdue"))</f>
        <v>0</v>
      </c>
      <c r="AB71" s="46" t="str">
        <f>IF($A71="","",IF(AND(J71&gt;0,U71="Yes"),IF(COUNTIFS(Referrals!$B$5:$B$52,$A71,Referrals!$D$5:$D$52,"Nutrition / IYCF")=0,"Referral needed","Referred"),""))</f>
        <v/>
      </c>
      <c r="AC71" s="46" t="str">
        <f>IF($A71="","",IF(N(Needs_Gaps!O71)&gt;0,"Yes",""))</f>
        <v/>
      </c>
      <c r="AD71" s="46" t="str">
        <f>IF($A71="","",IF(COUNTIFS(Maintenance_Log!$C$5:$C$40,$A71,Maintenance_Log!$H$5:$H$40,"&lt;&gt;Resolved")&gt;0,"Yes",""))</f>
        <v/>
      </c>
      <c r="AE71" s="46">
        <f t="shared" si="4"/>
        <v>0</v>
      </c>
      <c r="AF71" s="46">
        <f t="shared" si="5"/>
        <v>0</v>
      </c>
      <c r="AG71" s="46">
        <f>IFERROR(MATCH(ROW()-4,Import_Index!$H$5:$H$304,0),"")</f>
        <v>81</v>
      </c>
    </row>
    <row r="72" spans="1:33" x14ac:dyDescent="0.3">
      <c r="A72" s="46" t="str">
        <f>IF($AG72="","",IFERROR(INDEX(Kobo_Import!$A$2:$CZ$301,$AG72,Field_Map!$B$13)&amp;"",""))</f>
        <v>HH-068</v>
      </c>
      <c r="B72" s="46" t="str">
        <f>IF($AG72="","",IF(IFERROR(INDEX(Kobo_Import!$A$2:$CZ$301,$AG72,Field_Map!$B$9)&amp;"","")="","",IFERROR(INDEX(Lists!$N$5:$N$19,MATCH(INDEX(Kobo_Import!$A$2:$CZ$301,$AG72,Field_Map!$B$9)&amp;"",Lists!$M$5:$M$19,0)),INDEX(Kobo_Import!$A$2:$CZ$301,$AG72,Field_Map!$B$9)&amp;"")))</f>
        <v>Site C – Informal Tent Area</v>
      </c>
      <c r="C72" s="46" t="str">
        <f>IF($AG72="","",IF(IFERROR(INDEX(Kobo_Import!$A$2:$CZ$301,$AG72,Field_Map!$B$14)&amp;"","")="","",IFERROR(INDEX(Lists!$N$5:$N$19,MATCH(INDEX(Kobo_Import!$A$2:$CZ$301,$AG72,Field_Map!$B$14)&amp;"",Lists!$M$5:$M$19,0)),INDEX(Kobo_Import!$A$2:$CZ$301,$AG72,Field_Map!$B$14)&amp;"")))</f>
        <v>Tent</v>
      </c>
      <c r="D72" s="46" t="str">
        <f>IF($AG72="","",IF(IFERROR(INDEX(Kobo_Import!$A$2:$CZ$301,$AG72,Field_Map!$B$15)&amp;"","")="","",IFERROR(INDEX(Lists!$N$5:$N$19,MATCH(INDEX(Kobo_Import!$A$2:$CZ$301,$AG72,Field_Map!$B$15)&amp;"",Lists!$M$5:$M$19,0)),INDEX(Kobo_Import!$A$2:$CZ$301,$AG72,Field_Map!$B$15)&amp;"")))</f>
        <v>Damaged</v>
      </c>
      <c r="E72" s="49">
        <f>IF($A72="","",IFERROR(INDEX(Import_Index!$D$5:$D$304,MATCH($A72&amp;"|registration",Import_Index!$I$5:$I$304,0)),F72))</f>
        <v>46050</v>
      </c>
      <c r="F72" s="49">
        <f>IF($AG72="","",INDEX(Import_Index!$D$5:$D$304,$AG72))</f>
        <v>46050</v>
      </c>
      <c r="G72" s="46">
        <f>IF($A72="","",COUNTIFS(Import_Index!$B$5:$B$304,$A72,Import_Index!$C$5:$C$304,"yes"))</f>
        <v>1</v>
      </c>
      <c r="H72" s="46">
        <f>IF($AG72="","",IFERROR(VALUE(INDEX(Kobo_Import!$A$2:$CZ$301,$AG72,Field_Map!$B$16)&amp;""),0))</f>
        <v>4</v>
      </c>
      <c r="I72" s="46" t="str">
        <f>IF($AG72="","",IF(IFERROR(INDEX(Kobo_Import!$A$2:$CZ$301,$AG72,Field_Map!$B$17)&amp;"","")="","",IFERROR(INDEX(Lists!$N$5:$N$19,MATCH(INDEX(Kobo_Import!$A$2:$CZ$301,$AG72,Field_Map!$B$17)&amp;"",Lists!$M$5:$M$19,0)),INDEX(Kobo_Import!$A$2:$CZ$301,$AG72,Field_Map!$B$17)&amp;"")))</f>
        <v>Yes</v>
      </c>
      <c r="J72" s="46">
        <f>IF($AG72="","",IFERROR(VALUE(INDEX(Kobo_Import!$A$2:$CZ$301,$AG72,Field_Map!$B$18)&amp;""),0))</f>
        <v>1</v>
      </c>
      <c r="K72" s="46">
        <f>IF($AG72="","",IFERROR(VALUE(INDEX(Kobo_Import!$A$2:$CZ$301,$AG72,Field_Map!$B$19)&amp;""),0))</f>
        <v>2</v>
      </c>
      <c r="L72" s="46">
        <f>IF($AG72="","",IFERROR(VALUE(INDEX(Kobo_Import!$A$2:$CZ$301,$AG72,Field_Map!$B$20)&amp;""),0))</f>
        <v>1</v>
      </c>
      <c r="M72" s="46">
        <f>IF($AG72="","",IFERROR(VALUE(INDEX(Kobo_Import!$A$2:$CZ$301,$AG72,Field_Map!$B$21)&amp;""),0))</f>
        <v>0</v>
      </c>
      <c r="N72" s="46">
        <f>IF($AG72="","",IFERROR(VALUE(INDEX(Kobo_Import!$A$2:$CZ$301,$AG72,Field_Map!$B$22)&amp;""),0))</f>
        <v>2</v>
      </c>
      <c r="O72" s="46">
        <f>IF($AG72="","",IFERROR(VALUE(INDEX(Kobo_Import!$A$2:$CZ$301,$AG72,Field_Map!$B$23)&amp;""),0))</f>
        <v>1</v>
      </c>
      <c r="P72" s="46">
        <f>IF($AG72="","",IFERROR(VALUE(INDEX(Kobo_Import!$A$2:$CZ$301,$AG72,Field_Map!$B$24)&amp;""),0))</f>
        <v>0</v>
      </c>
      <c r="Q72" s="46">
        <f>IF($AG72="","",IFERROR(VALUE(INDEX(Kobo_Import!$A$2:$CZ$301,$AG72,Field_Map!$B$25)&amp;""),0))</f>
        <v>2</v>
      </c>
      <c r="R72" s="46">
        <f>IF($AG72="","",IFERROR(VALUE(INDEX(Kobo_Import!$A$2:$CZ$301,$AG72,Field_Map!$B$26)&amp;""),0))</f>
        <v>1</v>
      </c>
      <c r="S72" s="46">
        <f>IF($AG72="","",IFERROR(VALUE(INDEX(Kobo_Import!$A$2:$CZ$301,$AG72,Field_Map!$B$27)&amp;""),0))</f>
        <v>2</v>
      </c>
      <c r="T72" s="46">
        <f>IF($AG72="","",IFERROR(VALUE(INDEX(Kobo_Import!$A$2:$CZ$301,$AG72,Field_Map!$B$28)&amp;""),0))</f>
        <v>1</v>
      </c>
      <c r="U72" s="46" t="str">
        <f>IF($AG72="","",IF(IFERROR(INDEX(Kobo_Import!$A$2:$CZ$301,$AG72,Field_Map!$B$29)&amp;"","")="","",IFERROR(INDEX(Lists!$N$5:$N$19,MATCH(INDEX(Kobo_Import!$A$2:$CZ$301,$AG72,Field_Map!$B$29)&amp;"",Lists!$M$5:$M$19,0)),INDEX(Kobo_Import!$A$2:$CZ$301,$AG72,Field_Map!$B$29)&amp;"")))</f>
        <v>No</v>
      </c>
      <c r="V72" s="50">
        <f>IF($A72="","",Settings!$B$5-F72)</f>
        <v>3</v>
      </c>
      <c r="W72" s="46">
        <f>IF($A72="","",(J72&gt;0)*Settings!$B$22+(P72&gt;0)*Settings!$B$23+(M72&gt;0)*Settings!$B$24+(O72&gt;0)*Settings!$B$25+(I72="Yes")*Settings!$B$26+(D72="Unusable")*Settings!$B$27+(D72="Damaged")*Settings!$B$28+(H72&gt;=Settings!$B$30)*Settings!$B$29)</f>
        <v>5</v>
      </c>
      <c r="X72" s="46" t="str">
        <f>IF($A72="","",IF(W72&gt;=Settings!$B$31,"High",IF(W72&gt;=Settings!$B$32,"Medium","Low")))</f>
        <v>High</v>
      </c>
      <c r="Y72" s="46" t="str">
        <f>IF($A72="","",IF(V72&gt;Settings!$B$21,"Yes",""))</f>
        <v/>
      </c>
      <c r="Z72" s="46">
        <f>IF($A72="","",COUNTIFS(Referrals!$B$5:$B$52,$A72,Referrals!$G$5:$G$52,"Referred")+COUNTIFS(Referrals!$B$5:$B$52,$A72,Referrals!$G$5:$G$52,"Acknowledged"))</f>
        <v>0</v>
      </c>
      <c r="AA72" s="46">
        <f>IF($A72="","",COUNTIFS(Referrals!$B$5:$B$52,$A72,Referrals!$K$5:$K$52,"Overdue"))</f>
        <v>0</v>
      </c>
      <c r="AB72" s="46" t="str">
        <f>IF($A72="","",IF(AND(J72&gt;0,U72="Yes"),IF(COUNTIFS(Referrals!$B$5:$B$52,$A72,Referrals!$D$5:$D$52,"Nutrition / IYCF")=0,"Referral needed","Referred"),""))</f>
        <v/>
      </c>
      <c r="AC72" s="46" t="str">
        <f>IF($A72="","",IF(N(Needs_Gaps!O72)&gt;0,"Yes",""))</f>
        <v/>
      </c>
      <c r="AD72" s="46" t="str">
        <f>IF($A72="","",IF(COUNTIFS(Maintenance_Log!$C$5:$C$40,$A72,Maintenance_Log!$H$5:$H$40,"&lt;&gt;Resolved")&gt;0,"Yes",""))</f>
        <v/>
      </c>
      <c r="AE72" s="46">
        <f t="shared" si="4"/>
        <v>0</v>
      </c>
      <c r="AF72" s="46">
        <f t="shared" si="5"/>
        <v>0</v>
      </c>
      <c r="AG72" s="46">
        <f>IFERROR(MATCH(ROW()-4,Import_Index!$H$5:$H$304,0),"")</f>
        <v>143</v>
      </c>
    </row>
    <row r="73" spans="1:33" x14ac:dyDescent="0.3">
      <c r="A73" s="46" t="str">
        <f>IF($AG73="","",IFERROR(INDEX(Kobo_Import!$A$2:$CZ$301,$AG73,Field_Map!$B$13)&amp;"",""))</f>
        <v>HH-069</v>
      </c>
      <c r="B73" s="46" t="str">
        <f>IF($AG73="","",IF(IFERROR(INDEX(Kobo_Import!$A$2:$CZ$301,$AG73,Field_Map!$B$9)&amp;"","")="","",IFERROR(INDEX(Lists!$N$5:$N$19,MATCH(INDEX(Kobo_Import!$A$2:$CZ$301,$AG73,Field_Map!$B$9)&amp;"",Lists!$M$5:$M$19,0)),INDEX(Kobo_Import!$A$2:$CZ$301,$AG73,Field_Map!$B$9)&amp;"")))</f>
        <v>Site C – Informal Tent Area</v>
      </c>
      <c r="C73" s="46" t="str">
        <f>IF($AG73="","",IF(IFERROR(INDEX(Kobo_Import!$A$2:$CZ$301,$AG73,Field_Map!$B$14)&amp;"","")="","",IFERROR(INDEX(Lists!$N$5:$N$19,MATCH(INDEX(Kobo_Import!$A$2:$CZ$301,$AG73,Field_Map!$B$14)&amp;"",Lists!$M$5:$M$19,0)),INDEX(Kobo_Import!$A$2:$CZ$301,$AG73,Field_Map!$B$14)&amp;"")))</f>
        <v>Makeshift shelter</v>
      </c>
      <c r="D73" s="46" t="str">
        <f>IF($AG73="","",IF(IFERROR(INDEX(Kobo_Import!$A$2:$CZ$301,$AG73,Field_Map!$B$15)&amp;"","")="","",IFERROR(INDEX(Lists!$N$5:$N$19,MATCH(INDEX(Kobo_Import!$A$2:$CZ$301,$AG73,Field_Map!$B$15)&amp;"",Lists!$M$5:$M$19,0)),INDEX(Kobo_Import!$A$2:$CZ$301,$AG73,Field_Map!$B$15)&amp;"")))</f>
        <v>Unusable</v>
      </c>
      <c r="E73" s="49">
        <f>IF($A73="","",IFERROR(INDEX(Import_Index!$D$5:$D$304,MATCH($A73&amp;"|registration",Import_Index!$I$5:$I$304,0)),F73))</f>
        <v>46021</v>
      </c>
      <c r="F73" s="49">
        <f>IF($AG73="","",INDEX(Import_Index!$D$5:$D$304,$AG73))</f>
        <v>46040</v>
      </c>
      <c r="G73" s="46">
        <f>IF($A73="","",COUNTIFS(Import_Index!$B$5:$B$304,$A73,Import_Index!$C$5:$C$304,"yes"))</f>
        <v>2</v>
      </c>
      <c r="H73" s="46">
        <f>IF($AG73="","",IFERROR(VALUE(INDEX(Kobo_Import!$A$2:$CZ$301,$AG73,Field_Map!$B$16)&amp;""),0))</f>
        <v>7</v>
      </c>
      <c r="I73" s="46" t="str">
        <f>IF($AG73="","",IF(IFERROR(INDEX(Kobo_Import!$A$2:$CZ$301,$AG73,Field_Map!$B$17)&amp;"","")="","",IFERROR(INDEX(Lists!$N$5:$N$19,MATCH(INDEX(Kobo_Import!$A$2:$CZ$301,$AG73,Field_Map!$B$17)&amp;"",Lists!$M$5:$M$19,0)),INDEX(Kobo_Import!$A$2:$CZ$301,$AG73,Field_Map!$B$17)&amp;"")))</f>
        <v>No</v>
      </c>
      <c r="J73" s="46">
        <f>IF($AG73="","",IFERROR(VALUE(INDEX(Kobo_Import!$A$2:$CZ$301,$AG73,Field_Map!$B$18)&amp;""),0))</f>
        <v>0</v>
      </c>
      <c r="K73" s="46">
        <f>IF($AG73="","",IFERROR(VALUE(INDEX(Kobo_Import!$A$2:$CZ$301,$AG73,Field_Map!$B$19)&amp;""),0))</f>
        <v>5</v>
      </c>
      <c r="L73" s="46">
        <f>IF($AG73="","",IFERROR(VALUE(INDEX(Kobo_Import!$A$2:$CZ$301,$AG73,Field_Map!$B$20)&amp;""),0))</f>
        <v>2</v>
      </c>
      <c r="M73" s="46">
        <f>IF($AG73="","",IFERROR(VALUE(INDEX(Kobo_Import!$A$2:$CZ$301,$AG73,Field_Map!$B$21)&amp;""),0))</f>
        <v>0</v>
      </c>
      <c r="N73" s="46">
        <f>IF($AG73="","",IFERROR(VALUE(INDEX(Kobo_Import!$A$2:$CZ$301,$AG73,Field_Map!$B$22)&amp;""),0))</f>
        <v>2</v>
      </c>
      <c r="O73" s="46">
        <f>IF($AG73="","",IFERROR(VALUE(INDEX(Kobo_Import!$A$2:$CZ$301,$AG73,Field_Map!$B$23)&amp;""),0))</f>
        <v>0</v>
      </c>
      <c r="P73" s="46">
        <f>IF($AG73="","",IFERROR(VALUE(INDEX(Kobo_Import!$A$2:$CZ$301,$AG73,Field_Map!$B$24)&amp;""),0))</f>
        <v>0</v>
      </c>
      <c r="Q73" s="46">
        <f>IF($AG73="","",IFERROR(VALUE(INDEX(Kobo_Import!$A$2:$CZ$301,$AG73,Field_Map!$B$25)&amp;""),0))</f>
        <v>11</v>
      </c>
      <c r="R73" s="46">
        <f>IF($AG73="","",IFERROR(VALUE(INDEX(Kobo_Import!$A$2:$CZ$301,$AG73,Field_Map!$B$26)&amp;""),0))</f>
        <v>3</v>
      </c>
      <c r="S73" s="46">
        <f>IF($AG73="","",IFERROR(VALUE(INDEX(Kobo_Import!$A$2:$CZ$301,$AG73,Field_Map!$B$27)&amp;""),0))</f>
        <v>4</v>
      </c>
      <c r="T73" s="46">
        <f>IF($AG73="","",IFERROR(VALUE(INDEX(Kobo_Import!$A$2:$CZ$301,$AG73,Field_Map!$B$28)&amp;""),0))</f>
        <v>2</v>
      </c>
      <c r="U73" s="46" t="str">
        <f>IF($AG73="","",IF(IFERROR(INDEX(Kobo_Import!$A$2:$CZ$301,$AG73,Field_Map!$B$29)&amp;"","")="","",IFERROR(INDEX(Lists!$N$5:$N$19,MATCH(INDEX(Kobo_Import!$A$2:$CZ$301,$AG73,Field_Map!$B$29)&amp;"",Lists!$M$5:$M$19,0)),INDEX(Kobo_Import!$A$2:$CZ$301,$AG73,Field_Map!$B$29)&amp;"")))</f>
        <v/>
      </c>
      <c r="V73" s="50">
        <f>IF($A73="","",Settings!$B$5-F73)</f>
        <v>13</v>
      </c>
      <c r="W73" s="46">
        <f>IF($A73="","",(J73&gt;0)*Settings!$B$22+(P73&gt;0)*Settings!$B$23+(M73&gt;0)*Settings!$B$24+(O73&gt;0)*Settings!$B$25+(I73="Yes")*Settings!$B$26+(D73="Unusable")*Settings!$B$27+(D73="Damaged")*Settings!$B$28+(H73&gt;=Settings!$B$30)*Settings!$B$29)</f>
        <v>2</v>
      </c>
      <c r="X73" s="46" t="str">
        <f>IF($A73="","",IF(W73&gt;=Settings!$B$31,"High",IF(W73&gt;=Settings!$B$32,"Medium","Low")))</f>
        <v>Low</v>
      </c>
      <c r="Y73" s="46" t="str">
        <f>IF($A73="","",IF(V73&gt;Settings!$B$21,"Yes",""))</f>
        <v/>
      </c>
      <c r="Z73" s="46">
        <f>IF($A73="","",COUNTIFS(Referrals!$B$5:$B$52,$A73,Referrals!$G$5:$G$52,"Referred")+COUNTIFS(Referrals!$B$5:$B$52,$A73,Referrals!$G$5:$G$52,"Acknowledged"))</f>
        <v>1</v>
      </c>
      <c r="AA73" s="46">
        <f>IF($A73="","",COUNTIFS(Referrals!$B$5:$B$52,$A73,Referrals!$K$5:$K$52,"Overdue"))</f>
        <v>0</v>
      </c>
      <c r="AB73" s="46" t="str">
        <f>IF($A73="","",IF(AND(J73&gt;0,U73="Yes"),IF(COUNTIFS(Referrals!$B$5:$B$52,$A73,Referrals!$D$5:$D$52,"Nutrition / IYCF")=0,"Referral needed","Referred"),""))</f>
        <v/>
      </c>
      <c r="AC73" s="46" t="str">
        <f>IF($A73="","",IF(N(Needs_Gaps!O73)&gt;0,"Yes",""))</f>
        <v>Yes</v>
      </c>
      <c r="AD73" s="46" t="str">
        <f>IF($A73="","",IF(COUNTIFS(Maintenance_Log!$C$5:$C$40,$A73,Maintenance_Log!$H$5:$H$40,"&lt;&gt;Resolved")&gt;0,"Yes",""))</f>
        <v/>
      </c>
      <c r="AE73" s="46">
        <f t="shared" si="4"/>
        <v>1</v>
      </c>
      <c r="AF73" s="46">
        <f t="shared" si="5"/>
        <v>102931</v>
      </c>
      <c r="AG73" s="46">
        <f>IFERROR(MATCH(ROW()-4,Import_Index!$H$5:$H$304,0),"")</f>
        <v>99</v>
      </c>
    </row>
    <row r="74" spans="1:33" x14ac:dyDescent="0.3">
      <c r="A74" s="46" t="str">
        <f>IF($AG74="","",IFERROR(INDEX(Kobo_Import!$A$2:$CZ$301,$AG74,Field_Map!$B$13)&amp;"",""))</f>
        <v>HH-070</v>
      </c>
      <c r="B74" s="46" t="str">
        <f>IF($AG74="","",IF(IFERROR(INDEX(Kobo_Import!$A$2:$CZ$301,$AG74,Field_Map!$B$9)&amp;"","")="","",IFERROR(INDEX(Lists!$N$5:$N$19,MATCH(INDEX(Kobo_Import!$A$2:$CZ$301,$AG74,Field_Map!$B$9)&amp;"",Lists!$M$5:$M$19,0)),INDEX(Kobo_Import!$A$2:$CZ$301,$AG74,Field_Map!$B$9)&amp;"")))</f>
        <v>Site C – Informal Tent Area</v>
      </c>
      <c r="C74" s="46" t="str">
        <f>IF($AG74="","",IF(IFERROR(INDEX(Kobo_Import!$A$2:$CZ$301,$AG74,Field_Map!$B$14)&amp;"","")="","",IFERROR(INDEX(Lists!$N$5:$N$19,MATCH(INDEX(Kobo_Import!$A$2:$CZ$301,$AG74,Field_Map!$B$14)&amp;"",Lists!$M$5:$M$19,0)),INDEX(Kobo_Import!$A$2:$CZ$301,$AG74,Field_Map!$B$14)&amp;"")))</f>
        <v>Makeshift shelter</v>
      </c>
      <c r="D74" s="46" t="str">
        <f>IF($AG74="","",IF(IFERROR(INDEX(Kobo_Import!$A$2:$CZ$301,$AG74,Field_Map!$B$15)&amp;"","")="","",IFERROR(INDEX(Lists!$N$5:$N$19,MATCH(INDEX(Kobo_Import!$A$2:$CZ$301,$AG74,Field_Map!$B$15)&amp;"",Lists!$M$5:$M$19,0)),INDEX(Kobo_Import!$A$2:$CZ$301,$AG74,Field_Map!$B$15)&amp;"")))</f>
        <v>Unusable</v>
      </c>
      <c r="E74" s="49">
        <f>IF($A74="","",IFERROR(INDEX(Import_Index!$D$5:$D$304,MATCH($A74&amp;"|registration",Import_Index!$I$5:$I$304,0)),F74))</f>
        <v>46011</v>
      </c>
      <c r="F74" s="49">
        <f>IF($AG74="","",INDEX(Import_Index!$D$5:$D$304,$AG74))</f>
        <v>46038</v>
      </c>
      <c r="G74" s="46">
        <f>IF($A74="","",COUNTIFS(Import_Index!$B$5:$B$304,$A74,Import_Index!$C$5:$C$304,"yes"))</f>
        <v>2</v>
      </c>
      <c r="H74" s="46">
        <f>IF($AG74="","",IFERROR(VALUE(INDEX(Kobo_Import!$A$2:$CZ$301,$AG74,Field_Map!$B$16)&amp;""),0))</f>
        <v>5</v>
      </c>
      <c r="I74" s="46" t="str">
        <f>IF($AG74="","",IF(IFERROR(INDEX(Kobo_Import!$A$2:$CZ$301,$AG74,Field_Map!$B$17)&amp;"","")="","",IFERROR(INDEX(Lists!$N$5:$N$19,MATCH(INDEX(Kobo_Import!$A$2:$CZ$301,$AG74,Field_Map!$B$17)&amp;"",Lists!$M$5:$M$19,0)),INDEX(Kobo_Import!$A$2:$CZ$301,$AG74,Field_Map!$B$17)&amp;"")))</f>
        <v>No</v>
      </c>
      <c r="J74" s="46">
        <f>IF($AG74="","",IFERROR(VALUE(INDEX(Kobo_Import!$A$2:$CZ$301,$AG74,Field_Map!$B$18)&amp;""),0))</f>
        <v>1</v>
      </c>
      <c r="K74" s="46">
        <f>IF($AG74="","",IFERROR(VALUE(INDEX(Kobo_Import!$A$2:$CZ$301,$AG74,Field_Map!$B$19)&amp;""),0))</f>
        <v>2</v>
      </c>
      <c r="L74" s="46">
        <f>IF($AG74="","",IFERROR(VALUE(INDEX(Kobo_Import!$A$2:$CZ$301,$AG74,Field_Map!$B$20)&amp;""),0))</f>
        <v>2</v>
      </c>
      <c r="M74" s="46">
        <f>IF($AG74="","",IFERROR(VALUE(INDEX(Kobo_Import!$A$2:$CZ$301,$AG74,Field_Map!$B$21)&amp;""),0))</f>
        <v>0</v>
      </c>
      <c r="N74" s="46">
        <f>IF($AG74="","",IFERROR(VALUE(INDEX(Kobo_Import!$A$2:$CZ$301,$AG74,Field_Map!$B$22)&amp;""),0))</f>
        <v>1</v>
      </c>
      <c r="O74" s="46">
        <f>IF($AG74="","",IFERROR(VALUE(INDEX(Kobo_Import!$A$2:$CZ$301,$AG74,Field_Map!$B$23)&amp;""),0))</f>
        <v>1</v>
      </c>
      <c r="P74" s="46">
        <f>IF($AG74="","",IFERROR(VALUE(INDEX(Kobo_Import!$A$2:$CZ$301,$AG74,Field_Map!$B$24)&amp;""),0))</f>
        <v>1</v>
      </c>
      <c r="Q74" s="46">
        <f>IF($AG74="","",IFERROR(VALUE(INDEX(Kobo_Import!$A$2:$CZ$301,$AG74,Field_Map!$B$25)&amp;""),0))</f>
        <v>8</v>
      </c>
      <c r="R74" s="46">
        <f>IF($AG74="","",IFERROR(VALUE(INDEX(Kobo_Import!$A$2:$CZ$301,$AG74,Field_Map!$B$26)&amp;""),0))</f>
        <v>5</v>
      </c>
      <c r="S74" s="46">
        <f>IF($AG74="","",IFERROR(VALUE(INDEX(Kobo_Import!$A$2:$CZ$301,$AG74,Field_Map!$B$27)&amp;""),0))</f>
        <v>0</v>
      </c>
      <c r="T74" s="46">
        <f>IF($AG74="","",IFERROR(VALUE(INDEX(Kobo_Import!$A$2:$CZ$301,$AG74,Field_Map!$B$28)&amp;""),0))</f>
        <v>0</v>
      </c>
      <c r="U74" s="46" t="str">
        <f>IF($AG74="","",IF(IFERROR(INDEX(Kobo_Import!$A$2:$CZ$301,$AG74,Field_Map!$B$29)&amp;"","")="","",IFERROR(INDEX(Lists!$N$5:$N$19,MATCH(INDEX(Kobo_Import!$A$2:$CZ$301,$AG74,Field_Map!$B$29)&amp;"",Lists!$M$5:$M$19,0)),INDEX(Kobo_Import!$A$2:$CZ$301,$AG74,Field_Map!$B$29)&amp;"")))</f>
        <v>No</v>
      </c>
      <c r="V74" s="50">
        <f>IF($A74="","",Settings!$B$5-F74)</f>
        <v>15</v>
      </c>
      <c r="W74" s="46">
        <f>IF($A74="","",(J74&gt;0)*Settings!$B$22+(P74&gt;0)*Settings!$B$23+(M74&gt;0)*Settings!$B$24+(O74&gt;0)*Settings!$B$25+(I74="Yes")*Settings!$B$26+(D74="Unusable")*Settings!$B$27+(D74="Damaged")*Settings!$B$28+(H74&gt;=Settings!$B$30)*Settings!$B$29)</f>
        <v>7</v>
      </c>
      <c r="X74" s="46" t="str">
        <f>IF($A74="","",IF(W74&gt;=Settings!$B$31,"High",IF(W74&gt;=Settings!$B$32,"Medium","Low")))</f>
        <v>High</v>
      </c>
      <c r="Y74" s="46" t="str">
        <f>IF($A74="","",IF(V74&gt;Settings!$B$21,"Yes",""))</f>
        <v/>
      </c>
      <c r="Z74" s="46">
        <f>IF($A74="","",COUNTIFS(Referrals!$B$5:$B$52,$A74,Referrals!$G$5:$G$52,"Referred")+COUNTIFS(Referrals!$B$5:$B$52,$A74,Referrals!$G$5:$G$52,"Acknowledged"))</f>
        <v>1</v>
      </c>
      <c r="AA74" s="46">
        <f>IF($A74="","",COUNTIFS(Referrals!$B$5:$B$52,$A74,Referrals!$K$5:$K$52,"Overdue"))</f>
        <v>0</v>
      </c>
      <c r="AB74" s="46" t="str">
        <f>IF($A74="","",IF(AND(J74&gt;0,U74="Yes"),IF(COUNTIFS(Referrals!$B$5:$B$52,$A74,Referrals!$D$5:$D$52,"Nutrition / IYCF")=0,"Referral needed","Referred"),""))</f>
        <v/>
      </c>
      <c r="AC74" s="46" t="str">
        <f>IF($A74="","",IF(N(Needs_Gaps!O74)&gt;0,"Yes",""))</f>
        <v>Yes</v>
      </c>
      <c r="AD74" s="46" t="str">
        <f>IF($A74="","",IF(COUNTIFS(Maintenance_Log!$C$5:$C$40,$A74,Maintenance_Log!$H$5:$H$40,"&lt;&gt;Resolved")&gt;0,"Yes",""))</f>
        <v/>
      </c>
      <c r="AE74" s="46">
        <f t="shared" si="4"/>
        <v>1</v>
      </c>
      <c r="AF74" s="46">
        <f t="shared" si="5"/>
        <v>107930</v>
      </c>
      <c r="AG74" s="46">
        <f>IFERROR(MATCH(ROW()-4,Import_Index!$H$5:$H$304,0),"")</f>
        <v>91</v>
      </c>
    </row>
    <row r="75" spans="1:33" x14ac:dyDescent="0.3">
      <c r="A75" s="46" t="str">
        <f>IF($AG75="","",IFERROR(INDEX(Kobo_Import!$A$2:$CZ$301,$AG75,Field_Map!$B$13)&amp;"",""))</f>
        <v>HH-071</v>
      </c>
      <c r="B75" s="46" t="str">
        <f>IF($AG75="","",IF(IFERROR(INDEX(Kobo_Import!$A$2:$CZ$301,$AG75,Field_Map!$B$9)&amp;"","")="","",IFERROR(INDEX(Lists!$N$5:$N$19,MATCH(INDEX(Kobo_Import!$A$2:$CZ$301,$AG75,Field_Map!$B$9)&amp;"",Lists!$M$5:$M$19,0)),INDEX(Kobo_Import!$A$2:$CZ$301,$AG75,Field_Map!$B$9)&amp;"")))</f>
        <v>Site C – Informal Tent Area</v>
      </c>
      <c r="C75" s="46" t="str">
        <f>IF($AG75="","",IF(IFERROR(INDEX(Kobo_Import!$A$2:$CZ$301,$AG75,Field_Map!$B$14)&amp;"","")="","",IFERROR(INDEX(Lists!$N$5:$N$19,MATCH(INDEX(Kobo_Import!$A$2:$CZ$301,$AG75,Field_Map!$B$14)&amp;"",Lists!$M$5:$M$19,0)),INDEX(Kobo_Import!$A$2:$CZ$301,$AG75,Field_Map!$B$14)&amp;"")))</f>
        <v>Makeshift shelter</v>
      </c>
      <c r="D75" s="46" t="str">
        <f>IF($AG75="","",IF(IFERROR(INDEX(Kobo_Import!$A$2:$CZ$301,$AG75,Field_Map!$B$15)&amp;"","")="","",IFERROR(INDEX(Lists!$N$5:$N$19,MATCH(INDEX(Kobo_Import!$A$2:$CZ$301,$AG75,Field_Map!$B$15)&amp;"",Lists!$M$5:$M$19,0)),INDEX(Kobo_Import!$A$2:$CZ$301,$AG75,Field_Map!$B$15)&amp;"")))</f>
        <v>Damaged</v>
      </c>
      <c r="E75" s="49">
        <f>IF($A75="","",IFERROR(INDEX(Import_Index!$D$5:$D$304,MATCH($A75&amp;"|registration",Import_Index!$I$5:$I$304,0)),F75))</f>
        <v>46041</v>
      </c>
      <c r="F75" s="49">
        <f>IF($AG75="","",INDEX(Import_Index!$D$5:$D$304,$AG75))</f>
        <v>46041</v>
      </c>
      <c r="G75" s="46">
        <f>IF($A75="","",COUNTIFS(Import_Index!$B$5:$B$304,$A75,Import_Index!$C$5:$C$304,"yes"))</f>
        <v>1</v>
      </c>
      <c r="H75" s="46">
        <f>IF($AG75="","",IFERROR(VALUE(INDEX(Kobo_Import!$A$2:$CZ$301,$AG75,Field_Map!$B$16)&amp;""),0))</f>
        <v>9</v>
      </c>
      <c r="I75" s="46" t="str">
        <f>IF($AG75="","",IF(IFERROR(INDEX(Kobo_Import!$A$2:$CZ$301,$AG75,Field_Map!$B$17)&amp;"","")="","",IFERROR(INDEX(Lists!$N$5:$N$19,MATCH(INDEX(Kobo_Import!$A$2:$CZ$301,$AG75,Field_Map!$B$17)&amp;"",Lists!$M$5:$M$19,0)),INDEX(Kobo_Import!$A$2:$CZ$301,$AG75,Field_Map!$B$17)&amp;"")))</f>
        <v>No</v>
      </c>
      <c r="J75" s="46">
        <f>IF($AG75="","",IFERROR(VALUE(INDEX(Kobo_Import!$A$2:$CZ$301,$AG75,Field_Map!$B$18)&amp;""),0))</f>
        <v>1</v>
      </c>
      <c r="K75" s="46">
        <f>IF($AG75="","",IFERROR(VALUE(INDEX(Kobo_Import!$A$2:$CZ$301,$AG75,Field_Map!$B$19)&amp;""),0))</f>
        <v>6</v>
      </c>
      <c r="L75" s="46">
        <f>IF($AG75="","",IFERROR(VALUE(INDEX(Kobo_Import!$A$2:$CZ$301,$AG75,Field_Map!$B$20)&amp;""),0))</f>
        <v>1</v>
      </c>
      <c r="M75" s="46">
        <f>IF($AG75="","",IFERROR(VALUE(INDEX(Kobo_Import!$A$2:$CZ$301,$AG75,Field_Map!$B$21)&amp;""),0))</f>
        <v>1</v>
      </c>
      <c r="N75" s="46">
        <f>IF($AG75="","",IFERROR(VALUE(INDEX(Kobo_Import!$A$2:$CZ$301,$AG75,Field_Map!$B$22)&amp;""),0))</f>
        <v>1</v>
      </c>
      <c r="O75" s="46">
        <f>IF($AG75="","",IFERROR(VALUE(INDEX(Kobo_Import!$A$2:$CZ$301,$AG75,Field_Map!$B$23)&amp;""),0))</f>
        <v>1</v>
      </c>
      <c r="P75" s="46">
        <f>IF($AG75="","",IFERROR(VALUE(INDEX(Kobo_Import!$A$2:$CZ$301,$AG75,Field_Map!$B$24)&amp;""),0))</f>
        <v>0</v>
      </c>
      <c r="Q75" s="46">
        <f>IF($AG75="","",IFERROR(VALUE(INDEX(Kobo_Import!$A$2:$CZ$301,$AG75,Field_Map!$B$25)&amp;""),0))</f>
        <v>6</v>
      </c>
      <c r="R75" s="46">
        <f>IF($AG75="","",IFERROR(VALUE(INDEX(Kobo_Import!$A$2:$CZ$301,$AG75,Field_Map!$B$26)&amp;""),0))</f>
        <v>2</v>
      </c>
      <c r="S75" s="46">
        <f>IF($AG75="","",IFERROR(VALUE(INDEX(Kobo_Import!$A$2:$CZ$301,$AG75,Field_Map!$B$27)&amp;""),0))</f>
        <v>6</v>
      </c>
      <c r="T75" s="46">
        <f>IF($AG75="","",IFERROR(VALUE(INDEX(Kobo_Import!$A$2:$CZ$301,$AG75,Field_Map!$B$28)&amp;""),0))</f>
        <v>0</v>
      </c>
      <c r="U75" s="46" t="str">
        <f>IF($AG75="","",IF(IFERROR(INDEX(Kobo_Import!$A$2:$CZ$301,$AG75,Field_Map!$B$29)&amp;"","")="","",IFERROR(INDEX(Lists!$N$5:$N$19,MATCH(INDEX(Kobo_Import!$A$2:$CZ$301,$AG75,Field_Map!$B$29)&amp;"",Lists!$M$5:$M$19,0)),INDEX(Kobo_Import!$A$2:$CZ$301,$AG75,Field_Map!$B$29)&amp;"")))</f>
        <v>Yes</v>
      </c>
      <c r="V75" s="50">
        <f>IF($A75="","",Settings!$B$5-F75)</f>
        <v>12</v>
      </c>
      <c r="W75" s="46">
        <f>IF($A75="","",(J75&gt;0)*Settings!$B$22+(P75&gt;0)*Settings!$B$23+(M75&gt;0)*Settings!$B$24+(O75&gt;0)*Settings!$B$25+(I75="Yes")*Settings!$B$26+(D75="Unusable")*Settings!$B$27+(D75="Damaged")*Settings!$B$28+(H75&gt;=Settings!$B$30)*Settings!$B$29)</f>
        <v>6</v>
      </c>
      <c r="X75" s="46" t="str">
        <f>IF($A75="","",IF(W75&gt;=Settings!$B$31,"High",IF(W75&gt;=Settings!$B$32,"Medium","Low")))</f>
        <v>High</v>
      </c>
      <c r="Y75" s="46" t="str">
        <f>IF($A75="","",IF(V75&gt;Settings!$B$21,"Yes",""))</f>
        <v/>
      </c>
      <c r="Z75" s="46">
        <f>IF($A75="","",COUNTIFS(Referrals!$B$5:$B$52,$A75,Referrals!$G$5:$G$52,"Referred")+COUNTIFS(Referrals!$B$5:$B$52,$A75,Referrals!$G$5:$G$52,"Acknowledged"))</f>
        <v>1</v>
      </c>
      <c r="AA75" s="46">
        <f>IF($A75="","",COUNTIFS(Referrals!$B$5:$B$52,$A75,Referrals!$K$5:$K$52,"Overdue"))</f>
        <v>0</v>
      </c>
      <c r="AB75" s="46" t="str">
        <f>IF($A75="","",IF(AND(J75&gt;0,U75="Yes"),IF(COUNTIFS(Referrals!$B$5:$B$52,$A75,Referrals!$D$5:$D$52,"Nutrition / IYCF")=0,"Referral needed","Referred"),""))</f>
        <v>Referred</v>
      </c>
      <c r="AC75" s="46" t="str">
        <f>IF($A75="","",IF(N(Needs_Gaps!O75)&gt;0,"Yes",""))</f>
        <v/>
      </c>
      <c r="AD75" s="46" t="str">
        <f>IF($A75="","",IF(COUNTIFS(Maintenance_Log!$C$5:$C$40,$A75,Maintenance_Log!$H$5:$H$40,"&lt;&gt;Resolved")&gt;0,"Yes",""))</f>
        <v>Yes</v>
      </c>
      <c r="AE75" s="46">
        <f t="shared" si="4"/>
        <v>1</v>
      </c>
      <c r="AF75" s="46">
        <f t="shared" si="5"/>
        <v>106929</v>
      </c>
      <c r="AG75" s="46">
        <f>IFERROR(MATCH(ROW()-4,Import_Index!$H$5:$H$304,0),"")</f>
        <v>105</v>
      </c>
    </row>
    <row r="76" spans="1:33" x14ac:dyDescent="0.3">
      <c r="A76" s="46" t="str">
        <f>IF($AG76="","",IFERROR(INDEX(Kobo_Import!$A$2:$CZ$301,$AG76,Field_Map!$B$13)&amp;"",""))</f>
        <v>HH-072</v>
      </c>
      <c r="B76" s="46" t="str">
        <f>IF($AG76="","",IF(IFERROR(INDEX(Kobo_Import!$A$2:$CZ$301,$AG76,Field_Map!$B$9)&amp;"","")="","",IFERROR(INDEX(Lists!$N$5:$N$19,MATCH(INDEX(Kobo_Import!$A$2:$CZ$301,$AG76,Field_Map!$B$9)&amp;"",Lists!$M$5:$M$19,0)),INDEX(Kobo_Import!$A$2:$CZ$301,$AG76,Field_Map!$B$9)&amp;"")))</f>
        <v>Site C – Informal Tent Area</v>
      </c>
      <c r="C76" s="46" t="str">
        <f>IF($AG76="","",IF(IFERROR(INDEX(Kobo_Import!$A$2:$CZ$301,$AG76,Field_Map!$B$14)&amp;"","")="","",IFERROR(INDEX(Lists!$N$5:$N$19,MATCH(INDEX(Kobo_Import!$A$2:$CZ$301,$AG76,Field_Map!$B$14)&amp;"",Lists!$M$5:$M$19,0)),INDEX(Kobo_Import!$A$2:$CZ$301,$AG76,Field_Map!$B$14)&amp;"")))</f>
        <v>Tent</v>
      </c>
      <c r="D76" s="46" t="str">
        <f>IF($AG76="","",IF(IFERROR(INDEX(Kobo_Import!$A$2:$CZ$301,$AG76,Field_Map!$B$15)&amp;"","")="","",IFERROR(INDEX(Lists!$N$5:$N$19,MATCH(INDEX(Kobo_Import!$A$2:$CZ$301,$AG76,Field_Map!$B$15)&amp;"",Lists!$M$5:$M$19,0)),INDEX(Kobo_Import!$A$2:$CZ$301,$AG76,Field_Map!$B$15)&amp;"")))</f>
        <v>Unusable</v>
      </c>
      <c r="E76" s="49">
        <f>IF($A76="","",IFERROR(INDEX(Import_Index!$D$5:$D$304,MATCH($A76&amp;"|registration",Import_Index!$I$5:$I$304,0)),F76))</f>
        <v>46040</v>
      </c>
      <c r="F76" s="49">
        <f>IF($AG76="","",INDEX(Import_Index!$D$5:$D$304,$AG76))</f>
        <v>46040</v>
      </c>
      <c r="G76" s="46">
        <f>IF($A76="","",COUNTIFS(Import_Index!$B$5:$B$304,$A76,Import_Index!$C$5:$C$304,"yes"))</f>
        <v>1</v>
      </c>
      <c r="H76" s="46">
        <f>IF($AG76="","",IFERROR(VALUE(INDEX(Kobo_Import!$A$2:$CZ$301,$AG76,Field_Map!$B$16)&amp;""),0))</f>
        <v>9</v>
      </c>
      <c r="I76" s="46" t="str">
        <f>IF($AG76="","",IF(IFERROR(INDEX(Kobo_Import!$A$2:$CZ$301,$AG76,Field_Map!$B$17)&amp;"","")="","",IFERROR(INDEX(Lists!$N$5:$N$19,MATCH(INDEX(Kobo_Import!$A$2:$CZ$301,$AG76,Field_Map!$B$17)&amp;"",Lists!$M$5:$M$19,0)),INDEX(Kobo_Import!$A$2:$CZ$301,$AG76,Field_Map!$B$17)&amp;"")))</f>
        <v>No</v>
      </c>
      <c r="J76" s="46">
        <f>IF($AG76="","",IFERROR(VALUE(INDEX(Kobo_Import!$A$2:$CZ$301,$AG76,Field_Map!$B$18)&amp;""),0))</f>
        <v>1</v>
      </c>
      <c r="K76" s="46">
        <f>IF($AG76="","",IFERROR(VALUE(INDEX(Kobo_Import!$A$2:$CZ$301,$AG76,Field_Map!$B$19)&amp;""),0))</f>
        <v>6</v>
      </c>
      <c r="L76" s="46">
        <f>IF($AG76="","",IFERROR(VALUE(INDEX(Kobo_Import!$A$2:$CZ$301,$AG76,Field_Map!$B$20)&amp;""),0))</f>
        <v>2</v>
      </c>
      <c r="M76" s="46">
        <f>IF($AG76="","",IFERROR(VALUE(INDEX(Kobo_Import!$A$2:$CZ$301,$AG76,Field_Map!$B$21)&amp;""),0))</f>
        <v>0</v>
      </c>
      <c r="N76" s="46">
        <f>IF($AG76="","",IFERROR(VALUE(INDEX(Kobo_Import!$A$2:$CZ$301,$AG76,Field_Map!$B$22)&amp;""),0))</f>
        <v>2</v>
      </c>
      <c r="O76" s="46">
        <f>IF($AG76="","",IFERROR(VALUE(INDEX(Kobo_Import!$A$2:$CZ$301,$AG76,Field_Map!$B$23)&amp;""),0))</f>
        <v>1</v>
      </c>
      <c r="P76" s="46">
        <f>IF($AG76="","",IFERROR(VALUE(INDEX(Kobo_Import!$A$2:$CZ$301,$AG76,Field_Map!$B$24)&amp;""),0))</f>
        <v>1</v>
      </c>
      <c r="Q76" s="46">
        <f>IF($AG76="","",IFERROR(VALUE(INDEX(Kobo_Import!$A$2:$CZ$301,$AG76,Field_Map!$B$25)&amp;""),0))</f>
        <v>6</v>
      </c>
      <c r="R76" s="46">
        <f>IF($AG76="","",IFERROR(VALUE(INDEX(Kobo_Import!$A$2:$CZ$301,$AG76,Field_Map!$B$26)&amp;""),0))</f>
        <v>0</v>
      </c>
      <c r="S76" s="46">
        <f>IF($AG76="","",IFERROR(VALUE(INDEX(Kobo_Import!$A$2:$CZ$301,$AG76,Field_Map!$B$27)&amp;""),0))</f>
        <v>3</v>
      </c>
      <c r="T76" s="46">
        <f>IF($AG76="","",IFERROR(VALUE(INDEX(Kobo_Import!$A$2:$CZ$301,$AG76,Field_Map!$B$28)&amp;""),0))</f>
        <v>1</v>
      </c>
      <c r="U76" s="46" t="str">
        <f>IF($AG76="","",IF(IFERROR(INDEX(Kobo_Import!$A$2:$CZ$301,$AG76,Field_Map!$B$29)&amp;"","")="","",IFERROR(INDEX(Lists!$N$5:$N$19,MATCH(INDEX(Kobo_Import!$A$2:$CZ$301,$AG76,Field_Map!$B$29)&amp;"",Lists!$M$5:$M$19,0)),INDEX(Kobo_Import!$A$2:$CZ$301,$AG76,Field_Map!$B$29)&amp;"")))</f>
        <v>No</v>
      </c>
      <c r="V76" s="50">
        <f>IF($A76="","",Settings!$B$5-F76)</f>
        <v>13</v>
      </c>
      <c r="W76" s="46">
        <f>IF($A76="","",(J76&gt;0)*Settings!$B$22+(P76&gt;0)*Settings!$B$23+(M76&gt;0)*Settings!$B$24+(O76&gt;0)*Settings!$B$25+(I76="Yes")*Settings!$B$26+(D76="Unusable")*Settings!$B$27+(D76="Damaged")*Settings!$B$28+(H76&gt;=Settings!$B$30)*Settings!$B$29)</f>
        <v>8</v>
      </c>
      <c r="X76" s="46" t="str">
        <f>IF($A76="","",IF(W76&gt;=Settings!$B$31,"High",IF(W76&gt;=Settings!$B$32,"Medium","Low")))</f>
        <v>High</v>
      </c>
      <c r="Y76" s="46" t="str">
        <f>IF($A76="","",IF(V76&gt;Settings!$B$21,"Yes",""))</f>
        <v/>
      </c>
      <c r="Z76" s="46">
        <f>IF($A76="","",COUNTIFS(Referrals!$B$5:$B$52,$A76,Referrals!$G$5:$G$52,"Referred")+COUNTIFS(Referrals!$B$5:$B$52,$A76,Referrals!$G$5:$G$52,"Acknowledged"))</f>
        <v>0</v>
      </c>
      <c r="AA76" s="46">
        <f>IF($A76="","",COUNTIFS(Referrals!$B$5:$B$52,$A76,Referrals!$K$5:$K$52,"Overdue"))</f>
        <v>0</v>
      </c>
      <c r="AB76" s="46" t="str">
        <f>IF($A76="","",IF(AND(J76&gt;0,U76="Yes"),IF(COUNTIFS(Referrals!$B$5:$B$52,$A76,Referrals!$D$5:$D$52,"Nutrition / IYCF")=0,"Referral needed","Referred"),""))</f>
        <v/>
      </c>
      <c r="AC76" s="46" t="str">
        <f>IF($A76="","",IF(N(Needs_Gaps!O76)&gt;0,"Yes",""))</f>
        <v>Yes</v>
      </c>
      <c r="AD76" s="46" t="str">
        <f>IF($A76="","",IF(COUNTIFS(Maintenance_Log!$C$5:$C$40,$A76,Maintenance_Log!$H$5:$H$40,"&lt;&gt;Resolved")&gt;0,"Yes",""))</f>
        <v/>
      </c>
      <c r="AE76" s="46">
        <f t="shared" si="4"/>
        <v>1</v>
      </c>
      <c r="AF76" s="46">
        <f t="shared" si="5"/>
        <v>108928</v>
      </c>
      <c r="AG76" s="46">
        <f>IFERROR(MATCH(ROW()-4,Import_Index!$H$5:$H$304,0),"")</f>
        <v>100</v>
      </c>
    </row>
    <row r="77" spans="1:33" x14ac:dyDescent="0.3">
      <c r="A77" s="46" t="str">
        <f>IF($AG77="","",IFERROR(INDEX(Kobo_Import!$A$2:$CZ$301,$AG77,Field_Map!$B$13)&amp;"",""))</f>
        <v>HH-073</v>
      </c>
      <c r="B77" s="46" t="str">
        <f>IF($AG77="","",IF(IFERROR(INDEX(Kobo_Import!$A$2:$CZ$301,$AG77,Field_Map!$B$9)&amp;"","")="","",IFERROR(INDEX(Lists!$N$5:$N$19,MATCH(INDEX(Kobo_Import!$A$2:$CZ$301,$AG77,Field_Map!$B$9)&amp;"",Lists!$M$5:$M$19,0)),INDEX(Kobo_Import!$A$2:$CZ$301,$AG77,Field_Map!$B$9)&amp;"")))</f>
        <v>Site C – Informal Tent Area</v>
      </c>
      <c r="C77" s="46" t="str">
        <f>IF($AG77="","",IF(IFERROR(INDEX(Kobo_Import!$A$2:$CZ$301,$AG77,Field_Map!$B$14)&amp;"","")="","",IFERROR(INDEX(Lists!$N$5:$N$19,MATCH(INDEX(Kobo_Import!$A$2:$CZ$301,$AG77,Field_Map!$B$14)&amp;"",Lists!$M$5:$M$19,0)),INDEX(Kobo_Import!$A$2:$CZ$301,$AG77,Field_Map!$B$14)&amp;"")))</f>
        <v>Tent</v>
      </c>
      <c r="D77" s="46" t="str">
        <f>IF($AG77="","",IF(IFERROR(INDEX(Kobo_Import!$A$2:$CZ$301,$AG77,Field_Map!$B$15)&amp;"","")="","",IFERROR(INDEX(Lists!$N$5:$N$19,MATCH(INDEX(Kobo_Import!$A$2:$CZ$301,$AG77,Field_Map!$B$15)&amp;"",Lists!$M$5:$M$19,0)),INDEX(Kobo_Import!$A$2:$CZ$301,$AG77,Field_Map!$B$15)&amp;"")))</f>
        <v>Damaged</v>
      </c>
      <c r="E77" s="49">
        <f>IF($A77="","",IFERROR(INDEX(Import_Index!$D$5:$D$304,MATCH($A77&amp;"|registration",Import_Index!$I$5:$I$304,0)),F77))</f>
        <v>46037</v>
      </c>
      <c r="F77" s="49">
        <f>IF($AG77="","",INDEX(Import_Index!$D$5:$D$304,$AG77))</f>
        <v>46037</v>
      </c>
      <c r="G77" s="46">
        <f>IF($A77="","",COUNTIFS(Import_Index!$B$5:$B$304,$A77,Import_Index!$C$5:$C$304,"yes"))</f>
        <v>1</v>
      </c>
      <c r="H77" s="46">
        <f>IF($AG77="","",IFERROR(VALUE(INDEX(Kobo_Import!$A$2:$CZ$301,$AG77,Field_Map!$B$16)&amp;""),0))</f>
        <v>7</v>
      </c>
      <c r="I77" s="46" t="str">
        <f>IF($AG77="","",IF(IFERROR(INDEX(Kobo_Import!$A$2:$CZ$301,$AG77,Field_Map!$B$17)&amp;"","")="","",IFERROR(INDEX(Lists!$N$5:$N$19,MATCH(INDEX(Kobo_Import!$A$2:$CZ$301,$AG77,Field_Map!$B$17)&amp;"",Lists!$M$5:$M$19,0)),INDEX(Kobo_Import!$A$2:$CZ$301,$AG77,Field_Map!$B$17)&amp;"")))</f>
        <v>No</v>
      </c>
      <c r="J77" s="46">
        <f>IF($AG77="","",IFERROR(VALUE(INDEX(Kobo_Import!$A$2:$CZ$301,$AG77,Field_Map!$B$18)&amp;""),0))</f>
        <v>2</v>
      </c>
      <c r="K77" s="46">
        <f>IF($AG77="","",IFERROR(VALUE(INDEX(Kobo_Import!$A$2:$CZ$301,$AG77,Field_Map!$B$19)&amp;""),0))</f>
        <v>3</v>
      </c>
      <c r="L77" s="46">
        <f>IF($AG77="","",IFERROR(VALUE(INDEX(Kobo_Import!$A$2:$CZ$301,$AG77,Field_Map!$B$20)&amp;""),0))</f>
        <v>2</v>
      </c>
      <c r="M77" s="46">
        <f>IF($AG77="","",IFERROR(VALUE(INDEX(Kobo_Import!$A$2:$CZ$301,$AG77,Field_Map!$B$21)&amp;""),0))</f>
        <v>0</v>
      </c>
      <c r="N77" s="46">
        <f>IF($AG77="","",IFERROR(VALUE(INDEX(Kobo_Import!$A$2:$CZ$301,$AG77,Field_Map!$B$22)&amp;""),0))</f>
        <v>2</v>
      </c>
      <c r="O77" s="46">
        <f>IF($AG77="","",IFERROR(VALUE(INDEX(Kobo_Import!$A$2:$CZ$301,$AG77,Field_Map!$B$23)&amp;""),0))</f>
        <v>0</v>
      </c>
      <c r="P77" s="46">
        <f>IF($AG77="","",IFERROR(VALUE(INDEX(Kobo_Import!$A$2:$CZ$301,$AG77,Field_Map!$B$24)&amp;""),0))</f>
        <v>0</v>
      </c>
      <c r="Q77" s="46">
        <f>IF($AG77="","",IFERROR(VALUE(INDEX(Kobo_Import!$A$2:$CZ$301,$AG77,Field_Map!$B$25)&amp;""),0))</f>
        <v>8</v>
      </c>
      <c r="R77" s="46">
        <f>IF($AG77="","",IFERROR(VALUE(INDEX(Kobo_Import!$A$2:$CZ$301,$AG77,Field_Map!$B$26)&amp;""),0))</f>
        <v>0</v>
      </c>
      <c r="S77" s="46">
        <f>IF($AG77="","",IFERROR(VALUE(INDEX(Kobo_Import!$A$2:$CZ$301,$AG77,Field_Map!$B$27)&amp;""),0))</f>
        <v>5</v>
      </c>
      <c r="T77" s="46">
        <f>IF($AG77="","",IFERROR(VALUE(INDEX(Kobo_Import!$A$2:$CZ$301,$AG77,Field_Map!$B$28)&amp;""),0))</f>
        <v>2</v>
      </c>
      <c r="U77" s="46" t="str">
        <f>IF($AG77="","",IF(IFERROR(INDEX(Kobo_Import!$A$2:$CZ$301,$AG77,Field_Map!$B$29)&amp;"","")="","",IFERROR(INDEX(Lists!$N$5:$N$19,MATCH(INDEX(Kobo_Import!$A$2:$CZ$301,$AG77,Field_Map!$B$29)&amp;"",Lists!$M$5:$M$19,0)),INDEX(Kobo_Import!$A$2:$CZ$301,$AG77,Field_Map!$B$29)&amp;"")))</f>
        <v>No</v>
      </c>
      <c r="V77" s="50">
        <f>IF($A77="","",Settings!$B$5-F77)</f>
        <v>16</v>
      </c>
      <c r="W77" s="46">
        <f>IF($A77="","",(J77&gt;0)*Settings!$B$22+(P77&gt;0)*Settings!$B$23+(M77&gt;0)*Settings!$B$24+(O77&gt;0)*Settings!$B$25+(I77="Yes")*Settings!$B$26+(D77="Unusable")*Settings!$B$27+(D77="Damaged")*Settings!$B$28+(H77&gt;=Settings!$B$30)*Settings!$B$29)</f>
        <v>3</v>
      </c>
      <c r="X77" s="46" t="str">
        <f>IF($A77="","",IF(W77&gt;=Settings!$B$31,"High",IF(W77&gt;=Settings!$B$32,"Medium","Low")))</f>
        <v>Medium</v>
      </c>
      <c r="Y77" s="46" t="str">
        <f>IF($A77="","",IF(V77&gt;Settings!$B$21,"Yes",""))</f>
        <v/>
      </c>
      <c r="Z77" s="46">
        <f>IF($A77="","",COUNTIFS(Referrals!$B$5:$B$52,$A77,Referrals!$G$5:$G$52,"Referred")+COUNTIFS(Referrals!$B$5:$B$52,$A77,Referrals!$G$5:$G$52,"Acknowledged"))</f>
        <v>0</v>
      </c>
      <c r="AA77" s="46">
        <f>IF($A77="","",COUNTIFS(Referrals!$B$5:$B$52,$A77,Referrals!$K$5:$K$52,"Overdue"))</f>
        <v>0</v>
      </c>
      <c r="AB77" s="46" t="str">
        <f>IF($A77="","",IF(AND(J77&gt;0,U77="Yes"),IF(COUNTIFS(Referrals!$B$5:$B$52,$A77,Referrals!$D$5:$D$52,"Nutrition / IYCF")=0,"Referral needed","Referred"),""))</f>
        <v/>
      </c>
      <c r="AC77" s="46" t="str">
        <f>IF($A77="","",IF(N(Needs_Gaps!O77)&gt;0,"Yes",""))</f>
        <v/>
      </c>
      <c r="AD77" s="46" t="str">
        <f>IF($A77="","",IF(COUNTIFS(Maintenance_Log!$C$5:$C$40,$A77,Maintenance_Log!$H$5:$H$40,"&lt;&gt;Resolved")&gt;0,"Yes",""))</f>
        <v/>
      </c>
      <c r="AE77" s="46">
        <f t="shared" si="4"/>
        <v>0</v>
      </c>
      <c r="AF77" s="46">
        <f t="shared" si="5"/>
        <v>0</v>
      </c>
      <c r="AG77" s="46">
        <f>IFERROR(MATCH(ROW()-4,Import_Index!$H$5:$H$304,0),"")</f>
        <v>86</v>
      </c>
    </row>
    <row r="78" spans="1:33" x14ac:dyDescent="0.3">
      <c r="A78" s="46" t="str">
        <f>IF($AG78="","",IFERROR(INDEX(Kobo_Import!$A$2:$CZ$301,$AG78,Field_Map!$B$13)&amp;"",""))</f>
        <v>HH-074</v>
      </c>
      <c r="B78" s="46" t="str">
        <f>IF($AG78="","",IF(IFERROR(INDEX(Kobo_Import!$A$2:$CZ$301,$AG78,Field_Map!$B$9)&amp;"","")="","",IFERROR(INDEX(Lists!$N$5:$N$19,MATCH(INDEX(Kobo_Import!$A$2:$CZ$301,$AG78,Field_Map!$B$9)&amp;"",Lists!$M$5:$M$19,0)),INDEX(Kobo_Import!$A$2:$CZ$301,$AG78,Field_Map!$B$9)&amp;"")))</f>
        <v>Site C – Informal Tent Area</v>
      </c>
      <c r="C78" s="46" t="str">
        <f>IF($AG78="","",IF(IFERROR(INDEX(Kobo_Import!$A$2:$CZ$301,$AG78,Field_Map!$B$14)&amp;"","")="","",IFERROR(INDEX(Lists!$N$5:$N$19,MATCH(INDEX(Kobo_Import!$A$2:$CZ$301,$AG78,Field_Map!$B$14)&amp;"",Lists!$M$5:$M$19,0)),INDEX(Kobo_Import!$A$2:$CZ$301,$AG78,Field_Map!$B$14)&amp;"")))</f>
        <v>Tent</v>
      </c>
      <c r="D78" s="46" t="str">
        <f>IF($AG78="","",IF(IFERROR(INDEX(Kobo_Import!$A$2:$CZ$301,$AG78,Field_Map!$B$15)&amp;"","")="","",IFERROR(INDEX(Lists!$N$5:$N$19,MATCH(INDEX(Kobo_Import!$A$2:$CZ$301,$AG78,Field_Map!$B$15)&amp;"",Lists!$M$5:$M$19,0)),INDEX(Kobo_Import!$A$2:$CZ$301,$AG78,Field_Map!$B$15)&amp;"")))</f>
        <v>Damaged</v>
      </c>
      <c r="E78" s="49">
        <f>IF($A78="","",IFERROR(INDEX(Import_Index!$D$5:$D$304,MATCH($A78&amp;"|registration",Import_Index!$I$5:$I$304,0)),F78))</f>
        <v>46014</v>
      </c>
      <c r="F78" s="49">
        <f>IF($AG78="","",INDEX(Import_Index!$D$5:$D$304,$AG78))</f>
        <v>46014</v>
      </c>
      <c r="G78" s="46">
        <f>IF($A78="","",COUNTIFS(Import_Index!$B$5:$B$304,$A78,Import_Index!$C$5:$C$304,"yes"))</f>
        <v>1</v>
      </c>
      <c r="H78" s="46">
        <f>IF($AG78="","",IFERROR(VALUE(INDEX(Kobo_Import!$A$2:$CZ$301,$AG78,Field_Map!$B$16)&amp;""),0))</f>
        <v>7</v>
      </c>
      <c r="I78" s="46" t="str">
        <f>IF($AG78="","",IF(IFERROR(INDEX(Kobo_Import!$A$2:$CZ$301,$AG78,Field_Map!$B$17)&amp;"","")="","",IFERROR(INDEX(Lists!$N$5:$N$19,MATCH(INDEX(Kobo_Import!$A$2:$CZ$301,$AG78,Field_Map!$B$17)&amp;"",Lists!$M$5:$M$19,0)),INDEX(Kobo_Import!$A$2:$CZ$301,$AG78,Field_Map!$B$17)&amp;"")))</f>
        <v>Yes</v>
      </c>
      <c r="J78" s="46">
        <f>IF($AG78="","",IFERROR(VALUE(INDEX(Kobo_Import!$A$2:$CZ$301,$AG78,Field_Map!$B$18)&amp;""),0))</f>
        <v>1</v>
      </c>
      <c r="K78" s="46">
        <f>IF($AG78="","",IFERROR(VALUE(INDEX(Kobo_Import!$A$2:$CZ$301,$AG78,Field_Map!$B$19)&amp;""),0))</f>
        <v>5</v>
      </c>
      <c r="L78" s="46">
        <f>IF($AG78="","",IFERROR(VALUE(INDEX(Kobo_Import!$A$2:$CZ$301,$AG78,Field_Map!$B$20)&amp;""),0))</f>
        <v>1</v>
      </c>
      <c r="M78" s="46">
        <f>IF($AG78="","",IFERROR(VALUE(INDEX(Kobo_Import!$A$2:$CZ$301,$AG78,Field_Map!$B$21)&amp;""),0))</f>
        <v>0</v>
      </c>
      <c r="N78" s="46">
        <f>IF($AG78="","",IFERROR(VALUE(INDEX(Kobo_Import!$A$2:$CZ$301,$AG78,Field_Map!$B$22)&amp;""),0))</f>
        <v>2</v>
      </c>
      <c r="O78" s="46">
        <f>IF($AG78="","",IFERROR(VALUE(INDEX(Kobo_Import!$A$2:$CZ$301,$AG78,Field_Map!$B$23)&amp;""),0))</f>
        <v>1</v>
      </c>
      <c r="P78" s="46">
        <f>IF($AG78="","",IFERROR(VALUE(INDEX(Kobo_Import!$A$2:$CZ$301,$AG78,Field_Map!$B$24)&amp;""),0))</f>
        <v>0</v>
      </c>
      <c r="Q78" s="46">
        <f>IF($AG78="","",IFERROR(VALUE(INDEX(Kobo_Import!$A$2:$CZ$301,$AG78,Field_Map!$B$25)&amp;""),0))</f>
        <v>6</v>
      </c>
      <c r="R78" s="46">
        <f>IF($AG78="","",IFERROR(VALUE(INDEX(Kobo_Import!$A$2:$CZ$301,$AG78,Field_Map!$B$26)&amp;""),0))</f>
        <v>6</v>
      </c>
      <c r="S78" s="46">
        <f>IF($AG78="","",IFERROR(VALUE(INDEX(Kobo_Import!$A$2:$CZ$301,$AG78,Field_Map!$B$27)&amp;""),0))</f>
        <v>3</v>
      </c>
      <c r="T78" s="46">
        <f>IF($AG78="","",IFERROR(VALUE(INDEX(Kobo_Import!$A$2:$CZ$301,$AG78,Field_Map!$B$28)&amp;""),0))</f>
        <v>0</v>
      </c>
      <c r="U78" s="46" t="str">
        <f>IF($AG78="","",IF(IFERROR(INDEX(Kobo_Import!$A$2:$CZ$301,$AG78,Field_Map!$B$29)&amp;"","")="","",IFERROR(INDEX(Lists!$N$5:$N$19,MATCH(INDEX(Kobo_Import!$A$2:$CZ$301,$AG78,Field_Map!$B$29)&amp;"",Lists!$M$5:$M$19,0)),INDEX(Kobo_Import!$A$2:$CZ$301,$AG78,Field_Map!$B$29)&amp;"")))</f>
        <v>No</v>
      </c>
      <c r="V78" s="50">
        <f>IF($A78="","",Settings!$B$5-F78)</f>
        <v>39</v>
      </c>
      <c r="W78" s="46">
        <f>IF($A78="","",(J78&gt;0)*Settings!$B$22+(P78&gt;0)*Settings!$B$23+(M78&gt;0)*Settings!$B$24+(O78&gt;0)*Settings!$B$25+(I78="Yes")*Settings!$B$26+(D78="Unusable")*Settings!$B$27+(D78="Damaged")*Settings!$B$28+(H78&gt;=Settings!$B$30)*Settings!$B$29)</f>
        <v>5</v>
      </c>
      <c r="X78" s="46" t="str">
        <f>IF($A78="","",IF(W78&gt;=Settings!$B$31,"High",IF(W78&gt;=Settings!$B$32,"Medium","Low")))</f>
        <v>High</v>
      </c>
      <c r="Y78" s="46" t="str">
        <f>IF($A78="","",IF(V78&gt;Settings!$B$21,"Yes",""))</f>
        <v>Yes</v>
      </c>
      <c r="Z78" s="46">
        <f>IF($A78="","",COUNTIFS(Referrals!$B$5:$B$52,$A78,Referrals!$G$5:$G$52,"Referred")+COUNTIFS(Referrals!$B$5:$B$52,$A78,Referrals!$G$5:$G$52,"Acknowledged"))</f>
        <v>0</v>
      </c>
      <c r="AA78" s="46">
        <f>IF($A78="","",COUNTIFS(Referrals!$B$5:$B$52,$A78,Referrals!$K$5:$K$52,"Overdue"))</f>
        <v>0</v>
      </c>
      <c r="AB78" s="46" t="str">
        <f>IF($A78="","",IF(AND(J78&gt;0,U78="Yes"),IF(COUNTIFS(Referrals!$B$5:$B$52,$A78,Referrals!$D$5:$D$52,"Nutrition / IYCF")=0,"Referral needed","Referred"),""))</f>
        <v/>
      </c>
      <c r="AC78" s="46" t="str">
        <f>IF($A78="","",IF(N(Needs_Gaps!O78)&gt;0,"Yes",""))</f>
        <v/>
      </c>
      <c r="AD78" s="46" t="str">
        <f>IF($A78="","",IF(COUNTIFS(Maintenance_Log!$C$5:$C$40,$A78,Maintenance_Log!$H$5:$H$40,"&lt;&gt;Resolved")&gt;0,"Yes",""))</f>
        <v/>
      </c>
      <c r="AE78" s="46">
        <f t="shared" si="4"/>
        <v>1</v>
      </c>
      <c r="AF78" s="46">
        <f t="shared" si="5"/>
        <v>105926</v>
      </c>
      <c r="AG78" s="46">
        <f>IFERROR(MATCH(ROW()-4,Import_Index!$H$5:$H$304,0),"")</f>
        <v>20</v>
      </c>
    </row>
    <row r="79" spans="1:33" x14ac:dyDescent="0.3">
      <c r="A79" s="46" t="str">
        <f>IF($AG79="","",IFERROR(INDEX(Kobo_Import!$A$2:$CZ$301,$AG79,Field_Map!$B$13)&amp;"",""))</f>
        <v>HH-075</v>
      </c>
      <c r="B79" s="46" t="str">
        <f>IF($AG79="","",IF(IFERROR(INDEX(Kobo_Import!$A$2:$CZ$301,$AG79,Field_Map!$B$9)&amp;"","")="","",IFERROR(INDEX(Lists!$N$5:$N$19,MATCH(INDEX(Kobo_Import!$A$2:$CZ$301,$AG79,Field_Map!$B$9)&amp;"",Lists!$M$5:$M$19,0)),INDEX(Kobo_Import!$A$2:$CZ$301,$AG79,Field_Map!$B$9)&amp;"")))</f>
        <v>Site C – Informal Tent Area</v>
      </c>
      <c r="C79" s="46" t="str">
        <f>IF($AG79="","",IF(IFERROR(INDEX(Kobo_Import!$A$2:$CZ$301,$AG79,Field_Map!$B$14)&amp;"","")="","",IFERROR(INDEX(Lists!$N$5:$N$19,MATCH(INDEX(Kobo_Import!$A$2:$CZ$301,$AG79,Field_Map!$B$14)&amp;"",Lists!$M$5:$M$19,0)),INDEX(Kobo_Import!$A$2:$CZ$301,$AG79,Field_Map!$B$14)&amp;"")))</f>
        <v>Tent</v>
      </c>
      <c r="D79" s="46" t="str">
        <f>IF($AG79="","",IF(IFERROR(INDEX(Kobo_Import!$A$2:$CZ$301,$AG79,Field_Map!$B$15)&amp;"","")="","",IFERROR(INDEX(Lists!$N$5:$N$19,MATCH(INDEX(Kobo_Import!$A$2:$CZ$301,$AG79,Field_Map!$B$15)&amp;"",Lists!$M$5:$M$19,0)),INDEX(Kobo_Import!$A$2:$CZ$301,$AG79,Field_Map!$B$15)&amp;"")))</f>
        <v>Damaged</v>
      </c>
      <c r="E79" s="49">
        <f>IF($A79="","",IFERROR(INDEX(Import_Index!$D$5:$D$304,MATCH($A79&amp;"|registration",Import_Index!$I$5:$I$304,0)),F79))</f>
        <v>46015</v>
      </c>
      <c r="F79" s="49">
        <f>IF($AG79="","",INDEX(Import_Index!$D$5:$D$304,$AG79))</f>
        <v>46036</v>
      </c>
      <c r="G79" s="46">
        <f>IF($A79="","",COUNTIFS(Import_Index!$B$5:$B$304,$A79,Import_Index!$C$5:$C$304,"yes"))</f>
        <v>2</v>
      </c>
      <c r="H79" s="46">
        <f>IF($AG79="","",IFERROR(VALUE(INDEX(Kobo_Import!$A$2:$CZ$301,$AG79,Field_Map!$B$16)&amp;""),0))</f>
        <v>8</v>
      </c>
      <c r="I79" s="46" t="str">
        <f>IF($AG79="","",IF(IFERROR(INDEX(Kobo_Import!$A$2:$CZ$301,$AG79,Field_Map!$B$17)&amp;"","")="","",IFERROR(INDEX(Lists!$N$5:$N$19,MATCH(INDEX(Kobo_Import!$A$2:$CZ$301,$AG79,Field_Map!$B$17)&amp;"",Lists!$M$5:$M$19,0)),INDEX(Kobo_Import!$A$2:$CZ$301,$AG79,Field_Map!$B$17)&amp;"")))</f>
        <v>No</v>
      </c>
      <c r="J79" s="46">
        <f>IF($AG79="","",IFERROR(VALUE(INDEX(Kobo_Import!$A$2:$CZ$301,$AG79,Field_Map!$B$18)&amp;""),0))</f>
        <v>0</v>
      </c>
      <c r="K79" s="46">
        <f>IF($AG79="","",IFERROR(VALUE(INDEX(Kobo_Import!$A$2:$CZ$301,$AG79,Field_Map!$B$19)&amp;""),0))</f>
        <v>6</v>
      </c>
      <c r="L79" s="46">
        <f>IF($AG79="","",IFERROR(VALUE(INDEX(Kobo_Import!$A$2:$CZ$301,$AG79,Field_Map!$B$20)&amp;""),0))</f>
        <v>2</v>
      </c>
      <c r="M79" s="46">
        <f>IF($AG79="","",IFERROR(VALUE(INDEX(Kobo_Import!$A$2:$CZ$301,$AG79,Field_Map!$B$21)&amp;""),0))</f>
        <v>0</v>
      </c>
      <c r="N79" s="46">
        <f>IF($AG79="","",IFERROR(VALUE(INDEX(Kobo_Import!$A$2:$CZ$301,$AG79,Field_Map!$B$22)&amp;""),0))</f>
        <v>1</v>
      </c>
      <c r="O79" s="46">
        <f>IF($AG79="","",IFERROR(VALUE(INDEX(Kobo_Import!$A$2:$CZ$301,$AG79,Field_Map!$B$23)&amp;""),0))</f>
        <v>0</v>
      </c>
      <c r="P79" s="46">
        <f>IF($AG79="","",IFERROR(VALUE(INDEX(Kobo_Import!$A$2:$CZ$301,$AG79,Field_Map!$B$24)&amp;""),0))</f>
        <v>1</v>
      </c>
      <c r="Q79" s="46">
        <f>IF($AG79="","",IFERROR(VALUE(INDEX(Kobo_Import!$A$2:$CZ$301,$AG79,Field_Map!$B$25)&amp;""),0))</f>
        <v>2</v>
      </c>
      <c r="R79" s="46">
        <f>IF($AG79="","",IFERROR(VALUE(INDEX(Kobo_Import!$A$2:$CZ$301,$AG79,Field_Map!$B$26)&amp;""),0))</f>
        <v>5</v>
      </c>
      <c r="S79" s="46">
        <f>IF($AG79="","",IFERROR(VALUE(INDEX(Kobo_Import!$A$2:$CZ$301,$AG79,Field_Map!$B$27)&amp;""),0))</f>
        <v>1</v>
      </c>
      <c r="T79" s="46">
        <f>IF($AG79="","",IFERROR(VALUE(INDEX(Kobo_Import!$A$2:$CZ$301,$AG79,Field_Map!$B$28)&amp;""),0))</f>
        <v>1</v>
      </c>
      <c r="U79" s="46" t="str">
        <f>IF($AG79="","",IF(IFERROR(INDEX(Kobo_Import!$A$2:$CZ$301,$AG79,Field_Map!$B$29)&amp;"","")="","",IFERROR(INDEX(Lists!$N$5:$N$19,MATCH(INDEX(Kobo_Import!$A$2:$CZ$301,$AG79,Field_Map!$B$29)&amp;"",Lists!$M$5:$M$19,0)),INDEX(Kobo_Import!$A$2:$CZ$301,$AG79,Field_Map!$B$29)&amp;"")))</f>
        <v/>
      </c>
      <c r="V79" s="50">
        <f>IF($A79="","",Settings!$B$5-F79)</f>
        <v>17</v>
      </c>
      <c r="W79" s="46">
        <f>IF($A79="","",(J79&gt;0)*Settings!$B$22+(P79&gt;0)*Settings!$B$23+(M79&gt;0)*Settings!$B$24+(O79&gt;0)*Settings!$B$25+(I79="Yes")*Settings!$B$26+(D79="Unusable")*Settings!$B$27+(D79="Damaged")*Settings!$B$28+(H79&gt;=Settings!$B$30)*Settings!$B$29)</f>
        <v>3</v>
      </c>
      <c r="X79" s="46" t="str">
        <f>IF($A79="","",IF(W79&gt;=Settings!$B$31,"High",IF(W79&gt;=Settings!$B$32,"Medium","Low")))</f>
        <v>Medium</v>
      </c>
      <c r="Y79" s="46" t="str">
        <f>IF($A79="","",IF(V79&gt;Settings!$B$21,"Yes",""))</f>
        <v/>
      </c>
      <c r="Z79" s="46">
        <f>IF($A79="","",COUNTIFS(Referrals!$B$5:$B$52,$A79,Referrals!$G$5:$G$52,"Referred")+COUNTIFS(Referrals!$B$5:$B$52,$A79,Referrals!$G$5:$G$52,"Acknowledged"))</f>
        <v>1</v>
      </c>
      <c r="AA79" s="46">
        <f>IF($A79="","",COUNTIFS(Referrals!$B$5:$B$52,$A79,Referrals!$K$5:$K$52,"Overdue"))</f>
        <v>1</v>
      </c>
      <c r="AB79" s="46" t="str">
        <f>IF($A79="","",IF(AND(J79&gt;0,U79="Yes"),IF(COUNTIFS(Referrals!$B$5:$B$52,$A79,Referrals!$D$5:$D$52,"Nutrition / IYCF")=0,"Referral needed","Referred"),""))</f>
        <v/>
      </c>
      <c r="AC79" s="46" t="str">
        <f>IF($A79="","",IF(N(Needs_Gaps!O79)&gt;0,"Yes",""))</f>
        <v/>
      </c>
      <c r="AD79" s="46" t="str">
        <f>IF($A79="","",IF(COUNTIFS(Maintenance_Log!$C$5:$C$40,$A79,Maintenance_Log!$H$5:$H$40,"&lt;&gt;Resolved")&gt;0,"Yes",""))</f>
        <v/>
      </c>
      <c r="AE79" s="46">
        <f t="shared" si="4"/>
        <v>1</v>
      </c>
      <c r="AF79" s="46">
        <f t="shared" si="5"/>
        <v>103925</v>
      </c>
      <c r="AG79" s="46">
        <f>IFERROR(MATCH(ROW()-4,Import_Index!$H$5:$H$304,0),"")</f>
        <v>83</v>
      </c>
    </row>
    <row r="80" spans="1:33" x14ac:dyDescent="0.3">
      <c r="A80" s="46" t="str">
        <f>IF($AG80="","",IFERROR(INDEX(Kobo_Import!$A$2:$CZ$301,$AG80,Field_Map!$B$13)&amp;"",""))</f>
        <v>HH-076</v>
      </c>
      <c r="B80" s="46" t="str">
        <f>IF($AG80="","",IF(IFERROR(INDEX(Kobo_Import!$A$2:$CZ$301,$AG80,Field_Map!$B$9)&amp;"","")="","",IFERROR(INDEX(Lists!$N$5:$N$19,MATCH(INDEX(Kobo_Import!$A$2:$CZ$301,$AG80,Field_Map!$B$9)&amp;"",Lists!$M$5:$M$19,0)),INDEX(Kobo_Import!$A$2:$CZ$301,$AG80,Field_Map!$B$9)&amp;"")))</f>
        <v>Site C – Informal Tent Area</v>
      </c>
      <c r="C80" s="46" t="str">
        <f>IF($AG80="","",IF(IFERROR(INDEX(Kobo_Import!$A$2:$CZ$301,$AG80,Field_Map!$B$14)&amp;"","")="","",IFERROR(INDEX(Lists!$N$5:$N$19,MATCH(INDEX(Kobo_Import!$A$2:$CZ$301,$AG80,Field_Map!$B$14)&amp;"",Lists!$M$5:$M$19,0)),INDEX(Kobo_Import!$A$2:$CZ$301,$AG80,Field_Map!$B$14)&amp;"")))</f>
        <v>Tent</v>
      </c>
      <c r="D80" s="46" t="str">
        <f>IF($AG80="","",IF(IFERROR(INDEX(Kobo_Import!$A$2:$CZ$301,$AG80,Field_Map!$B$15)&amp;"","")="","",IFERROR(INDEX(Lists!$N$5:$N$19,MATCH(INDEX(Kobo_Import!$A$2:$CZ$301,$AG80,Field_Map!$B$15)&amp;"",Lists!$M$5:$M$19,0)),INDEX(Kobo_Import!$A$2:$CZ$301,$AG80,Field_Map!$B$15)&amp;"")))</f>
        <v>Unusable</v>
      </c>
      <c r="E80" s="49">
        <f>IF($A80="","",IFERROR(INDEX(Import_Index!$D$5:$D$304,MATCH($A80&amp;"|registration",Import_Index!$I$5:$I$304,0)),F80))</f>
        <v>46025</v>
      </c>
      <c r="F80" s="49">
        <f>IF($AG80="","",INDEX(Import_Index!$D$5:$D$304,$AG80))</f>
        <v>46025</v>
      </c>
      <c r="G80" s="46">
        <f>IF($A80="","",COUNTIFS(Import_Index!$B$5:$B$304,$A80,Import_Index!$C$5:$C$304,"yes"))</f>
        <v>1</v>
      </c>
      <c r="H80" s="46">
        <f>IF($AG80="","",IFERROR(VALUE(INDEX(Kobo_Import!$A$2:$CZ$301,$AG80,Field_Map!$B$16)&amp;""),0))</f>
        <v>5</v>
      </c>
      <c r="I80" s="46" t="str">
        <f>IF($AG80="","",IF(IFERROR(INDEX(Kobo_Import!$A$2:$CZ$301,$AG80,Field_Map!$B$17)&amp;"","")="","",IFERROR(INDEX(Lists!$N$5:$N$19,MATCH(INDEX(Kobo_Import!$A$2:$CZ$301,$AG80,Field_Map!$B$17)&amp;"",Lists!$M$5:$M$19,0)),INDEX(Kobo_Import!$A$2:$CZ$301,$AG80,Field_Map!$B$17)&amp;"")))</f>
        <v>No</v>
      </c>
      <c r="J80" s="46">
        <f>IF($AG80="","",IFERROR(VALUE(INDEX(Kobo_Import!$A$2:$CZ$301,$AG80,Field_Map!$B$18)&amp;""),0))</f>
        <v>0</v>
      </c>
      <c r="K80" s="46">
        <f>IF($AG80="","",IFERROR(VALUE(INDEX(Kobo_Import!$A$2:$CZ$301,$AG80,Field_Map!$B$19)&amp;""),0))</f>
        <v>3</v>
      </c>
      <c r="L80" s="46">
        <f>IF($AG80="","",IFERROR(VALUE(INDEX(Kobo_Import!$A$2:$CZ$301,$AG80,Field_Map!$B$20)&amp;""),0))</f>
        <v>2</v>
      </c>
      <c r="M80" s="46">
        <f>IF($AG80="","",IFERROR(VALUE(INDEX(Kobo_Import!$A$2:$CZ$301,$AG80,Field_Map!$B$21)&amp;""),0))</f>
        <v>0</v>
      </c>
      <c r="N80" s="46">
        <f>IF($AG80="","",IFERROR(VALUE(INDEX(Kobo_Import!$A$2:$CZ$301,$AG80,Field_Map!$B$22)&amp;""),0))</f>
        <v>1</v>
      </c>
      <c r="O80" s="46">
        <f>IF($AG80="","",IFERROR(VALUE(INDEX(Kobo_Import!$A$2:$CZ$301,$AG80,Field_Map!$B$23)&amp;""),0))</f>
        <v>1</v>
      </c>
      <c r="P80" s="46">
        <f>IF($AG80="","",IFERROR(VALUE(INDEX(Kobo_Import!$A$2:$CZ$301,$AG80,Field_Map!$B$24)&amp;""),0))</f>
        <v>0</v>
      </c>
      <c r="Q80" s="46">
        <f>IF($AG80="","",IFERROR(VALUE(INDEX(Kobo_Import!$A$2:$CZ$301,$AG80,Field_Map!$B$25)&amp;""),0))</f>
        <v>6</v>
      </c>
      <c r="R80" s="46">
        <f>IF($AG80="","",IFERROR(VALUE(INDEX(Kobo_Import!$A$2:$CZ$301,$AG80,Field_Map!$B$26)&amp;""),0))</f>
        <v>5</v>
      </c>
      <c r="S80" s="46">
        <f>IF($AG80="","",IFERROR(VALUE(INDEX(Kobo_Import!$A$2:$CZ$301,$AG80,Field_Map!$B$27)&amp;""),0))</f>
        <v>1</v>
      </c>
      <c r="T80" s="46">
        <f>IF($AG80="","",IFERROR(VALUE(INDEX(Kobo_Import!$A$2:$CZ$301,$AG80,Field_Map!$B$28)&amp;""),0))</f>
        <v>1</v>
      </c>
      <c r="U80" s="46" t="str">
        <f>IF($AG80="","",IF(IFERROR(INDEX(Kobo_Import!$A$2:$CZ$301,$AG80,Field_Map!$B$29)&amp;"","")="","",IFERROR(INDEX(Lists!$N$5:$N$19,MATCH(INDEX(Kobo_Import!$A$2:$CZ$301,$AG80,Field_Map!$B$29)&amp;"",Lists!$M$5:$M$19,0)),INDEX(Kobo_Import!$A$2:$CZ$301,$AG80,Field_Map!$B$29)&amp;"")))</f>
        <v/>
      </c>
      <c r="V80" s="50">
        <f>IF($A80="","",Settings!$B$5-F80)</f>
        <v>28</v>
      </c>
      <c r="W80" s="46">
        <f>IF($A80="","",(J80&gt;0)*Settings!$B$22+(P80&gt;0)*Settings!$B$23+(M80&gt;0)*Settings!$B$24+(O80&gt;0)*Settings!$B$25+(I80="Yes")*Settings!$B$26+(D80="Unusable")*Settings!$B$27+(D80="Damaged")*Settings!$B$28+(H80&gt;=Settings!$B$30)*Settings!$B$29)</f>
        <v>3</v>
      </c>
      <c r="X80" s="46" t="str">
        <f>IF($A80="","",IF(W80&gt;=Settings!$B$31,"High",IF(W80&gt;=Settings!$B$32,"Medium","Low")))</f>
        <v>Medium</v>
      </c>
      <c r="Y80" s="46" t="str">
        <f>IF($A80="","",IF(V80&gt;Settings!$B$21,"Yes",""))</f>
        <v/>
      </c>
      <c r="Z80" s="46">
        <f>IF($A80="","",COUNTIFS(Referrals!$B$5:$B$52,$A80,Referrals!$G$5:$G$52,"Referred")+COUNTIFS(Referrals!$B$5:$B$52,$A80,Referrals!$G$5:$G$52,"Acknowledged"))</f>
        <v>0</v>
      </c>
      <c r="AA80" s="46">
        <f>IF($A80="","",COUNTIFS(Referrals!$B$5:$B$52,$A80,Referrals!$K$5:$K$52,"Overdue"))</f>
        <v>0</v>
      </c>
      <c r="AB80" s="46" t="str">
        <f>IF($A80="","",IF(AND(J80&gt;0,U80="Yes"),IF(COUNTIFS(Referrals!$B$5:$B$52,$A80,Referrals!$D$5:$D$52,"Nutrition / IYCF")=0,"Referral needed","Referred"),""))</f>
        <v/>
      </c>
      <c r="AC80" s="46" t="str">
        <f>IF($A80="","",IF(N(Needs_Gaps!O80)&gt;0,"Yes",""))</f>
        <v>Yes</v>
      </c>
      <c r="AD80" s="46" t="str">
        <f>IF($A80="","",IF(COUNTIFS(Maintenance_Log!$C$5:$C$40,$A80,Maintenance_Log!$H$5:$H$40,"&lt;&gt;Resolved")&gt;0,"Yes",""))</f>
        <v/>
      </c>
      <c r="AE80" s="46">
        <f t="shared" si="4"/>
        <v>1</v>
      </c>
      <c r="AF80" s="46">
        <f t="shared" si="5"/>
        <v>103924</v>
      </c>
      <c r="AG80" s="46">
        <f>IFERROR(MATCH(ROW()-4,Import_Index!$H$5:$H$304,0),"")</f>
        <v>46</v>
      </c>
    </row>
    <row r="81" spans="1:33" x14ac:dyDescent="0.3">
      <c r="A81" s="46" t="str">
        <f>IF($AG81="","",IFERROR(INDEX(Kobo_Import!$A$2:$CZ$301,$AG81,Field_Map!$B$13)&amp;"",""))</f>
        <v>HH-077</v>
      </c>
      <c r="B81" s="46" t="str">
        <f>IF($AG81="","",IF(IFERROR(INDEX(Kobo_Import!$A$2:$CZ$301,$AG81,Field_Map!$B$9)&amp;"","")="","",IFERROR(INDEX(Lists!$N$5:$N$19,MATCH(INDEX(Kobo_Import!$A$2:$CZ$301,$AG81,Field_Map!$B$9)&amp;"",Lists!$M$5:$M$19,0)),INDEX(Kobo_Import!$A$2:$CZ$301,$AG81,Field_Map!$B$9)&amp;"")))</f>
        <v>Site C – Informal Tent Area</v>
      </c>
      <c r="C81" s="46" t="str">
        <f>IF($AG81="","",IF(IFERROR(INDEX(Kobo_Import!$A$2:$CZ$301,$AG81,Field_Map!$B$14)&amp;"","")="","",IFERROR(INDEX(Lists!$N$5:$N$19,MATCH(INDEX(Kobo_Import!$A$2:$CZ$301,$AG81,Field_Map!$B$14)&amp;"",Lists!$M$5:$M$19,0)),INDEX(Kobo_Import!$A$2:$CZ$301,$AG81,Field_Map!$B$14)&amp;"")))</f>
        <v>Makeshift shelter</v>
      </c>
      <c r="D81" s="46" t="str">
        <f>IF($AG81="","",IF(IFERROR(INDEX(Kobo_Import!$A$2:$CZ$301,$AG81,Field_Map!$B$15)&amp;"","")="","",IFERROR(INDEX(Lists!$N$5:$N$19,MATCH(INDEX(Kobo_Import!$A$2:$CZ$301,$AG81,Field_Map!$B$15)&amp;"",Lists!$M$5:$M$19,0)),INDEX(Kobo_Import!$A$2:$CZ$301,$AG81,Field_Map!$B$15)&amp;"")))</f>
        <v>Damaged</v>
      </c>
      <c r="E81" s="49">
        <f>IF($A81="","",IFERROR(INDEX(Import_Index!$D$5:$D$304,MATCH($A81&amp;"|registration",Import_Index!$I$5:$I$304,0)),F81))</f>
        <v>46024</v>
      </c>
      <c r="F81" s="49">
        <f>IF($AG81="","",INDEX(Import_Index!$D$5:$D$304,$AG81))</f>
        <v>46024</v>
      </c>
      <c r="G81" s="46">
        <f>IF($A81="","",COUNTIFS(Import_Index!$B$5:$B$304,$A81,Import_Index!$C$5:$C$304,"yes"))</f>
        <v>1</v>
      </c>
      <c r="H81" s="46">
        <f>IF($AG81="","",IFERROR(VALUE(INDEX(Kobo_Import!$A$2:$CZ$301,$AG81,Field_Map!$B$16)&amp;""),0))</f>
        <v>8</v>
      </c>
      <c r="I81" s="46" t="str">
        <f>IF($AG81="","",IF(IFERROR(INDEX(Kobo_Import!$A$2:$CZ$301,$AG81,Field_Map!$B$17)&amp;"","")="","",IFERROR(INDEX(Lists!$N$5:$N$19,MATCH(INDEX(Kobo_Import!$A$2:$CZ$301,$AG81,Field_Map!$B$17)&amp;"",Lists!$M$5:$M$19,0)),INDEX(Kobo_Import!$A$2:$CZ$301,$AG81,Field_Map!$B$17)&amp;"")))</f>
        <v>Yes</v>
      </c>
      <c r="J81" s="46">
        <f>IF($AG81="","",IFERROR(VALUE(INDEX(Kobo_Import!$A$2:$CZ$301,$AG81,Field_Map!$B$18)&amp;""),0))</f>
        <v>0</v>
      </c>
      <c r="K81" s="46">
        <f>IF($AG81="","",IFERROR(VALUE(INDEX(Kobo_Import!$A$2:$CZ$301,$AG81,Field_Map!$B$19)&amp;""),0))</f>
        <v>6</v>
      </c>
      <c r="L81" s="46">
        <f>IF($AG81="","",IFERROR(VALUE(INDEX(Kobo_Import!$A$2:$CZ$301,$AG81,Field_Map!$B$20)&amp;""),0))</f>
        <v>2</v>
      </c>
      <c r="M81" s="46">
        <f>IF($AG81="","",IFERROR(VALUE(INDEX(Kobo_Import!$A$2:$CZ$301,$AG81,Field_Map!$B$21)&amp;""),0))</f>
        <v>0</v>
      </c>
      <c r="N81" s="46">
        <f>IF($AG81="","",IFERROR(VALUE(INDEX(Kobo_Import!$A$2:$CZ$301,$AG81,Field_Map!$B$22)&amp;""),0))</f>
        <v>3</v>
      </c>
      <c r="O81" s="46">
        <f>IF($AG81="","",IFERROR(VALUE(INDEX(Kobo_Import!$A$2:$CZ$301,$AG81,Field_Map!$B$23)&amp;""),0))</f>
        <v>0</v>
      </c>
      <c r="P81" s="46">
        <f>IF($AG81="","",IFERROR(VALUE(INDEX(Kobo_Import!$A$2:$CZ$301,$AG81,Field_Map!$B$24)&amp;""),0))</f>
        <v>0</v>
      </c>
      <c r="Q81" s="46">
        <f>IF($AG81="","",IFERROR(VALUE(INDEX(Kobo_Import!$A$2:$CZ$301,$AG81,Field_Map!$B$25)&amp;""),0))</f>
        <v>5</v>
      </c>
      <c r="R81" s="46">
        <f>IF($AG81="","",IFERROR(VALUE(INDEX(Kobo_Import!$A$2:$CZ$301,$AG81,Field_Map!$B$26)&amp;""),0))</f>
        <v>4</v>
      </c>
      <c r="S81" s="46">
        <f>IF($AG81="","",IFERROR(VALUE(INDEX(Kobo_Import!$A$2:$CZ$301,$AG81,Field_Map!$B$27)&amp;""),0))</f>
        <v>4</v>
      </c>
      <c r="T81" s="46">
        <f>IF($AG81="","",IFERROR(VALUE(INDEX(Kobo_Import!$A$2:$CZ$301,$AG81,Field_Map!$B$28)&amp;""),0))</f>
        <v>1</v>
      </c>
      <c r="U81" s="46" t="str">
        <f>IF($AG81="","",IF(IFERROR(INDEX(Kobo_Import!$A$2:$CZ$301,$AG81,Field_Map!$B$29)&amp;"","")="","",IFERROR(INDEX(Lists!$N$5:$N$19,MATCH(INDEX(Kobo_Import!$A$2:$CZ$301,$AG81,Field_Map!$B$29)&amp;"",Lists!$M$5:$M$19,0)),INDEX(Kobo_Import!$A$2:$CZ$301,$AG81,Field_Map!$B$29)&amp;"")))</f>
        <v/>
      </c>
      <c r="V81" s="50">
        <f>IF($A81="","",Settings!$B$5-F81)</f>
        <v>29</v>
      </c>
      <c r="W81" s="46">
        <f>IF($A81="","",(J81&gt;0)*Settings!$B$22+(P81&gt;0)*Settings!$B$23+(M81&gt;0)*Settings!$B$24+(O81&gt;0)*Settings!$B$25+(I81="Yes")*Settings!$B$26+(D81="Unusable")*Settings!$B$27+(D81="Damaged")*Settings!$B$28+(H81&gt;=Settings!$B$30)*Settings!$B$29)</f>
        <v>2</v>
      </c>
      <c r="X81" s="46" t="str">
        <f>IF($A81="","",IF(W81&gt;=Settings!$B$31,"High",IF(W81&gt;=Settings!$B$32,"Medium","Low")))</f>
        <v>Low</v>
      </c>
      <c r="Y81" s="46" t="str">
        <f>IF($A81="","",IF(V81&gt;Settings!$B$21,"Yes",""))</f>
        <v/>
      </c>
      <c r="Z81" s="46">
        <f>IF($A81="","",COUNTIFS(Referrals!$B$5:$B$52,$A81,Referrals!$G$5:$G$52,"Referred")+COUNTIFS(Referrals!$B$5:$B$52,$A81,Referrals!$G$5:$G$52,"Acknowledged"))</f>
        <v>0</v>
      </c>
      <c r="AA81" s="46">
        <f>IF($A81="","",COUNTIFS(Referrals!$B$5:$B$52,$A81,Referrals!$K$5:$K$52,"Overdue"))</f>
        <v>0</v>
      </c>
      <c r="AB81" s="46" t="str">
        <f>IF($A81="","",IF(AND(J81&gt;0,U81="Yes"),IF(COUNTIFS(Referrals!$B$5:$B$52,$A81,Referrals!$D$5:$D$52,"Nutrition / IYCF")=0,"Referral needed","Referred"),""))</f>
        <v/>
      </c>
      <c r="AC81" s="46" t="str">
        <f>IF($A81="","",IF(N(Needs_Gaps!O81)&gt;0,"Yes",""))</f>
        <v/>
      </c>
      <c r="AD81" s="46" t="str">
        <f>IF($A81="","",IF(COUNTIFS(Maintenance_Log!$C$5:$C$40,$A81,Maintenance_Log!$H$5:$H$40,"&lt;&gt;Resolved")&gt;0,"Yes",""))</f>
        <v/>
      </c>
      <c r="AE81" s="46">
        <f t="shared" si="4"/>
        <v>0</v>
      </c>
      <c r="AF81" s="46">
        <f t="shared" si="5"/>
        <v>0</v>
      </c>
      <c r="AG81" s="46">
        <f>IFERROR(MATCH(ROW()-4,Import_Index!$H$5:$H$304,0),"")</f>
        <v>45</v>
      </c>
    </row>
    <row r="82" spans="1:33" x14ac:dyDescent="0.3">
      <c r="A82" s="46" t="str">
        <f>IF($AG82="","",IFERROR(INDEX(Kobo_Import!$A$2:$CZ$301,$AG82,Field_Map!$B$13)&amp;"",""))</f>
        <v>HH-078</v>
      </c>
      <c r="B82" s="46" t="str">
        <f>IF($AG82="","",IF(IFERROR(INDEX(Kobo_Import!$A$2:$CZ$301,$AG82,Field_Map!$B$9)&amp;"","")="","",IFERROR(INDEX(Lists!$N$5:$N$19,MATCH(INDEX(Kobo_Import!$A$2:$CZ$301,$AG82,Field_Map!$B$9)&amp;"",Lists!$M$5:$M$19,0)),INDEX(Kobo_Import!$A$2:$CZ$301,$AG82,Field_Map!$B$9)&amp;"")))</f>
        <v>Site C – Informal Tent Area</v>
      </c>
      <c r="C82" s="46" t="str">
        <f>IF($AG82="","",IF(IFERROR(INDEX(Kobo_Import!$A$2:$CZ$301,$AG82,Field_Map!$B$14)&amp;"","")="","",IFERROR(INDEX(Lists!$N$5:$N$19,MATCH(INDEX(Kobo_Import!$A$2:$CZ$301,$AG82,Field_Map!$B$14)&amp;"",Lists!$M$5:$M$19,0)),INDEX(Kobo_Import!$A$2:$CZ$301,$AG82,Field_Map!$B$14)&amp;"")))</f>
        <v>Makeshift shelter</v>
      </c>
      <c r="D82" s="46" t="str">
        <f>IF($AG82="","",IF(IFERROR(INDEX(Kobo_Import!$A$2:$CZ$301,$AG82,Field_Map!$B$15)&amp;"","")="","",IFERROR(INDEX(Lists!$N$5:$N$19,MATCH(INDEX(Kobo_Import!$A$2:$CZ$301,$AG82,Field_Map!$B$15)&amp;"",Lists!$M$5:$M$19,0)),INDEX(Kobo_Import!$A$2:$CZ$301,$AG82,Field_Map!$B$15)&amp;"")))</f>
        <v>Unusable</v>
      </c>
      <c r="E82" s="49">
        <f>IF($A82="","",IFERROR(INDEX(Import_Index!$D$5:$D$304,MATCH($A82&amp;"|registration",Import_Index!$I$5:$I$304,0)),F82))</f>
        <v>46021</v>
      </c>
      <c r="F82" s="49">
        <f>IF($AG82="","",INDEX(Import_Index!$D$5:$D$304,$AG82))</f>
        <v>46048</v>
      </c>
      <c r="G82" s="46">
        <f>IF($A82="","",COUNTIFS(Import_Index!$B$5:$B$304,$A82,Import_Index!$C$5:$C$304,"yes"))</f>
        <v>2</v>
      </c>
      <c r="H82" s="46">
        <f>IF($AG82="","",IFERROR(VALUE(INDEX(Kobo_Import!$A$2:$CZ$301,$AG82,Field_Map!$B$16)&amp;""),0))</f>
        <v>7</v>
      </c>
      <c r="I82" s="46" t="str">
        <f>IF($AG82="","",IF(IFERROR(INDEX(Kobo_Import!$A$2:$CZ$301,$AG82,Field_Map!$B$17)&amp;"","")="","",IFERROR(INDEX(Lists!$N$5:$N$19,MATCH(INDEX(Kobo_Import!$A$2:$CZ$301,$AG82,Field_Map!$B$17)&amp;"",Lists!$M$5:$M$19,0)),INDEX(Kobo_Import!$A$2:$CZ$301,$AG82,Field_Map!$B$17)&amp;"")))</f>
        <v>No</v>
      </c>
      <c r="J82" s="46">
        <f>IF($AG82="","",IFERROR(VALUE(INDEX(Kobo_Import!$A$2:$CZ$301,$AG82,Field_Map!$B$18)&amp;""),0))</f>
        <v>0</v>
      </c>
      <c r="K82" s="46">
        <f>IF($AG82="","",IFERROR(VALUE(INDEX(Kobo_Import!$A$2:$CZ$301,$AG82,Field_Map!$B$19)&amp;""),0))</f>
        <v>5</v>
      </c>
      <c r="L82" s="46">
        <f>IF($AG82="","",IFERROR(VALUE(INDEX(Kobo_Import!$A$2:$CZ$301,$AG82,Field_Map!$B$20)&amp;""),0))</f>
        <v>2</v>
      </c>
      <c r="M82" s="46">
        <f>IF($AG82="","",IFERROR(VALUE(INDEX(Kobo_Import!$A$2:$CZ$301,$AG82,Field_Map!$B$21)&amp;""),0))</f>
        <v>0</v>
      </c>
      <c r="N82" s="46">
        <f>IF($AG82="","",IFERROR(VALUE(INDEX(Kobo_Import!$A$2:$CZ$301,$AG82,Field_Map!$B$22)&amp;""),0))</f>
        <v>1</v>
      </c>
      <c r="O82" s="46">
        <f>IF($AG82="","",IFERROR(VALUE(INDEX(Kobo_Import!$A$2:$CZ$301,$AG82,Field_Map!$B$23)&amp;""),0))</f>
        <v>0</v>
      </c>
      <c r="P82" s="46">
        <f>IF($AG82="","",IFERROR(VALUE(INDEX(Kobo_Import!$A$2:$CZ$301,$AG82,Field_Map!$B$24)&amp;""),0))</f>
        <v>0</v>
      </c>
      <c r="Q82" s="46">
        <f>IF($AG82="","",IFERROR(VALUE(INDEX(Kobo_Import!$A$2:$CZ$301,$AG82,Field_Map!$B$25)&amp;""),0))</f>
        <v>14</v>
      </c>
      <c r="R82" s="46">
        <f>IF($AG82="","",IFERROR(VALUE(INDEX(Kobo_Import!$A$2:$CZ$301,$AG82,Field_Map!$B$26)&amp;""),0))</f>
        <v>5</v>
      </c>
      <c r="S82" s="46">
        <f>IF($AG82="","",IFERROR(VALUE(INDEX(Kobo_Import!$A$2:$CZ$301,$AG82,Field_Map!$B$27)&amp;""),0))</f>
        <v>2</v>
      </c>
      <c r="T82" s="46">
        <f>IF($AG82="","",IFERROR(VALUE(INDEX(Kobo_Import!$A$2:$CZ$301,$AG82,Field_Map!$B$28)&amp;""),0))</f>
        <v>0</v>
      </c>
      <c r="U82" s="46" t="str">
        <f>IF($AG82="","",IF(IFERROR(INDEX(Kobo_Import!$A$2:$CZ$301,$AG82,Field_Map!$B$29)&amp;"","")="","",IFERROR(INDEX(Lists!$N$5:$N$19,MATCH(INDEX(Kobo_Import!$A$2:$CZ$301,$AG82,Field_Map!$B$29)&amp;"",Lists!$M$5:$M$19,0)),INDEX(Kobo_Import!$A$2:$CZ$301,$AG82,Field_Map!$B$29)&amp;"")))</f>
        <v/>
      </c>
      <c r="V82" s="50">
        <f>IF($A82="","",Settings!$B$5-F82)</f>
        <v>5</v>
      </c>
      <c r="W82" s="46">
        <f>IF($A82="","",(J82&gt;0)*Settings!$B$22+(P82&gt;0)*Settings!$B$23+(M82&gt;0)*Settings!$B$24+(O82&gt;0)*Settings!$B$25+(I82="Yes")*Settings!$B$26+(D82="Unusable")*Settings!$B$27+(D82="Damaged")*Settings!$B$28+(H82&gt;=Settings!$B$30)*Settings!$B$29)</f>
        <v>2</v>
      </c>
      <c r="X82" s="46" t="str">
        <f>IF($A82="","",IF(W82&gt;=Settings!$B$31,"High",IF(W82&gt;=Settings!$B$32,"Medium","Low")))</f>
        <v>Low</v>
      </c>
      <c r="Y82" s="46" t="str">
        <f>IF($A82="","",IF(V82&gt;Settings!$B$21,"Yes",""))</f>
        <v/>
      </c>
      <c r="Z82" s="46">
        <f>IF($A82="","",COUNTIFS(Referrals!$B$5:$B$52,$A82,Referrals!$G$5:$G$52,"Referred")+COUNTIFS(Referrals!$B$5:$B$52,$A82,Referrals!$G$5:$G$52,"Acknowledged"))</f>
        <v>0</v>
      </c>
      <c r="AA82" s="46">
        <f>IF($A82="","",COUNTIFS(Referrals!$B$5:$B$52,$A82,Referrals!$K$5:$K$52,"Overdue"))</f>
        <v>0</v>
      </c>
      <c r="AB82" s="46" t="str">
        <f>IF($A82="","",IF(AND(J82&gt;0,U82="Yes"),IF(COUNTIFS(Referrals!$B$5:$B$52,$A82,Referrals!$D$5:$D$52,"Nutrition / IYCF")=0,"Referral needed","Referred"),""))</f>
        <v/>
      </c>
      <c r="AC82" s="46" t="str">
        <f>IF($A82="","",IF(N(Needs_Gaps!O82)&gt;0,"Yes",""))</f>
        <v>Yes</v>
      </c>
      <c r="AD82" s="46" t="str">
        <f>IF($A82="","",IF(COUNTIFS(Maintenance_Log!$C$5:$C$40,$A82,Maintenance_Log!$H$5:$H$40,"&lt;&gt;Resolved")&gt;0,"Yes",""))</f>
        <v/>
      </c>
      <c r="AE82" s="46">
        <f t="shared" si="4"/>
        <v>1</v>
      </c>
      <c r="AF82" s="46">
        <f t="shared" si="5"/>
        <v>102922</v>
      </c>
      <c r="AG82" s="46">
        <f>IFERROR(MATCH(ROW()-4,Import_Index!$H$5:$H$304,0),"")</f>
        <v>134</v>
      </c>
    </row>
    <row r="83" spans="1:33" x14ac:dyDescent="0.3">
      <c r="A83" s="46" t="str">
        <f>IF($AG83="","",IFERROR(INDEX(Kobo_Import!$A$2:$CZ$301,$AG83,Field_Map!$B$13)&amp;"",""))</f>
        <v>HH-079</v>
      </c>
      <c r="B83" s="46" t="str">
        <f>IF($AG83="","",IF(IFERROR(INDEX(Kobo_Import!$A$2:$CZ$301,$AG83,Field_Map!$B$9)&amp;"","")="","",IFERROR(INDEX(Lists!$N$5:$N$19,MATCH(INDEX(Kobo_Import!$A$2:$CZ$301,$AG83,Field_Map!$B$9)&amp;"",Lists!$M$5:$M$19,0)),INDEX(Kobo_Import!$A$2:$CZ$301,$AG83,Field_Map!$B$9)&amp;"")))</f>
        <v>Site C – Informal Tent Area</v>
      </c>
      <c r="C83" s="46" t="str">
        <f>IF($AG83="","",IF(IFERROR(INDEX(Kobo_Import!$A$2:$CZ$301,$AG83,Field_Map!$B$14)&amp;"","")="","",IFERROR(INDEX(Lists!$N$5:$N$19,MATCH(INDEX(Kobo_Import!$A$2:$CZ$301,$AG83,Field_Map!$B$14)&amp;"",Lists!$M$5:$M$19,0)),INDEX(Kobo_Import!$A$2:$CZ$301,$AG83,Field_Map!$B$14)&amp;"")))</f>
        <v>Makeshift shelter</v>
      </c>
      <c r="D83" s="46" t="str">
        <f>IF($AG83="","",IF(IFERROR(INDEX(Kobo_Import!$A$2:$CZ$301,$AG83,Field_Map!$B$15)&amp;"","")="","",IFERROR(INDEX(Lists!$N$5:$N$19,MATCH(INDEX(Kobo_Import!$A$2:$CZ$301,$AG83,Field_Map!$B$15)&amp;"",Lists!$M$5:$M$19,0)),INDEX(Kobo_Import!$A$2:$CZ$301,$AG83,Field_Map!$B$15)&amp;"")))</f>
        <v>Adequate</v>
      </c>
      <c r="E83" s="49">
        <f>IF($A83="","",IFERROR(INDEX(Import_Index!$D$5:$D$304,MATCH($A83&amp;"|registration",Import_Index!$I$5:$I$304,0)),F83))</f>
        <v>46010</v>
      </c>
      <c r="F83" s="49">
        <f>IF($AG83="","",INDEX(Import_Index!$D$5:$D$304,$AG83))</f>
        <v>46010</v>
      </c>
      <c r="G83" s="46">
        <f>IF($A83="","",COUNTIFS(Import_Index!$B$5:$B$304,$A83,Import_Index!$C$5:$C$304,"yes"))</f>
        <v>1</v>
      </c>
      <c r="H83" s="46">
        <f>IF($AG83="","",IFERROR(VALUE(INDEX(Kobo_Import!$A$2:$CZ$301,$AG83,Field_Map!$B$16)&amp;""),0))</f>
        <v>6</v>
      </c>
      <c r="I83" s="46" t="str">
        <f>IF($AG83="","",IF(IFERROR(INDEX(Kobo_Import!$A$2:$CZ$301,$AG83,Field_Map!$B$17)&amp;"","")="","",IFERROR(INDEX(Lists!$N$5:$N$19,MATCH(INDEX(Kobo_Import!$A$2:$CZ$301,$AG83,Field_Map!$B$17)&amp;"",Lists!$M$5:$M$19,0)),INDEX(Kobo_Import!$A$2:$CZ$301,$AG83,Field_Map!$B$17)&amp;"")))</f>
        <v>No</v>
      </c>
      <c r="J83" s="46">
        <f>IF($AG83="","",IFERROR(VALUE(INDEX(Kobo_Import!$A$2:$CZ$301,$AG83,Field_Map!$B$18)&amp;""),0))</f>
        <v>0</v>
      </c>
      <c r="K83" s="46">
        <f>IF($AG83="","",IFERROR(VALUE(INDEX(Kobo_Import!$A$2:$CZ$301,$AG83,Field_Map!$B$19)&amp;""),0))</f>
        <v>4</v>
      </c>
      <c r="L83" s="46">
        <f>IF($AG83="","",IFERROR(VALUE(INDEX(Kobo_Import!$A$2:$CZ$301,$AG83,Field_Map!$B$20)&amp;""),0))</f>
        <v>2</v>
      </c>
      <c r="M83" s="46">
        <f>IF($AG83="","",IFERROR(VALUE(INDEX(Kobo_Import!$A$2:$CZ$301,$AG83,Field_Map!$B$21)&amp;""),0))</f>
        <v>0</v>
      </c>
      <c r="N83" s="46">
        <f>IF($AG83="","",IFERROR(VALUE(INDEX(Kobo_Import!$A$2:$CZ$301,$AG83,Field_Map!$B$22)&amp;""),0))</f>
        <v>2</v>
      </c>
      <c r="O83" s="46">
        <f>IF($AG83="","",IFERROR(VALUE(INDEX(Kobo_Import!$A$2:$CZ$301,$AG83,Field_Map!$B$23)&amp;""),0))</f>
        <v>0</v>
      </c>
      <c r="P83" s="46">
        <f>IF($AG83="","",IFERROR(VALUE(INDEX(Kobo_Import!$A$2:$CZ$301,$AG83,Field_Map!$B$24)&amp;""),0))</f>
        <v>1</v>
      </c>
      <c r="Q83" s="46">
        <f>IF($AG83="","",IFERROR(VALUE(INDEX(Kobo_Import!$A$2:$CZ$301,$AG83,Field_Map!$B$25)&amp;""),0))</f>
        <v>4</v>
      </c>
      <c r="R83" s="46">
        <f>IF($AG83="","",IFERROR(VALUE(INDEX(Kobo_Import!$A$2:$CZ$301,$AG83,Field_Map!$B$26)&amp;""),0))</f>
        <v>3</v>
      </c>
      <c r="S83" s="46">
        <f>IF($AG83="","",IFERROR(VALUE(INDEX(Kobo_Import!$A$2:$CZ$301,$AG83,Field_Map!$B$27)&amp;""),0))</f>
        <v>1</v>
      </c>
      <c r="T83" s="46">
        <f>IF($AG83="","",IFERROR(VALUE(INDEX(Kobo_Import!$A$2:$CZ$301,$AG83,Field_Map!$B$28)&amp;""),0))</f>
        <v>1</v>
      </c>
      <c r="U83" s="46" t="str">
        <f>IF($AG83="","",IF(IFERROR(INDEX(Kobo_Import!$A$2:$CZ$301,$AG83,Field_Map!$B$29)&amp;"","")="","",IFERROR(INDEX(Lists!$N$5:$N$19,MATCH(INDEX(Kobo_Import!$A$2:$CZ$301,$AG83,Field_Map!$B$29)&amp;"",Lists!$M$5:$M$19,0)),INDEX(Kobo_Import!$A$2:$CZ$301,$AG83,Field_Map!$B$29)&amp;"")))</f>
        <v/>
      </c>
      <c r="V83" s="50">
        <f>IF($A83="","",Settings!$B$5-F83)</f>
        <v>43</v>
      </c>
      <c r="W83" s="46">
        <f>IF($A83="","",(J83&gt;0)*Settings!$B$22+(P83&gt;0)*Settings!$B$23+(M83&gt;0)*Settings!$B$24+(O83&gt;0)*Settings!$B$25+(I83="Yes")*Settings!$B$26+(D83="Unusable")*Settings!$B$27+(D83="Damaged")*Settings!$B$28+(H83&gt;=Settings!$B$30)*Settings!$B$29)</f>
        <v>2</v>
      </c>
      <c r="X83" s="46" t="str">
        <f>IF($A83="","",IF(W83&gt;=Settings!$B$31,"High",IF(W83&gt;=Settings!$B$32,"Medium","Low")))</f>
        <v>Low</v>
      </c>
      <c r="Y83" s="46" t="str">
        <f>IF($A83="","",IF(V83&gt;Settings!$B$21,"Yes",""))</f>
        <v>Yes</v>
      </c>
      <c r="Z83" s="46">
        <f>IF($A83="","",COUNTIFS(Referrals!$B$5:$B$52,$A83,Referrals!$G$5:$G$52,"Referred")+COUNTIFS(Referrals!$B$5:$B$52,$A83,Referrals!$G$5:$G$52,"Acknowledged"))</f>
        <v>0</v>
      </c>
      <c r="AA83" s="46">
        <f>IF($A83="","",COUNTIFS(Referrals!$B$5:$B$52,$A83,Referrals!$K$5:$K$52,"Overdue"))</f>
        <v>0</v>
      </c>
      <c r="AB83" s="46" t="str">
        <f>IF($A83="","",IF(AND(J83&gt;0,U83="Yes"),IF(COUNTIFS(Referrals!$B$5:$B$52,$A83,Referrals!$D$5:$D$52,"Nutrition / IYCF")=0,"Referral needed","Referred"),""))</f>
        <v/>
      </c>
      <c r="AC83" s="46" t="str">
        <f>IF($A83="","",IF(N(Needs_Gaps!O83)&gt;0,"Yes",""))</f>
        <v/>
      </c>
      <c r="AD83" s="46" t="str">
        <f>IF($A83="","",IF(COUNTIFS(Maintenance_Log!$C$5:$C$40,$A83,Maintenance_Log!$H$5:$H$40,"&lt;&gt;Resolved")&gt;0,"Yes",""))</f>
        <v/>
      </c>
      <c r="AE83" s="46">
        <f t="shared" si="4"/>
        <v>1</v>
      </c>
      <c r="AF83" s="46">
        <f t="shared" si="5"/>
        <v>102921</v>
      </c>
      <c r="AG83" s="46">
        <f>IFERROR(MATCH(ROW()-4,Import_Index!$H$5:$H$304,0),"")</f>
        <v>11</v>
      </c>
    </row>
    <row r="84" spans="1:33" x14ac:dyDescent="0.3">
      <c r="A84" s="46" t="str">
        <f>IF($AG84="","",IFERROR(INDEX(Kobo_Import!$A$2:$CZ$301,$AG84,Field_Map!$B$13)&amp;"",""))</f>
        <v>HH-080</v>
      </c>
      <c r="B84" s="46" t="str">
        <f>IF($AG84="","",IF(IFERROR(INDEX(Kobo_Import!$A$2:$CZ$301,$AG84,Field_Map!$B$9)&amp;"","")="","",IFERROR(INDEX(Lists!$N$5:$N$19,MATCH(INDEX(Kobo_Import!$A$2:$CZ$301,$AG84,Field_Map!$B$9)&amp;"",Lists!$M$5:$M$19,0)),INDEX(Kobo_Import!$A$2:$CZ$301,$AG84,Field_Map!$B$9)&amp;"")))</f>
        <v>Site C – Informal Tent Area</v>
      </c>
      <c r="C84" s="46" t="str">
        <f>IF($AG84="","",IF(IFERROR(INDEX(Kobo_Import!$A$2:$CZ$301,$AG84,Field_Map!$B$14)&amp;"","")="","",IFERROR(INDEX(Lists!$N$5:$N$19,MATCH(INDEX(Kobo_Import!$A$2:$CZ$301,$AG84,Field_Map!$B$14)&amp;"",Lists!$M$5:$M$19,0)),INDEX(Kobo_Import!$A$2:$CZ$301,$AG84,Field_Map!$B$14)&amp;"")))</f>
        <v>Makeshift shelter</v>
      </c>
      <c r="D84" s="46" t="str">
        <f>IF($AG84="","",IF(IFERROR(INDEX(Kobo_Import!$A$2:$CZ$301,$AG84,Field_Map!$B$15)&amp;"","")="","",IFERROR(INDEX(Lists!$N$5:$N$19,MATCH(INDEX(Kobo_Import!$A$2:$CZ$301,$AG84,Field_Map!$B$15)&amp;"",Lists!$M$5:$M$19,0)),INDEX(Kobo_Import!$A$2:$CZ$301,$AG84,Field_Map!$B$15)&amp;"")))</f>
        <v>Adequate</v>
      </c>
      <c r="E84" s="49">
        <f>IF($A84="","",IFERROR(INDEX(Import_Index!$D$5:$D$304,MATCH($A84&amp;"|registration",Import_Index!$I$5:$I$304,0)),F84))</f>
        <v>46031</v>
      </c>
      <c r="F84" s="49">
        <f>IF($AG84="","",INDEX(Import_Index!$D$5:$D$304,$AG84))</f>
        <v>46031</v>
      </c>
      <c r="G84" s="46">
        <f>IF($A84="","",COUNTIFS(Import_Index!$B$5:$B$304,$A84,Import_Index!$C$5:$C$304,"yes"))</f>
        <v>1</v>
      </c>
      <c r="H84" s="46">
        <f>IF($AG84="","",IFERROR(VALUE(INDEX(Kobo_Import!$A$2:$CZ$301,$AG84,Field_Map!$B$16)&amp;""),0))</f>
        <v>8</v>
      </c>
      <c r="I84" s="46" t="str">
        <f>IF($AG84="","",IF(IFERROR(INDEX(Kobo_Import!$A$2:$CZ$301,$AG84,Field_Map!$B$17)&amp;"","")="","",IFERROR(INDEX(Lists!$N$5:$N$19,MATCH(INDEX(Kobo_Import!$A$2:$CZ$301,$AG84,Field_Map!$B$17)&amp;"",Lists!$M$5:$M$19,0)),INDEX(Kobo_Import!$A$2:$CZ$301,$AG84,Field_Map!$B$17)&amp;"")))</f>
        <v>No</v>
      </c>
      <c r="J84" s="46">
        <f>IF($AG84="","",IFERROR(VALUE(INDEX(Kobo_Import!$A$2:$CZ$301,$AG84,Field_Map!$B$18)&amp;""),0))</f>
        <v>0</v>
      </c>
      <c r="K84" s="46">
        <f>IF($AG84="","",IFERROR(VALUE(INDEX(Kobo_Import!$A$2:$CZ$301,$AG84,Field_Map!$B$19)&amp;""),0))</f>
        <v>5</v>
      </c>
      <c r="L84" s="46">
        <f>IF($AG84="","",IFERROR(VALUE(INDEX(Kobo_Import!$A$2:$CZ$301,$AG84,Field_Map!$B$20)&amp;""),0))</f>
        <v>2</v>
      </c>
      <c r="M84" s="46">
        <f>IF($AG84="","",IFERROR(VALUE(INDEX(Kobo_Import!$A$2:$CZ$301,$AG84,Field_Map!$B$21)&amp;""),0))</f>
        <v>1</v>
      </c>
      <c r="N84" s="46">
        <f>IF($AG84="","",IFERROR(VALUE(INDEX(Kobo_Import!$A$2:$CZ$301,$AG84,Field_Map!$B$22)&amp;""),0))</f>
        <v>1</v>
      </c>
      <c r="O84" s="46">
        <f>IF($AG84="","",IFERROR(VALUE(INDEX(Kobo_Import!$A$2:$CZ$301,$AG84,Field_Map!$B$23)&amp;""),0))</f>
        <v>0</v>
      </c>
      <c r="P84" s="46">
        <f>IF($AG84="","",IFERROR(VALUE(INDEX(Kobo_Import!$A$2:$CZ$301,$AG84,Field_Map!$B$24)&amp;""),0))</f>
        <v>0</v>
      </c>
      <c r="Q84" s="46">
        <f>IF($AG84="","",IFERROR(VALUE(INDEX(Kobo_Import!$A$2:$CZ$301,$AG84,Field_Map!$B$25)&amp;""),0))</f>
        <v>4</v>
      </c>
      <c r="R84" s="46">
        <f>IF($AG84="","",IFERROR(VALUE(INDEX(Kobo_Import!$A$2:$CZ$301,$AG84,Field_Map!$B$26)&amp;""),0))</f>
        <v>0</v>
      </c>
      <c r="S84" s="46">
        <f>IF($AG84="","",IFERROR(VALUE(INDEX(Kobo_Import!$A$2:$CZ$301,$AG84,Field_Map!$B$27)&amp;""),0))</f>
        <v>1</v>
      </c>
      <c r="T84" s="46">
        <f>IF($AG84="","",IFERROR(VALUE(INDEX(Kobo_Import!$A$2:$CZ$301,$AG84,Field_Map!$B$28)&amp;""),0))</f>
        <v>3</v>
      </c>
      <c r="U84" s="46" t="str">
        <f>IF($AG84="","",IF(IFERROR(INDEX(Kobo_Import!$A$2:$CZ$301,$AG84,Field_Map!$B$29)&amp;"","")="","",IFERROR(INDEX(Lists!$N$5:$N$19,MATCH(INDEX(Kobo_Import!$A$2:$CZ$301,$AG84,Field_Map!$B$29)&amp;"",Lists!$M$5:$M$19,0)),INDEX(Kobo_Import!$A$2:$CZ$301,$AG84,Field_Map!$B$29)&amp;"")))</f>
        <v/>
      </c>
      <c r="V84" s="50">
        <f>IF($A84="","",Settings!$B$5-F84)</f>
        <v>22</v>
      </c>
      <c r="W84" s="46">
        <f>IF($A84="","",(J84&gt;0)*Settings!$B$22+(P84&gt;0)*Settings!$B$23+(M84&gt;0)*Settings!$B$24+(O84&gt;0)*Settings!$B$25+(I84="Yes")*Settings!$B$26+(D84="Unusable")*Settings!$B$27+(D84="Damaged")*Settings!$B$28+(H84&gt;=Settings!$B$30)*Settings!$B$29)</f>
        <v>1</v>
      </c>
      <c r="X84" s="46" t="str">
        <f>IF($A84="","",IF(W84&gt;=Settings!$B$31,"High",IF(W84&gt;=Settings!$B$32,"Medium","Low")))</f>
        <v>Low</v>
      </c>
      <c r="Y84" s="46" t="str">
        <f>IF($A84="","",IF(V84&gt;Settings!$B$21,"Yes",""))</f>
        <v/>
      </c>
      <c r="Z84" s="46">
        <f>IF($A84="","",COUNTIFS(Referrals!$B$5:$B$52,$A84,Referrals!$G$5:$G$52,"Referred")+COUNTIFS(Referrals!$B$5:$B$52,$A84,Referrals!$G$5:$G$52,"Acknowledged"))</f>
        <v>0</v>
      </c>
      <c r="AA84" s="46">
        <f>IF($A84="","",COUNTIFS(Referrals!$B$5:$B$52,$A84,Referrals!$K$5:$K$52,"Overdue"))</f>
        <v>0</v>
      </c>
      <c r="AB84" s="46" t="str">
        <f>IF($A84="","",IF(AND(J84&gt;0,U84="Yes"),IF(COUNTIFS(Referrals!$B$5:$B$52,$A84,Referrals!$D$5:$D$52,"Nutrition / IYCF")=0,"Referral needed","Referred"),""))</f>
        <v/>
      </c>
      <c r="AC84" s="46" t="str">
        <f>IF($A84="","",IF(N(Needs_Gaps!O84)&gt;0,"Yes",""))</f>
        <v/>
      </c>
      <c r="AD84" s="46" t="str">
        <f>IF($A84="","",IF(COUNTIFS(Maintenance_Log!$C$5:$C$40,$A84,Maintenance_Log!$H$5:$H$40,"&lt;&gt;Resolved")&gt;0,"Yes",""))</f>
        <v/>
      </c>
      <c r="AE84" s="46">
        <f t="shared" si="4"/>
        <v>0</v>
      </c>
      <c r="AF84" s="46">
        <f t="shared" si="5"/>
        <v>0</v>
      </c>
      <c r="AG84" s="46">
        <f>IFERROR(MATCH(ROW()-4,Import_Index!$H$5:$H$304,0),"")</f>
        <v>65</v>
      </c>
    </row>
    <row r="85" spans="1:33" x14ac:dyDescent="0.3">
      <c r="A85" s="46" t="str">
        <f>IF($AG85="","",IFERROR(INDEX(Kobo_Import!$A$2:$CZ$301,$AG85,Field_Map!$B$13)&amp;"",""))</f>
        <v>HH-081</v>
      </c>
      <c r="B85" s="46" t="str">
        <f>IF($AG85="","",IF(IFERROR(INDEX(Kobo_Import!$A$2:$CZ$301,$AG85,Field_Map!$B$9)&amp;"","")="","",IFERROR(INDEX(Lists!$N$5:$N$19,MATCH(INDEX(Kobo_Import!$A$2:$CZ$301,$AG85,Field_Map!$B$9)&amp;"",Lists!$M$5:$M$19,0)),INDEX(Kobo_Import!$A$2:$CZ$301,$AG85,Field_Map!$B$9)&amp;"")))</f>
        <v>Site C – Informal Tent Area</v>
      </c>
      <c r="C85" s="46" t="str">
        <f>IF($AG85="","",IF(IFERROR(INDEX(Kobo_Import!$A$2:$CZ$301,$AG85,Field_Map!$B$14)&amp;"","")="","",IFERROR(INDEX(Lists!$N$5:$N$19,MATCH(INDEX(Kobo_Import!$A$2:$CZ$301,$AG85,Field_Map!$B$14)&amp;"",Lists!$M$5:$M$19,0)),INDEX(Kobo_Import!$A$2:$CZ$301,$AG85,Field_Map!$B$14)&amp;"")))</f>
        <v>Tent</v>
      </c>
      <c r="D85" s="46" t="str">
        <f>IF($AG85="","",IF(IFERROR(INDEX(Kobo_Import!$A$2:$CZ$301,$AG85,Field_Map!$B$15)&amp;"","")="","",IFERROR(INDEX(Lists!$N$5:$N$19,MATCH(INDEX(Kobo_Import!$A$2:$CZ$301,$AG85,Field_Map!$B$15)&amp;"",Lists!$M$5:$M$19,0)),INDEX(Kobo_Import!$A$2:$CZ$301,$AG85,Field_Map!$B$15)&amp;"")))</f>
        <v>Unusable</v>
      </c>
      <c r="E85" s="49">
        <f>IF($A85="","",IFERROR(INDEX(Import_Index!$D$5:$D$304,MATCH($A85&amp;"|registration",Import_Index!$I$5:$I$304,0)),F85))</f>
        <v>46008</v>
      </c>
      <c r="F85" s="49">
        <f>IF($AG85="","",INDEX(Import_Index!$D$5:$D$304,$AG85))</f>
        <v>46038</v>
      </c>
      <c r="G85" s="46">
        <f>IF($A85="","",COUNTIFS(Import_Index!$B$5:$B$304,$A85,Import_Index!$C$5:$C$304,"yes"))</f>
        <v>2</v>
      </c>
      <c r="H85" s="46">
        <f>IF($AG85="","",IFERROR(VALUE(INDEX(Kobo_Import!$A$2:$CZ$301,$AG85,Field_Map!$B$16)&amp;""),0))</f>
        <v>7</v>
      </c>
      <c r="I85" s="46" t="str">
        <f>IF($AG85="","",IF(IFERROR(INDEX(Kobo_Import!$A$2:$CZ$301,$AG85,Field_Map!$B$17)&amp;"","")="","",IFERROR(INDEX(Lists!$N$5:$N$19,MATCH(INDEX(Kobo_Import!$A$2:$CZ$301,$AG85,Field_Map!$B$17)&amp;"",Lists!$M$5:$M$19,0)),INDEX(Kobo_Import!$A$2:$CZ$301,$AG85,Field_Map!$B$17)&amp;"")))</f>
        <v>No</v>
      </c>
      <c r="J85" s="46">
        <f>IF($AG85="","",IFERROR(VALUE(INDEX(Kobo_Import!$A$2:$CZ$301,$AG85,Field_Map!$B$18)&amp;""),0))</f>
        <v>0</v>
      </c>
      <c r="K85" s="46">
        <f>IF($AG85="","",IFERROR(VALUE(INDEX(Kobo_Import!$A$2:$CZ$301,$AG85,Field_Map!$B$19)&amp;""),0))</f>
        <v>4</v>
      </c>
      <c r="L85" s="46">
        <f>IF($AG85="","",IFERROR(VALUE(INDEX(Kobo_Import!$A$2:$CZ$301,$AG85,Field_Map!$B$20)&amp;""),0))</f>
        <v>3</v>
      </c>
      <c r="M85" s="46">
        <f>IF($AG85="","",IFERROR(VALUE(INDEX(Kobo_Import!$A$2:$CZ$301,$AG85,Field_Map!$B$21)&amp;""),0))</f>
        <v>0</v>
      </c>
      <c r="N85" s="46">
        <f>IF($AG85="","",IFERROR(VALUE(INDEX(Kobo_Import!$A$2:$CZ$301,$AG85,Field_Map!$B$22)&amp;""),0))</f>
        <v>2</v>
      </c>
      <c r="O85" s="46">
        <f>IF($AG85="","",IFERROR(VALUE(INDEX(Kobo_Import!$A$2:$CZ$301,$AG85,Field_Map!$B$23)&amp;""),0))</f>
        <v>0</v>
      </c>
      <c r="P85" s="46">
        <f>IF($AG85="","",IFERROR(VALUE(INDEX(Kobo_Import!$A$2:$CZ$301,$AG85,Field_Map!$B$24)&amp;""),0))</f>
        <v>2</v>
      </c>
      <c r="Q85" s="46">
        <f>IF($AG85="","",IFERROR(VALUE(INDEX(Kobo_Import!$A$2:$CZ$301,$AG85,Field_Map!$B$25)&amp;""),0))</f>
        <v>12</v>
      </c>
      <c r="R85" s="46">
        <f>IF($AG85="","",IFERROR(VALUE(INDEX(Kobo_Import!$A$2:$CZ$301,$AG85,Field_Map!$B$26)&amp;""),0))</f>
        <v>6</v>
      </c>
      <c r="S85" s="46">
        <f>IF($AG85="","",IFERROR(VALUE(INDEX(Kobo_Import!$A$2:$CZ$301,$AG85,Field_Map!$B$27)&amp;""),0))</f>
        <v>1</v>
      </c>
      <c r="T85" s="46">
        <f>IF($AG85="","",IFERROR(VALUE(INDEX(Kobo_Import!$A$2:$CZ$301,$AG85,Field_Map!$B$28)&amp;""),0))</f>
        <v>0</v>
      </c>
      <c r="U85" s="46" t="str">
        <f>IF($AG85="","",IF(IFERROR(INDEX(Kobo_Import!$A$2:$CZ$301,$AG85,Field_Map!$B$29)&amp;"","")="","",IFERROR(INDEX(Lists!$N$5:$N$19,MATCH(INDEX(Kobo_Import!$A$2:$CZ$301,$AG85,Field_Map!$B$29)&amp;"",Lists!$M$5:$M$19,0)),INDEX(Kobo_Import!$A$2:$CZ$301,$AG85,Field_Map!$B$29)&amp;"")))</f>
        <v/>
      </c>
      <c r="V85" s="50">
        <f>IF($A85="","",Settings!$B$5-F85)</f>
        <v>15</v>
      </c>
      <c r="W85" s="46">
        <f>IF($A85="","",(J85&gt;0)*Settings!$B$22+(P85&gt;0)*Settings!$B$23+(M85&gt;0)*Settings!$B$24+(O85&gt;0)*Settings!$B$25+(I85="Yes")*Settings!$B$26+(D85="Unusable")*Settings!$B$27+(D85="Damaged")*Settings!$B$28+(H85&gt;=Settings!$B$30)*Settings!$B$29)</f>
        <v>4</v>
      </c>
      <c r="X85" s="46" t="str">
        <f>IF($A85="","",IF(W85&gt;=Settings!$B$31,"High",IF(W85&gt;=Settings!$B$32,"Medium","Low")))</f>
        <v>Medium</v>
      </c>
      <c r="Y85" s="46" t="str">
        <f>IF($A85="","",IF(V85&gt;Settings!$B$21,"Yes",""))</f>
        <v/>
      </c>
      <c r="Z85" s="46">
        <f>IF($A85="","",COUNTIFS(Referrals!$B$5:$B$52,$A85,Referrals!$G$5:$G$52,"Referred")+COUNTIFS(Referrals!$B$5:$B$52,$A85,Referrals!$G$5:$G$52,"Acknowledged"))</f>
        <v>1</v>
      </c>
      <c r="AA85" s="46">
        <f>IF($A85="","",COUNTIFS(Referrals!$B$5:$B$52,$A85,Referrals!$K$5:$K$52,"Overdue"))</f>
        <v>0</v>
      </c>
      <c r="AB85" s="46" t="str">
        <f>IF($A85="","",IF(AND(J85&gt;0,U85="Yes"),IF(COUNTIFS(Referrals!$B$5:$B$52,$A85,Referrals!$D$5:$D$52,"Nutrition / IYCF")=0,"Referral needed","Referred"),""))</f>
        <v/>
      </c>
      <c r="AC85" s="46" t="str">
        <f>IF($A85="","",IF(N(Needs_Gaps!O85)&gt;0,"Yes",""))</f>
        <v>Yes</v>
      </c>
      <c r="AD85" s="46" t="str">
        <f>IF($A85="","",IF(COUNTIFS(Maintenance_Log!$C$5:$C$40,$A85,Maintenance_Log!$H$5:$H$40,"&lt;&gt;Resolved")&gt;0,"Yes",""))</f>
        <v/>
      </c>
      <c r="AE85" s="46">
        <f t="shared" si="4"/>
        <v>1</v>
      </c>
      <c r="AF85" s="46">
        <f t="shared" si="5"/>
        <v>104919</v>
      </c>
      <c r="AG85" s="46">
        <f>IFERROR(MATCH(ROW()-4,Import_Index!$H$5:$H$304,0),"")</f>
        <v>93</v>
      </c>
    </row>
    <row r="86" spans="1:33" x14ac:dyDescent="0.3">
      <c r="A86" s="46" t="str">
        <f>IF($AG86="","",IFERROR(INDEX(Kobo_Import!$A$2:$CZ$301,$AG86,Field_Map!$B$13)&amp;"",""))</f>
        <v>HH-082</v>
      </c>
      <c r="B86" s="46" t="str">
        <f>IF($AG86="","",IF(IFERROR(INDEX(Kobo_Import!$A$2:$CZ$301,$AG86,Field_Map!$B$9)&amp;"","")="","",IFERROR(INDEX(Lists!$N$5:$N$19,MATCH(INDEX(Kobo_Import!$A$2:$CZ$301,$AG86,Field_Map!$B$9)&amp;"",Lists!$M$5:$M$19,0)),INDEX(Kobo_Import!$A$2:$CZ$301,$AG86,Field_Map!$B$9)&amp;"")))</f>
        <v>Site C – Informal Tent Area</v>
      </c>
      <c r="C86" s="46" t="str">
        <f>IF($AG86="","",IF(IFERROR(INDEX(Kobo_Import!$A$2:$CZ$301,$AG86,Field_Map!$B$14)&amp;"","")="","",IFERROR(INDEX(Lists!$N$5:$N$19,MATCH(INDEX(Kobo_Import!$A$2:$CZ$301,$AG86,Field_Map!$B$14)&amp;"",Lists!$M$5:$M$19,0)),INDEX(Kobo_Import!$A$2:$CZ$301,$AG86,Field_Map!$B$14)&amp;"")))</f>
        <v>Makeshift shelter</v>
      </c>
      <c r="D86" s="46" t="str">
        <f>IF($AG86="","",IF(IFERROR(INDEX(Kobo_Import!$A$2:$CZ$301,$AG86,Field_Map!$B$15)&amp;"","")="","",IFERROR(INDEX(Lists!$N$5:$N$19,MATCH(INDEX(Kobo_Import!$A$2:$CZ$301,$AG86,Field_Map!$B$15)&amp;"",Lists!$M$5:$M$19,0)),INDEX(Kobo_Import!$A$2:$CZ$301,$AG86,Field_Map!$B$15)&amp;"")))</f>
        <v>Unusable</v>
      </c>
      <c r="E86" s="49">
        <f>IF($A86="","",IFERROR(INDEX(Import_Index!$D$5:$D$304,MATCH($A86&amp;"|registration",Import_Index!$I$5:$I$304,0)),F86))</f>
        <v>46044</v>
      </c>
      <c r="F86" s="49">
        <f>IF($AG86="","",INDEX(Import_Index!$D$5:$D$304,$AG86))</f>
        <v>46044</v>
      </c>
      <c r="G86" s="46">
        <f>IF($A86="","",COUNTIFS(Import_Index!$B$5:$B$304,$A86,Import_Index!$C$5:$C$304,"yes"))</f>
        <v>1</v>
      </c>
      <c r="H86" s="46">
        <f>IF($AG86="","",IFERROR(VALUE(INDEX(Kobo_Import!$A$2:$CZ$301,$AG86,Field_Map!$B$16)&amp;""),0))</f>
        <v>8</v>
      </c>
      <c r="I86" s="46" t="str">
        <f>IF($AG86="","",IF(IFERROR(INDEX(Kobo_Import!$A$2:$CZ$301,$AG86,Field_Map!$B$17)&amp;"","")="","",IFERROR(INDEX(Lists!$N$5:$N$19,MATCH(INDEX(Kobo_Import!$A$2:$CZ$301,$AG86,Field_Map!$B$17)&amp;"",Lists!$M$5:$M$19,0)),INDEX(Kobo_Import!$A$2:$CZ$301,$AG86,Field_Map!$B$17)&amp;"")))</f>
        <v>Yes</v>
      </c>
      <c r="J86" s="46">
        <f>IF($AG86="","",IFERROR(VALUE(INDEX(Kobo_Import!$A$2:$CZ$301,$AG86,Field_Map!$B$18)&amp;""),0))</f>
        <v>0</v>
      </c>
      <c r="K86" s="46">
        <f>IF($AG86="","",IFERROR(VALUE(INDEX(Kobo_Import!$A$2:$CZ$301,$AG86,Field_Map!$B$19)&amp;""),0))</f>
        <v>5</v>
      </c>
      <c r="L86" s="46">
        <f>IF($AG86="","",IFERROR(VALUE(INDEX(Kobo_Import!$A$2:$CZ$301,$AG86,Field_Map!$B$20)&amp;""),0))</f>
        <v>2</v>
      </c>
      <c r="M86" s="46">
        <f>IF($AG86="","",IFERROR(VALUE(INDEX(Kobo_Import!$A$2:$CZ$301,$AG86,Field_Map!$B$21)&amp;""),0))</f>
        <v>1</v>
      </c>
      <c r="N86" s="46">
        <f>IF($AG86="","",IFERROR(VALUE(INDEX(Kobo_Import!$A$2:$CZ$301,$AG86,Field_Map!$B$22)&amp;""),0))</f>
        <v>3</v>
      </c>
      <c r="O86" s="46">
        <f>IF($AG86="","",IFERROR(VALUE(INDEX(Kobo_Import!$A$2:$CZ$301,$AG86,Field_Map!$B$23)&amp;""),0))</f>
        <v>0</v>
      </c>
      <c r="P86" s="46">
        <f>IF($AG86="","",IFERROR(VALUE(INDEX(Kobo_Import!$A$2:$CZ$301,$AG86,Field_Map!$B$24)&amp;""),0))</f>
        <v>0</v>
      </c>
      <c r="Q86" s="46">
        <f>IF($AG86="","",IFERROR(VALUE(INDEX(Kobo_Import!$A$2:$CZ$301,$AG86,Field_Map!$B$25)&amp;""),0))</f>
        <v>11</v>
      </c>
      <c r="R86" s="46">
        <f>IF($AG86="","",IFERROR(VALUE(INDEX(Kobo_Import!$A$2:$CZ$301,$AG86,Field_Map!$B$26)&amp;""),0))</f>
        <v>4</v>
      </c>
      <c r="S86" s="46">
        <f>IF($AG86="","",IFERROR(VALUE(INDEX(Kobo_Import!$A$2:$CZ$301,$AG86,Field_Map!$B$27)&amp;""),0))</f>
        <v>3</v>
      </c>
      <c r="T86" s="46">
        <f>IF($AG86="","",IFERROR(VALUE(INDEX(Kobo_Import!$A$2:$CZ$301,$AG86,Field_Map!$B$28)&amp;""),0))</f>
        <v>1</v>
      </c>
      <c r="U86" s="46" t="str">
        <f>IF($AG86="","",IF(IFERROR(INDEX(Kobo_Import!$A$2:$CZ$301,$AG86,Field_Map!$B$29)&amp;"","")="","",IFERROR(INDEX(Lists!$N$5:$N$19,MATCH(INDEX(Kobo_Import!$A$2:$CZ$301,$AG86,Field_Map!$B$29)&amp;"",Lists!$M$5:$M$19,0)),INDEX(Kobo_Import!$A$2:$CZ$301,$AG86,Field_Map!$B$29)&amp;"")))</f>
        <v/>
      </c>
      <c r="V86" s="50">
        <f>IF($A86="","",Settings!$B$5-F86)</f>
        <v>9</v>
      </c>
      <c r="W86" s="46">
        <f>IF($A86="","",(J86&gt;0)*Settings!$B$22+(P86&gt;0)*Settings!$B$23+(M86&gt;0)*Settings!$B$24+(O86&gt;0)*Settings!$B$25+(I86="Yes")*Settings!$B$26+(D86="Unusable")*Settings!$B$27+(D86="Damaged")*Settings!$B$28+(H86&gt;=Settings!$B$30)*Settings!$B$29)</f>
        <v>4</v>
      </c>
      <c r="X86" s="46" t="str">
        <f>IF($A86="","",IF(W86&gt;=Settings!$B$31,"High",IF(W86&gt;=Settings!$B$32,"Medium","Low")))</f>
        <v>Medium</v>
      </c>
      <c r="Y86" s="46" t="str">
        <f>IF($A86="","",IF(V86&gt;Settings!$B$21,"Yes",""))</f>
        <v/>
      </c>
      <c r="Z86" s="46">
        <f>IF($A86="","",COUNTIFS(Referrals!$B$5:$B$52,$A86,Referrals!$G$5:$G$52,"Referred")+COUNTIFS(Referrals!$B$5:$B$52,$A86,Referrals!$G$5:$G$52,"Acknowledged"))</f>
        <v>1</v>
      </c>
      <c r="AA86" s="46">
        <f>IF($A86="","",COUNTIFS(Referrals!$B$5:$B$52,$A86,Referrals!$K$5:$K$52,"Overdue"))</f>
        <v>0</v>
      </c>
      <c r="AB86" s="46" t="str">
        <f>IF($A86="","",IF(AND(J86&gt;0,U86="Yes"),IF(COUNTIFS(Referrals!$B$5:$B$52,$A86,Referrals!$D$5:$D$52,"Nutrition / IYCF")=0,"Referral needed","Referred"),""))</f>
        <v/>
      </c>
      <c r="AC86" s="46" t="str">
        <f>IF($A86="","",IF(N(Needs_Gaps!O86)&gt;0,"Yes",""))</f>
        <v>Yes</v>
      </c>
      <c r="AD86" s="46" t="str">
        <f>IF($A86="","",IF(COUNTIFS(Maintenance_Log!$C$5:$C$40,$A86,Maintenance_Log!$H$5:$H$40,"&lt;&gt;Resolved")&gt;0,"Yes",""))</f>
        <v/>
      </c>
      <c r="AE86" s="46">
        <f t="shared" si="4"/>
        <v>1</v>
      </c>
      <c r="AF86" s="46">
        <f t="shared" si="5"/>
        <v>104918</v>
      </c>
      <c r="AG86" s="46">
        <f>IFERROR(MATCH(ROW()-4,Import_Index!$H$5:$H$304,0),"")</f>
        <v>115</v>
      </c>
    </row>
    <row r="87" spans="1:33" x14ac:dyDescent="0.3">
      <c r="A87" s="46" t="str">
        <f>IF($AG87="","",IFERROR(INDEX(Kobo_Import!$A$2:$CZ$301,$AG87,Field_Map!$B$13)&amp;"",""))</f>
        <v>HH-083</v>
      </c>
      <c r="B87" s="46" t="str">
        <f>IF($AG87="","",IF(IFERROR(INDEX(Kobo_Import!$A$2:$CZ$301,$AG87,Field_Map!$B$9)&amp;"","")="","",IFERROR(INDEX(Lists!$N$5:$N$19,MATCH(INDEX(Kobo_Import!$A$2:$CZ$301,$AG87,Field_Map!$B$9)&amp;"",Lists!$M$5:$M$19,0)),INDEX(Kobo_Import!$A$2:$CZ$301,$AG87,Field_Map!$B$9)&amp;"")))</f>
        <v>Site C – Informal Tent Area</v>
      </c>
      <c r="C87" s="46" t="str">
        <f>IF($AG87="","",IF(IFERROR(INDEX(Kobo_Import!$A$2:$CZ$301,$AG87,Field_Map!$B$14)&amp;"","")="","",IFERROR(INDEX(Lists!$N$5:$N$19,MATCH(INDEX(Kobo_Import!$A$2:$CZ$301,$AG87,Field_Map!$B$14)&amp;"",Lists!$M$5:$M$19,0)),INDEX(Kobo_Import!$A$2:$CZ$301,$AG87,Field_Map!$B$14)&amp;"")))</f>
        <v>Tent</v>
      </c>
      <c r="D87" s="46" t="str">
        <f>IF($AG87="","",IF(IFERROR(INDEX(Kobo_Import!$A$2:$CZ$301,$AG87,Field_Map!$B$15)&amp;"","")="","",IFERROR(INDEX(Lists!$N$5:$N$19,MATCH(INDEX(Kobo_Import!$A$2:$CZ$301,$AG87,Field_Map!$B$15)&amp;"",Lists!$M$5:$M$19,0)),INDEX(Kobo_Import!$A$2:$CZ$301,$AG87,Field_Map!$B$15)&amp;"")))</f>
        <v>Adequate</v>
      </c>
      <c r="E87" s="49">
        <f>IF($A87="","",IFERROR(INDEX(Import_Index!$D$5:$D$304,MATCH($A87&amp;"|registration",Import_Index!$I$5:$I$304,0)),F87))</f>
        <v>46045</v>
      </c>
      <c r="F87" s="49">
        <f>IF($AG87="","",INDEX(Import_Index!$D$5:$D$304,$AG87))</f>
        <v>46045</v>
      </c>
      <c r="G87" s="46">
        <f>IF($A87="","",COUNTIFS(Import_Index!$B$5:$B$304,$A87,Import_Index!$C$5:$C$304,"yes"))</f>
        <v>1</v>
      </c>
      <c r="H87" s="46">
        <f>IF($AG87="","",IFERROR(VALUE(INDEX(Kobo_Import!$A$2:$CZ$301,$AG87,Field_Map!$B$16)&amp;""),0))</f>
        <v>3</v>
      </c>
      <c r="I87" s="46" t="str">
        <f>IF($AG87="","",IF(IFERROR(INDEX(Kobo_Import!$A$2:$CZ$301,$AG87,Field_Map!$B$17)&amp;"","")="","",IFERROR(INDEX(Lists!$N$5:$N$19,MATCH(INDEX(Kobo_Import!$A$2:$CZ$301,$AG87,Field_Map!$B$17)&amp;"",Lists!$M$5:$M$19,0)),INDEX(Kobo_Import!$A$2:$CZ$301,$AG87,Field_Map!$B$17)&amp;"")))</f>
        <v>No</v>
      </c>
      <c r="J87" s="46">
        <f>IF($AG87="","",IFERROR(VALUE(INDEX(Kobo_Import!$A$2:$CZ$301,$AG87,Field_Map!$B$18)&amp;""),0))</f>
        <v>0</v>
      </c>
      <c r="K87" s="46">
        <f>IF($AG87="","",IFERROR(VALUE(INDEX(Kobo_Import!$A$2:$CZ$301,$AG87,Field_Map!$B$19)&amp;""),0))</f>
        <v>0</v>
      </c>
      <c r="L87" s="46">
        <f>IF($AG87="","",IFERROR(VALUE(INDEX(Kobo_Import!$A$2:$CZ$301,$AG87,Field_Map!$B$20)&amp;""),0))</f>
        <v>2</v>
      </c>
      <c r="M87" s="46">
        <f>IF($AG87="","",IFERROR(VALUE(INDEX(Kobo_Import!$A$2:$CZ$301,$AG87,Field_Map!$B$21)&amp;""),0))</f>
        <v>1</v>
      </c>
      <c r="N87" s="46">
        <f>IF($AG87="","",IFERROR(VALUE(INDEX(Kobo_Import!$A$2:$CZ$301,$AG87,Field_Map!$B$22)&amp;""),0))</f>
        <v>1</v>
      </c>
      <c r="O87" s="46">
        <f>IF($AG87="","",IFERROR(VALUE(INDEX(Kobo_Import!$A$2:$CZ$301,$AG87,Field_Map!$B$23)&amp;""),0))</f>
        <v>0</v>
      </c>
      <c r="P87" s="46">
        <f>IF($AG87="","",IFERROR(VALUE(INDEX(Kobo_Import!$A$2:$CZ$301,$AG87,Field_Map!$B$24)&amp;""),0))</f>
        <v>0</v>
      </c>
      <c r="Q87" s="46">
        <f>IF($AG87="","",IFERROR(VALUE(INDEX(Kobo_Import!$A$2:$CZ$301,$AG87,Field_Map!$B$25)&amp;""),0))</f>
        <v>0</v>
      </c>
      <c r="R87" s="46">
        <f>IF($AG87="","",IFERROR(VALUE(INDEX(Kobo_Import!$A$2:$CZ$301,$AG87,Field_Map!$B$26)&amp;""),0))</f>
        <v>3</v>
      </c>
      <c r="S87" s="46">
        <f>IF($AG87="","",IFERROR(VALUE(INDEX(Kobo_Import!$A$2:$CZ$301,$AG87,Field_Map!$B$27)&amp;""),0))</f>
        <v>0</v>
      </c>
      <c r="T87" s="46">
        <f>IF($AG87="","",IFERROR(VALUE(INDEX(Kobo_Import!$A$2:$CZ$301,$AG87,Field_Map!$B$28)&amp;""),0))</f>
        <v>0</v>
      </c>
      <c r="U87" s="46" t="str">
        <f>IF($AG87="","",IF(IFERROR(INDEX(Kobo_Import!$A$2:$CZ$301,$AG87,Field_Map!$B$29)&amp;"","")="","",IFERROR(INDEX(Lists!$N$5:$N$19,MATCH(INDEX(Kobo_Import!$A$2:$CZ$301,$AG87,Field_Map!$B$29)&amp;"",Lists!$M$5:$M$19,0)),INDEX(Kobo_Import!$A$2:$CZ$301,$AG87,Field_Map!$B$29)&amp;"")))</f>
        <v/>
      </c>
      <c r="V87" s="50">
        <f>IF($A87="","",Settings!$B$5-F87)</f>
        <v>8</v>
      </c>
      <c r="W87" s="46">
        <f>IF($A87="","",(J87&gt;0)*Settings!$B$22+(P87&gt;0)*Settings!$B$23+(M87&gt;0)*Settings!$B$24+(O87&gt;0)*Settings!$B$25+(I87="Yes")*Settings!$B$26+(D87="Unusable")*Settings!$B$27+(D87="Damaged")*Settings!$B$28+(H87&gt;=Settings!$B$30)*Settings!$B$29)</f>
        <v>1</v>
      </c>
      <c r="X87" s="46" t="str">
        <f>IF($A87="","",IF(W87&gt;=Settings!$B$31,"High",IF(W87&gt;=Settings!$B$32,"Medium","Low")))</f>
        <v>Low</v>
      </c>
      <c r="Y87" s="46" t="str">
        <f>IF($A87="","",IF(V87&gt;Settings!$B$21,"Yes",""))</f>
        <v/>
      </c>
      <c r="Z87" s="46">
        <f>IF($A87="","",COUNTIFS(Referrals!$B$5:$B$52,$A87,Referrals!$G$5:$G$52,"Referred")+COUNTIFS(Referrals!$B$5:$B$52,$A87,Referrals!$G$5:$G$52,"Acknowledged"))</f>
        <v>0</v>
      </c>
      <c r="AA87" s="46">
        <f>IF($A87="","",COUNTIFS(Referrals!$B$5:$B$52,$A87,Referrals!$K$5:$K$52,"Overdue"))</f>
        <v>0</v>
      </c>
      <c r="AB87" s="46" t="str">
        <f>IF($A87="","",IF(AND(J87&gt;0,U87="Yes"),IF(COUNTIFS(Referrals!$B$5:$B$52,$A87,Referrals!$D$5:$D$52,"Nutrition / IYCF")=0,"Referral needed","Referred"),""))</f>
        <v/>
      </c>
      <c r="AC87" s="46" t="str">
        <f>IF($A87="","",IF(N(Needs_Gaps!O87)&gt;0,"Yes",""))</f>
        <v/>
      </c>
      <c r="AD87" s="46" t="str">
        <f>IF($A87="","",IF(COUNTIFS(Maintenance_Log!$C$5:$C$40,$A87,Maintenance_Log!$H$5:$H$40,"&lt;&gt;Resolved")&gt;0,"Yes",""))</f>
        <v/>
      </c>
      <c r="AE87" s="46">
        <f t="shared" si="4"/>
        <v>0</v>
      </c>
      <c r="AF87" s="46">
        <f t="shared" si="5"/>
        <v>0</v>
      </c>
      <c r="AG87" s="46">
        <f>IFERROR(MATCH(ROW()-4,Import_Index!$H$5:$H$304,0),"")</f>
        <v>119</v>
      </c>
    </row>
    <row r="88" spans="1:33" x14ac:dyDescent="0.3">
      <c r="A88" s="46" t="str">
        <f>IF($AG88="","",IFERROR(INDEX(Kobo_Import!$A$2:$CZ$301,$AG88,Field_Map!$B$13)&amp;"",""))</f>
        <v>HH-084</v>
      </c>
      <c r="B88" s="46" t="str">
        <f>IF($AG88="","",IF(IFERROR(INDEX(Kobo_Import!$A$2:$CZ$301,$AG88,Field_Map!$B$9)&amp;"","")="","",IFERROR(INDEX(Lists!$N$5:$N$19,MATCH(INDEX(Kobo_Import!$A$2:$CZ$301,$AG88,Field_Map!$B$9)&amp;"",Lists!$M$5:$M$19,0)),INDEX(Kobo_Import!$A$2:$CZ$301,$AG88,Field_Map!$B$9)&amp;"")))</f>
        <v>Site C – Informal Tent Area</v>
      </c>
      <c r="C88" s="46" t="str">
        <f>IF($AG88="","",IF(IFERROR(INDEX(Kobo_Import!$A$2:$CZ$301,$AG88,Field_Map!$B$14)&amp;"","")="","",IFERROR(INDEX(Lists!$N$5:$N$19,MATCH(INDEX(Kobo_Import!$A$2:$CZ$301,$AG88,Field_Map!$B$14)&amp;"",Lists!$M$5:$M$19,0)),INDEX(Kobo_Import!$A$2:$CZ$301,$AG88,Field_Map!$B$14)&amp;"")))</f>
        <v>Makeshift shelter</v>
      </c>
      <c r="D88" s="46" t="str">
        <f>IF($AG88="","",IF(IFERROR(INDEX(Kobo_Import!$A$2:$CZ$301,$AG88,Field_Map!$B$15)&amp;"","")="","",IFERROR(INDEX(Lists!$N$5:$N$19,MATCH(INDEX(Kobo_Import!$A$2:$CZ$301,$AG88,Field_Map!$B$15)&amp;"",Lists!$M$5:$M$19,0)),INDEX(Kobo_Import!$A$2:$CZ$301,$AG88,Field_Map!$B$15)&amp;"")))</f>
        <v>Damaged</v>
      </c>
      <c r="E88" s="49">
        <f>IF($A88="","",IFERROR(INDEX(Import_Index!$D$5:$D$304,MATCH($A88&amp;"|registration",Import_Index!$I$5:$I$304,0)),F88))</f>
        <v>46037</v>
      </c>
      <c r="F88" s="49">
        <f>IF($AG88="","",INDEX(Import_Index!$D$5:$D$304,$AG88))</f>
        <v>46037</v>
      </c>
      <c r="G88" s="46">
        <f>IF($A88="","",COUNTIFS(Import_Index!$B$5:$B$304,$A88,Import_Index!$C$5:$C$304,"yes"))</f>
        <v>1</v>
      </c>
      <c r="H88" s="46">
        <f>IF($AG88="","",IFERROR(VALUE(INDEX(Kobo_Import!$A$2:$CZ$301,$AG88,Field_Map!$B$16)&amp;""),0))</f>
        <v>11</v>
      </c>
      <c r="I88" s="46" t="str">
        <f>IF($AG88="","",IF(IFERROR(INDEX(Kobo_Import!$A$2:$CZ$301,$AG88,Field_Map!$B$17)&amp;"","")="","",IFERROR(INDEX(Lists!$N$5:$N$19,MATCH(INDEX(Kobo_Import!$A$2:$CZ$301,$AG88,Field_Map!$B$17)&amp;"",Lists!$M$5:$M$19,0)),INDEX(Kobo_Import!$A$2:$CZ$301,$AG88,Field_Map!$B$17)&amp;"")))</f>
        <v>No</v>
      </c>
      <c r="J88" s="46">
        <f>IF($AG88="","",IFERROR(VALUE(INDEX(Kobo_Import!$A$2:$CZ$301,$AG88,Field_Map!$B$18)&amp;""),0))</f>
        <v>2</v>
      </c>
      <c r="K88" s="46">
        <f>IF($AG88="","",IFERROR(VALUE(INDEX(Kobo_Import!$A$2:$CZ$301,$AG88,Field_Map!$B$19)&amp;""),0))</f>
        <v>5</v>
      </c>
      <c r="L88" s="46">
        <f>IF($AG88="","",IFERROR(VALUE(INDEX(Kobo_Import!$A$2:$CZ$301,$AG88,Field_Map!$B$20)&amp;""),0))</f>
        <v>2</v>
      </c>
      <c r="M88" s="46">
        <f>IF($AG88="","",IFERROR(VALUE(INDEX(Kobo_Import!$A$2:$CZ$301,$AG88,Field_Map!$B$21)&amp;""),0))</f>
        <v>2</v>
      </c>
      <c r="N88" s="46">
        <f>IF($AG88="","",IFERROR(VALUE(INDEX(Kobo_Import!$A$2:$CZ$301,$AG88,Field_Map!$B$22)&amp;""),0))</f>
        <v>1</v>
      </c>
      <c r="O88" s="46">
        <f>IF($AG88="","",IFERROR(VALUE(INDEX(Kobo_Import!$A$2:$CZ$301,$AG88,Field_Map!$B$23)&amp;""),0))</f>
        <v>0</v>
      </c>
      <c r="P88" s="46">
        <f>IF($AG88="","",IFERROR(VALUE(INDEX(Kobo_Import!$A$2:$CZ$301,$AG88,Field_Map!$B$24)&amp;""),0))</f>
        <v>1</v>
      </c>
      <c r="Q88" s="46">
        <f>IF($AG88="","",IFERROR(VALUE(INDEX(Kobo_Import!$A$2:$CZ$301,$AG88,Field_Map!$B$25)&amp;""),0))</f>
        <v>13</v>
      </c>
      <c r="R88" s="46">
        <f>IF($AG88="","",IFERROR(VALUE(INDEX(Kobo_Import!$A$2:$CZ$301,$AG88,Field_Map!$B$26)&amp;""),0))</f>
        <v>2</v>
      </c>
      <c r="S88" s="46">
        <f>IF($AG88="","",IFERROR(VALUE(INDEX(Kobo_Import!$A$2:$CZ$301,$AG88,Field_Map!$B$27)&amp;""),0))</f>
        <v>5</v>
      </c>
      <c r="T88" s="46">
        <f>IF($AG88="","",IFERROR(VALUE(INDEX(Kobo_Import!$A$2:$CZ$301,$AG88,Field_Map!$B$28)&amp;""),0))</f>
        <v>1</v>
      </c>
      <c r="U88" s="46" t="str">
        <f>IF($AG88="","",IF(IFERROR(INDEX(Kobo_Import!$A$2:$CZ$301,$AG88,Field_Map!$B$29)&amp;"","")="","",IFERROR(INDEX(Lists!$N$5:$N$19,MATCH(INDEX(Kobo_Import!$A$2:$CZ$301,$AG88,Field_Map!$B$29)&amp;"",Lists!$M$5:$M$19,0)),INDEX(Kobo_Import!$A$2:$CZ$301,$AG88,Field_Map!$B$29)&amp;"")))</f>
        <v>No</v>
      </c>
      <c r="V88" s="50">
        <f>IF($A88="","",Settings!$B$5-F88)</f>
        <v>16</v>
      </c>
      <c r="W88" s="46">
        <f>IF($A88="","",(J88&gt;0)*Settings!$B$22+(P88&gt;0)*Settings!$B$23+(M88&gt;0)*Settings!$B$24+(O88&gt;0)*Settings!$B$25+(I88="Yes")*Settings!$B$26+(D88="Unusable")*Settings!$B$27+(D88="Damaged")*Settings!$B$28+(H88&gt;=Settings!$B$30)*Settings!$B$29)</f>
        <v>7</v>
      </c>
      <c r="X88" s="46" t="str">
        <f>IF($A88="","",IF(W88&gt;=Settings!$B$31,"High",IF(W88&gt;=Settings!$B$32,"Medium","Low")))</f>
        <v>High</v>
      </c>
      <c r="Y88" s="46" t="str">
        <f>IF($A88="","",IF(V88&gt;Settings!$B$21,"Yes",""))</f>
        <v/>
      </c>
      <c r="Z88" s="46">
        <f>IF($A88="","",COUNTIFS(Referrals!$B$5:$B$52,$A88,Referrals!$G$5:$G$52,"Referred")+COUNTIFS(Referrals!$B$5:$B$52,$A88,Referrals!$G$5:$G$52,"Acknowledged"))</f>
        <v>1</v>
      </c>
      <c r="AA88" s="46">
        <f>IF($A88="","",COUNTIFS(Referrals!$B$5:$B$52,$A88,Referrals!$K$5:$K$52,"Overdue"))</f>
        <v>0</v>
      </c>
      <c r="AB88" s="46" t="str">
        <f>IF($A88="","",IF(AND(J88&gt;0,U88="Yes"),IF(COUNTIFS(Referrals!$B$5:$B$52,$A88,Referrals!$D$5:$D$52,"Nutrition / IYCF")=0,"Referral needed","Referred"),""))</f>
        <v/>
      </c>
      <c r="AC88" s="46" t="str">
        <f>IF($A88="","",IF(N(Needs_Gaps!O88)&gt;0,"Yes",""))</f>
        <v/>
      </c>
      <c r="AD88" s="46" t="str">
        <f>IF($A88="","",IF(COUNTIFS(Maintenance_Log!$C$5:$C$40,$A88,Maintenance_Log!$H$5:$H$40,"&lt;&gt;Resolved")&gt;0,"Yes",""))</f>
        <v/>
      </c>
      <c r="AE88" s="46">
        <f t="shared" si="4"/>
        <v>0</v>
      </c>
      <c r="AF88" s="46">
        <f t="shared" si="5"/>
        <v>0</v>
      </c>
      <c r="AG88" s="46">
        <f>IFERROR(MATCH(ROW()-4,Import_Index!$H$5:$H$304,0),"")</f>
        <v>87</v>
      </c>
    </row>
    <row r="89" spans="1:33" x14ac:dyDescent="0.3">
      <c r="A89" s="46" t="str">
        <f>IF($AG89="","",IFERROR(INDEX(Kobo_Import!$A$2:$CZ$301,$AG89,Field_Map!$B$13)&amp;"",""))</f>
        <v>HH-085</v>
      </c>
      <c r="B89" s="46" t="str">
        <f>IF($AG89="","",IF(IFERROR(INDEX(Kobo_Import!$A$2:$CZ$301,$AG89,Field_Map!$B$9)&amp;"","")="","",IFERROR(INDEX(Lists!$N$5:$N$19,MATCH(INDEX(Kobo_Import!$A$2:$CZ$301,$AG89,Field_Map!$B$9)&amp;"",Lists!$M$5:$M$19,0)),INDEX(Kobo_Import!$A$2:$CZ$301,$AG89,Field_Map!$B$9)&amp;"")))</f>
        <v>Site C – Informal Tent Area</v>
      </c>
      <c r="C89" s="46" t="str">
        <f>IF($AG89="","",IF(IFERROR(INDEX(Kobo_Import!$A$2:$CZ$301,$AG89,Field_Map!$B$14)&amp;"","")="","",IFERROR(INDEX(Lists!$N$5:$N$19,MATCH(INDEX(Kobo_Import!$A$2:$CZ$301,$AG89,Field_Map!$B$14)&amp;"",Lists!$M$5:$M$19,0)),INDEX(Kobo_Import!$A$2:$CZ$301,$AG89,Field_Map!$B$14)&amp;"")))</f>
        <v>Makeshift shelter</v>
      </c>
      <c r="D89" s="46" t="str">
        <f>IF($AG89="","",IF(IFERROR(INDEX(Kobo_Import!$A$2:$CZ$301,$AG89,Field_Map!$B$15)&amp;"","")="","",IFERROR(INDEX(Lists!$N$5:$N$19,MATCH(INDEX(Kobo_Import!$A$2:$CZ$301,$AG89,Field_Map!$B$15)&amp;"",Lists!$M$5:$M$19,0)),INDEX(Kobo_Import!$A$2:$CZ$301,$AG89,Field_Map!$B$15)&amp;"")))</f>
        <v>Adequate</v>
      </c>
      <c r="E89" s="49">
        <f>IF($A89="","",IFERROR(INDEX(Import_Index!$D$5:$D$304,MATCH($A89&amp;"|registration",Import_Index!$I$5:$I$304,0)),F89))</f>
        <v>46031</v>
      </c>
      <c r="F89" s="49">
        <f>IF($AG89="","",INDEX(Import_Index!$D$5:$D$304,$AG89))</f>
        <v>46031</v>
      </c>
      <c r="G89" s="46">
        <f>IF($A89="","",COUNTIFS(Import_Index!$B$5:$B$304,$A89,Import_Index!$C$5:$C$304,"yes"))</f>
        <v>1</v>
      </c>
      <c r="H89" s="46">
        <f>IF($AG89="","",IFERROR(VALUE(INDEX(Kobo_Import!$A$2:$CZ$301,$AG89,Field_Map!$B$16)&amp;""),0))</f>
        <v>9</v>
      </c>
      <c r="I89" s="46" t="str">
        <f>IF($AG89="","",IF(IFERROR(INDEX(Kobo_Import!$A$2:$CZ$301,$AG89,Field_Map!$B$17)&amp;"","")="","",IFERROR(INDEX(Lists!$N$5:$N$19,MATCH(INDEX(Kobo_Import!$A$2:$CZ$301,$AG89,Field_Map!$B$17)&amp;"",Lists!$M$5:$M$19,0)),INDEX(Kobo_Import!$A$2:$CZ$301,$AG89,Field_Map!$B$17)&amp;"")))</f>
        <v>No</v>
      </c>
      <c r="J89" s="46">
        <f>IF($AG89="","",IFERROR(VALUE(INDEX(Kobo_Import!$A$2:$CZ$301,$AG89,Field_Map!$B$18)&amp;""),0))</f>
        <v>1</v>
      </c>
      <c r="K89" s="46">
        <f>IF($AG89="","",IFERROR(VALUE(INDEX(Kobo_Import!$A$2:$CZ$301,$AG89,Field_Map!$B$19)&amp;""),0))</f>
        <v>6</v>
      </c>
      <c r="L89" s="46">
        <f>IF($AG89="","",IFERROR(VALUE(INDEX(Kobo_Import!$A$2:$CZ$301,$AG89,Field_Map!$B$20)&amp;""),0))</f>
        <v>2</v>
      </c>
      <c r="M89" s="46">
        <f>IF($AG89="","",IFERROR(VALUE(INDEX(Kobo_Import!$A$2:$CZ$301,$AG89,Field_Map!$B$21)&amp;""),0))</f>
        <v>0</v>
      </c>
      <c r="N89" s="46">
        <f>IF($AG89="","",IFERROR(VALUE(INDEX(Kobo_Import!$A$2:$CZ$301,$AG89,Field_Map!$B$22)&amp;""),0))</f>
        <v>2</v>
      </c>
      <c r="O89" s="46">
        <f>IF($AG89="","",IFERROR(VALUE(INDEX(Kobo_Import!$A$2:$CZ$301,$AG89,Field_Map!$B$23)&amp;""),0))</f>
        <v>0</v>
      </c>
      <c r="P89" s="46">
        <f>IF($AG89="","",IFERROR(VALUE(INDEX(Kobo_Import!$A$2:$CZ$301,$AG89,Field_Map!$B$24)&amp;""),0))</f>
        <v>0</v>
      </c>
      <c r="Q89" s="46">
        <f>IF($AG89="","",IFERROR(VALUE(INDEX(Kobo_Import!$A$2:$CZ$301,$AG89,Field_Map!$B$25)&amp;""),0))</f>
        <v>2</v>
      </c>
      <c r="R89" s="46">
        <f>IF($AG89="","",IFERROR(VALUE(INDEX(Kobo_Import!$A$2:$CZ$301,$AG89,Field_Map!$B$26)&amp;""),0))</f>
        <v>7</v>
      </c>
      <c r="S89" s="46">
        <f>IF($AG89="","",IFERROR(VALUE(INDEX(Kobo_Import!$A$2:$CZ$301,$AG89,Field_Map!$B$27)&amp;""),0))</f>
        <v>6</v>
      </c>
      <c r="T89" s="46">
        <f>IF($AG89="","",IFERROR(VALUE(INDEX(Kobo_Import!$A$2:$CZ$301,$AG89,Field_Map!$B$28)&amp;""),0))</f>
        <v>1</v>
      </c>
      <c r="U89" s="46" t="str">
        <f>IF($AG89="","",IF(IFERROR(INDEX(Kobo_Import!$A$2:$CZ$301,$AG89,Field_Map!$B$29)&amp;"","")="","",IFERROR(INDEX(Lists!$N$5:$N$19,MATCH(INDEX(Kobo_Import!$A$2:$CZ$301,$AG89,Field_Map!$B$29)&amp;"",Lists!$M$5:$M$19,0)),INDEX(Kobo_Import!$A$2:$CZ$301,$AG89,Field_Map!$B$29)&amp;"")))</f>
        <v>Yes</v>
      </c>
      <c r="V89" s="50">
        <f>IF($A89="","",Settings!$B$5-F89)</f>
        <v>22</v>
      </c>
      <c r="W89" s="46">
        <f>IF($A89="","",(J89&gt;0)*Settings!$B$22+(P89&gt;0)*Settings!$B$23+(M89&gt;0)*Settings!$B$24+(O89&gt;0)*Settings!$B$25+(I89="Yes")*Settings!$B$26+(D89="Unusable")*Settings!$B$27+(D89="Damaged")*Settings!$B$28+(H89&gt;=Settings!$B$30)*Settings!$B$29)</f>
        <v>3</v>
      </c>
      <c r="X89" s="46" t="str">
        <f>IF($A89="","",IF(W89&gt;=Settings!$B$31,"High",IF(W89&gt;=Settings!$B$32,"Medium","Low")))</f>
        <v>Medium</v>
      </c>
      <c r="Y89" s="46" t="str">
        <f>IF($A89="","",IF(V89&gt;Settings!$B$21,"Yes",""))</f>
        <v/>
      </c>
      <c r="Z89" s="46">
        <f>IF($A89="","",COUNTIFS(Referrals!$B$5:$B$52,$A89,Referrals!$G$5:$G$52,"Referred")+COUNTIFS(Referrals!$B$5:$B$52,$A89,Referrals!$G$5:$G$52,"Acknowledged"))</f>
        <v>0</v>
      </c>
      <c r="AA89" s="46">
        <f>IF($A89="","",COUNTIFS(Referrals!$B$5:$B$52,$A89,Referrals!$K$5:$K$52,"Overdue"))</f>
        <v>0</v>
      </c>
      <c r="AB89" s="46" t="str">
        <f>IF($A89="","",IF(AND(J89&gt;0,U89="Yes"),IF(COUNTIFS(Referrals!$B$5:$B$52,$A89,Referrals!$D$5:$D$52,"Nutrition / IYCF")=0,"Referral needed","Referred"),""))</f>
        <v>Referred</v>
      </c>
      <c r="AC89" s="46" t="str">
        <f>IF($A89="","",IF(N(Needs_Gaps!O89)&gt;0,"Yes",""))</f>
        <v/>
      </c>
      <c r="AD89" s="46" t="str">
        <f>IF($A89="","",IF(COUNTIFS(Maintenance_Log!$C$5:$C$40,$A89,Maintenance_Log!$H$5:$H$40,"&lt;&gt;Resolved")&gt;0,"Yes",""))</f>
        <v/>
      </c>
      <c r="AE89" s="46">
        <f t="shared" si="4"/>
        <v>0</v>
      </c>
      <c r="AF89" s="46">
        <f t="shared" si="5"/>
        <v>0</v>
      </c>
      <c r="AG89" s="46">
        <f>IFERROR(MATCH(ROW()-4,Import_Index!$H$5:$H$304,0),"")</f>
        <v>66</v>
      </c>
    </row>
    <row r="90" spans="1:33" x14ac:dyDescent="0.3">
      <c r="A90" s="46" t="str">
        <f>IF($AG90="","",IFERROR(INDEX(Kobo_Import!$A$2:$CZ$301,$AG90,Field_Map!$B$13)&amp;"",""))</f>
        <v>HH-086</v>
      </c>
      <c r="B90" s="46" t="str">
        <f>IF($AG90="","",IF(IFERROR(INDEX(Kobo_Import!$A$2:$CZ$301,$AG90,Field_Map!$B$9)&amp;"","")="","",IFERROR(INDEX(Lists!$N$5:$N$19,MATCH(INDEX(Kobo_Import!$A$2:$CZ$301,$AG90,Field_Map!$B$9)&amp;"",Lists!$M$5:$M$19,0)),INDEX(Kobo_Import!$A$2:$CZ$301,$AG90,Field_Map!$B$9)&amp;"")))</f>
        <v>Site C – Informal Tent Area</v>
      </c>
      <c r="C90" s="46" t="str">
        <f>IF($AG90="","",IF(IFERROR(INDEX(Kobo_Import!$A$2:$CZ$301,$AG90,Field_Map!$B$14)&amp;"","")="","",IFERROR(INDEX(Lists!$N$5:$N$19,MATCH(INDEX(Kobo_Import!$A$2:$CZ$301,$AG90,Field_Map!$B$14)&amp;"",Lists!$M$5:$M$19,0)),INDEX(Kobo_Import!$A$2:$CZ$301,$AG90,Field_Map!$B$14)&amp;"")))</f>
        <v>Tent</v>
      </c>
      <c r="D90" s="46" t="str">
        <f>IF($AG90="","",IF(IFERROR(INDEX(Kobo_Import!$A$2:$CZ$301,$AG90,Field_Map!$B$15)&amp;"","")="","",IFERROR(INDEX(Lists!$N$5:$N$19,MATCH(INDEX(Kobo_Import!$A$2:$CZ$301,$AG90,Field_Map!$B$15)&amp;"",Lists!$M$5:$M$19,0)),INDEX(Kobo_Import!$A$2:$CZ$301,$AG90,Field_Map!$B$15)&amp;"")))</f>
        <v>Damaged</v>
      </c>
      <c r="E90" s="49">
        <f>IF($A90="","",IFERROR(INDEX(Import_Index!$D$5:$D$304,MATCH($A90&amp;"|registration",Import_Index!$I$5:$I$304,0)),F90))</f>
        <v>46030</v>
      </c>
      <c r="F90" s="49">
        <f>IF($AG90="","",INDEX(Import_Index!$D$5:$D$304,$AG90))</f>
        <v>46030</v>
      </c>
      <c r="G90" s="46">
        <f>IF($A90="","",COUNTIFS(Import_Index!$B$5:$B$304,$A90,Import_Index!$C$5:$C$304,"yes"))</f>
        <v>1</v>
      </c>
      <c r="H90" s="46">
        <f>IF($AG90="","",IFERROR(VALUE(INDEX(Kobo_Import!$A$2:$CZ$301,$AG90,Field_Map!$B$16)&amp;""),0))</f>
        <v>9</v>
      </c>
      <c r="I90" s="46" t="str">
        <f>IF($AG90="","",IF(IFERROR(INDEX(Kobo_Import!$A$2:$CZ$301,$AG90,Field_Map!$B$17)&amp;"","")="","",IFERROR(INDEX(Lists!$N$5:$N$19,MATCH(INDEX(Kobo_Import!$A$2:$CZ$301,$AG90,Field_Map!$B$17)&amp;"",Lists!$M$5:$M$19,0)),INDEX(Kobo_Import!$A$2:$CZ$301,$AG90,Field_Map!$B$17)&amp;"")))</f>
        <v>No</v>
      </c>
      <c r="J90" s="46">
        <f>IF($AG90="","",IFERROR(VALUE(INDEX(Kobo_Import!$A$2:$CZ$301,$AG90,Field_Map!$B$18)&amp;""),0))</f>
        <v>1</v>
      </c>
      <c r="K90" s="46">
        <f>IF($AG90="","",IFERROR(VALUE(INDEX(Kobo_Import!$A$2:$CZ$301,$AG90,Field_Map!$B$19)&amp;""),0))</f>
        <v>5</v>
      </c>
      <c r="L90" s="46">
        <f>IF($AG90="","",IFERROR(VALUE(INDEX(Kobo_Import!$A$2:$CZ$301,$AG90,Field_Map!$B$20)&amp;""),0))</f>
        <v>3</v>
      </c>
      <c r="M90" s="46">
        <f>IF($AG90="","",IFERROR(VALUE(INDEX(Kobo_Import!$A$2:$CZ$301,$AG90,Field_Map!$B$21)&amp;""),0))</f>
        <v>0</v>
      </c>
      <c r="N90" s="46">
        <f>IF($AG90="","",IFERROR(VALUE(INDEX(Kobo_Import!$A$2:$CZ$301,$AG90,Field_Map!$B$22)&amp;""),0))</f>
        <v>2</v>
      </c>
      <c r="O90" s="46">
        <f>IF($AG90="","",IFERROR(VALUE(INDEX(Kobo_Import!$A$2:$CZ$301,$AG90,Field_Map!$B$23)&amp;""),0))</f>
        <v>0</v>
      </c>
      <c r="P90" s="46">
        <f>IF($AG90="","",IFERROR(VALUE(INDEX(Kobo_Import!$A$2:$CZ$301,$AG90,Field_Map!$B$24)&amp;""),0))</f>
        <v>0</v>
      </c>
      <c r="Q90" s="46">
        <f>IF($AG90="","",IFERROR(VALUE(INDEX(Kobo_Import!$A$2:$CZ$301,$AG90,Field_Map!$B$25)&amp;""),0))</f>
        <v>12</v>
      </c>
      <c r="R90" s="46">
        <f>IF($AG90="","",IFERROR(VALUE(INDEX(Kobo_Import!$A$2:$CZ$301,$AG90,Field_Map!$B$26)&amp;""),0))</f>
        <v>4</v>
      </c>
      <c r="S90" s="46">
        <f>IF($AG90="","",IFERROR(VALUE(INDEX(Kobo_Import!$A$2:$CZ$301,$AG90,Field_Map!$B$27)&amp;""),0))</f>
        <v>5</v>
      </c>
      <c r="T90" s="46">
        <f>IF($AG90="","",IFERROR(VALUE(INDEX(Kobo_Import!$A$2:$CZ$301,$AG90,Field_Map!$B$28)&amp;""),0))</f>
        <v>2</v>
      </c>
      <c r="U90" s="46" t="str">
        <f>IF($AG90="","",IF(IFERROR(INDEX(Kobo_Import!$A$2:$CZ$301,$AG90,Field_Map!$B$29)&amp;"","")="","",IFERROR(INDEX(Lists!$N$5:$N$19,MATCH(INDEX(Kobo_Import!$A$2:$CZ$301,$AG90,Field_Map!$B$29)&amp;"",Lists!$M$5:$M$19,0)),INDEX(Kobo_Import!$A$2:$CZ$301,$AG90,Field_Map!$B$29)&amp;"")))</f>
        <v>No</v>
      </c>
      <c r="V90" s="50">
        <f>IF($A90="","",Settings!$B$5-F90)</f>
        <v>23</v>
      </c>
      <c r="W90" s="46">
        <f>IF($A90="","",(J90&gt;0)*Settings!$B$22+(P90&gt;0)*Settings!$B$23+(M90&gt;0)*Settings!$B$24+(O90&gt;0)*Settings!$B$25+(I90="Yes")*Settings!$B$26+(D90="Unusable")*Settings!$B$27+(D90="Damaged")*Settings!$B$28+(H90&gt;=Settings!$B$30)*Settings!$B$29)</f>
        <v>4</v>
      </c>
      <c r="X90" s="46" t="str">
        <f>IF($A90="","",IF(W90&gt;=Settings!$B$31,"High",IF(W90&gt;=Settings!$B$32,"Medium","Low")))</f>
        <v>Medium</v>
      </c>
      <c r="Y90" s="46" t="str">
        <f>IF($A90="","",IF(V90&gt;Settings!$B$21,"Yes",""))</f>
        <v/>
      </c>
      <c r="Z90" s="46">
        <f>IF($A90="","",COUNTIFS(Referrals!$B$5:$B$52,$A90,Referrals!$G$5:$G$52,"Referred")+COUNTIFS(Referrals!$B$5:$B$52,$A90,Referrals!$G$5:$G$52,"Acknowledged"))</f>
        <v>0</v>
      </c>
      <c r="AA90" s="46">
        <f>IF($A90="","",COUNTIFS(Referrals!$B$5:$B$52,$A90,Referrals!$K$5:$K$52,"Overdue"))</f>
        <v>0</v>
      </c>
      <c r="AB90" s="46" t="str">
        <f>IF($A90="","",IF(AND(J90&gt;0,U90="Yes"),IF(COUNTIFS(Referrals!$B$5:$B$52,$A90,Referrals!$D$5:$D$52,"Nutrition / IYCF")=0,"Referral needed","Referred"),""))</f>
        <v/>
      </c>
      <c r="AC90" s="46" t="str">
        <f>IF($A90="","",IF(N(Needs_Gaps!O90)&gt;0,"Yes",""))</f>
        <v/>
      </c>
      <c r="AD90" s="46" t="str">
        <f>IF($A90="","",IF(COUNTIFS(Maintenance_Log!$C$5:$C$40,$A90,Maintenance_Log!$H$5:$H$40,"&lt;&gt;Resolved")&gt;0,"Yes",""))</f>
        <v/>
      </c>
      <c r="AE90" s="46">
        <f t="shared" si="4"/>
        <v>0</v>
      </c>
      <c r="AF90" s="46">
        <f t="shared" si="5"/>
        <v>0</v>
      </c>
      <c r="AG90" s="46">
        <f>IFERROR(MATCH(ROW()-4,Import_Index!$H$5:$H$304,0),"")</f>
        <v>57</v>
      </c>
    </row>
    <row r="91" spans="1:33" x14ac:dyDescent="0.3">
      <c r="A91" s="46" t="str">
        <f>IF($AG91="","",IFERROR(INDEX(Kobo_Import!$A$2:$CZ$301,$AG91,Field_Map!$B$13)&amp;"",""))</f>
        <v>HH-087</v>
      </c>
      <c r="B91" s="46" t="str">
        <f>IF($AG91="","",IF(IFERROR(INDEX(Kobo_Import!$A$2:$CZ$301,$AG91,Field_Map!$B$9)&amp;"","")="","",IFERROR(INDEX(Lists!$N$5:$N$19,MATCH(INDEX(Kobo_Import!$A$2:$CZ$301,$AG91,Field_Map!$B$9)&amp;"",Lists!$M$5:$M$19,0)),INDEX(Kobo_Import!$A$2:$CZ$301,$AG91,Field_Map!$B$9)&amp;"")))</f>
        <v>Site C – Informal Tent Area</v>
      </c>
      <c r="C91" s="46" t="str">
        <f>IF($AG91="","",IF(IFERROR(INDEX(Kobo_Import!$A$2:$CZ$301,$AG91,Field_Map!$B$14)&amp;"","")="","",IFERROR(INDEX(Lists!$N$5:$N$19,MATCH(INDEX(Kobo_Import!$A$2:$CZ$301,$AG91,Field_Map!$B$14)&amp;"",Lists!$M$5:$M$19,0)),INDEX(Kobo_Import!$A$2:$CZ$301,$AG91,Field_Map!$B$14)&amp;"")))</f>
        <v>Tent</v>
      </c>
      <c r="D91" s="46" t="str">
        <f>IF($AG91="","",IF(IFERROR(INDEX(Kobo_Import!$A$2:$CZ$301,$AG91,Field_Map!$B$15)&amp;"","")="","",IFERROR(INDEX(Lists!$N$5:$N$19,MATCH(INDEX(Kobo_Import!$A$2:$CZ$301,$AG91,Field_Map!$B$15)&amp;"",Lists!$M$5:$M$19,0)),INDEX(Kobo_Import!$A$2:$CZ$301,$AG91,Field_Map!$B$15)&amp;"")))</f>
        <v>Adequate</v>
      </c>
      <c r="E91" s="49">
        <f>IF($A91="","",IFERROR(INDEX(Import_Index!$D$5:$D$304,MATCH($A91&amp;"|registration",Import_Index!$I$5:$I$304,0)),F91))</f>
        <v>46034</v>
      </c>
      <c r="F91" s="49">
        <f>IF($AG91="","",INDEX(Import_Index!$D$5:$D$304,$AG91))</f>
        <v>46034</v>
      </c>
      <c r="G91" s="46">
        <f>IF($A91="","",COUNTIFS(Import_Index!$B$5:$B$304,$A91,Import_Index!$C$5:$C$304,"yes"))</f>
        <v>1</v>
      </c>
      <c r="H91" s="46">
        <f>IF($AG91="","",IFERROR(VALUE(INDEX(Kobo_Import!$A$2:$CZ$301,$AG91,Field_Map!$B$16)&amp;""),0))</f>
        <v>7</v>
      </c>
      <c r="I91" s="46" t="str">
        <f>IF($AG91="","",IF(IFERROR(INDEX(Kobo_Import!$A$2:$CZ$301,$AG91,Field_Map!$B$17)&amp;"","")="","",IFERROR(INDEX(Lists!$N$5:$N$19,MATCH(INDEX(Kobo_Import!$A$2:$CZ$301,$AG91,Field_Map!$B$17)&amp;"",Lists!$M$5:$M$19,0)),INDEX(Kobo_Import!$A$2:$CZ$301,$AG91,Field_Map!$B$17)&amp;"")))</f>
        <v>No</v>
      </c>
      <c r="J91" s="46">
        <f>IF($AG91="","",IFERROR(VALUE(INDEX(Kobo_Import!$A$2:$CZ$301,$AG91,Field_Map!$B$18)&amp;""),0))</f>
        <v>1</v>
      </c>
      <c r="K91" s="46">
        <f>IF($AG91="","",IFERROR(VALUE(INDEX(Kobo_Import!$A$2:$CZ$301,$AG91,Field_Map!$B$19)&amp;""),0))</f>
        <v>4</v>
      </c>
      <c r="L91" s="46">
        <f>IF($AG91="","",IFERROR(VALUE(INDEX(Kobo_Import!$A$2:$CZ$301,$AG91,Field_Map!$B$20)&amp;""),0))</f>
        <v>2</v>
      </c>
      <c r="M91" s="46">
        <f>IF($AG91="","",IFERROR(VALUE(INDEX(Kobo_Import!$A$2:$CZ$301,$AG91,Field_Map!$B$21)&amp;""),0))</f>
        <v>0</v>
      </c>
      <c r="N91" s="46">
        <f>IF($AG91="","",IFERROR(VALUE(INDEX(Kobo_Import!$A$2:$CZ$301,$AG91,Field_Map!$B$22)&amp;""),0))</f>
        <v>2</v>
      </c>
      <c r="O91" s="46">
        <f>IF($AG91="","",IFERROR(VALUE(INDEX(Kobo_Import!$A$2:$CZ$301,$AG91,Field_Map!$B$23)&amp;""),0))</f>
        <v>1</v>
      </c>
      <c r="P91" s="46">
        <f>IF($AG91="","",IFERROR(VALUE(INDEX(Kobo_Import!$A$2:$CZ$301,$AG91,Field_Map!$B$24)&amp;""),0))</f>
        <v>0</v>
      </c>
      <c r="Q91" s="46">
        <f>IF($AG91="","",IFERROR(VALUE(INDEX(Kobo_Import!$A$2:$CZ$301,$AG91,Field_Map!$B$25)&amp;""),0))</f>
        <v>8</v>
      </c>
      <c r="R91" s="46">
        <f>IF($AG91="","",IFERROR(VALUE(INDEX(Kobo_Import!$A$2:$CZ$301,$AG91,Field_Map!$B$26)&amp;""),0))</f>
        <v>6</v>
      </c>
      <c r="S91" s="46">
        <f>IF($AG91="","",IFERROR(VALUE(INDEX(Kobo_Import!$A$2:$CZ$301,$AG91,Field_Map!$B$27)&amp;""),0))</f>
        <v>5</v>
      </c>
      <c r="T91" s="46">
        <f>IF($AG91="","",IFERROR(VALUE(INDEX(Kobo_Import!$A$2:$CZ$301,$AG91,Field_Map!$B$28)&amp;""),0))</f>
        <v>1</v>
      </c>
      <c r="U91" s="46" t="str">
        <f>IF($AG91="","",IF(IFERROR(INDEX(Kobo_Import!$A$2:$CZ$301,$AG91,Field_Map!$B$29)&amp;"","")="","",IFERROR(INDEX(Lists!$N$5:$N$19,MATCH(INDEX(Kobo_Import!$A$2:$CZ$301,$AG91,Field_Map!$B$29)&amp;"",Lists!$M$5:$M$19,0)),INDEX(Kobo_Import!$A$2:$CZ$301,$AG91,Field_Map!$B$29)&amp;"")))</f>
        <v>No</v>
      </c>
      <c r="V91" s="50">
        <f>IF($A91="","",Settings!$B$5-F91)</f>
        <v>19</v>
      </c>
      <c r="W91" s="46">
        <f>IF($A91="","",(J91&gt;0)*Settings!$B$22+(P91&gt;0)*Settings!$B$23+(M91&gt;0)*Settings!$B$24+(O91&gt;0)*Settings!$B$25+(I91="Yes")*Settings!$B$26+(D91="Unusable")*Settings!$B$27+(D91="Damaged")*Settings!$B$28+(H91&gt;=Settings!$B$30)*Settings!$B$29)</f>
        <v>3</v>
      </c>
      <c r="X91" s="46" t="str">
        <f>IF($A91="","",IF(W91&gt;=Settings!$B$31,"High",IF(W91&gt;=Settings!$B$32,"Medium","Low")))</f>
        <v>Medium</v>
      </c>
      <c r="Y91" s="46" t="str">
        <f>IF($A91="","",IF(V91&gt;Settings!$B$21,"Yes",""))</f>
        <v/>
      </c>
      <c r="Z91" s="46">
        <f>IF($A91="","",COUNTIFS(Referrals!$B$5:$B$52,$A91,Referrals!$G$5:$G$52,"Referred")+COUNTIFS(Referrals!$B$5:$B$52,$A91,Referrals!$G$5:$G$52,"Acknowledged"))</f>
        <v>0</v>
      </c>
      <c r="AA91" s="46">
        <f>IF($A91="","",COUNTIFS(Referrals!$B$5:$B$52,$A91,Referrals!$K$5:$K$52,"Overdue"))</f>
        <v>0</v>
      </c>
      <c r="AB91" s="46" t="str">
        <f>IF($A91="","",IF(AND(J91&gt;0,U91="Yes"),IF(COUNTIFS(Referrals!$B$5:$B$52,$A91,Referrals!$D$5:$D$52,"Nutrition / IYCF")=0,"Referral needed","Referred"),""))</f>
        <v/>
      </c>
      <c r="AC91" s="46" t="str">
        <f>IF($A91="","",IF(N(Needs_Gaps!O91)&gt;0,"Yes",""))</f>
        <v/>
      </c>
      <c r="AD91" s="46" t="str">
        <f>IF($A91="","",IF(COUNTIFS(Maintenance_Log!$C$5:$C$40,$A91,Maintenance_Log!$H$5:$H$40,"&lt;&gt;Resolved")&gt;0,"Yes",""))</f>
        <v/>
      </c>
      <c r="AE91" s="46">
        <f t="shared" si="4"/>
        <v>0</v>
      </c>
      <c r="AF91" s="46">
        <f t="shared" si="5"/>
        <v>0</v>
      </c>
      <c r="AG91" s="46">
        <f>IFERROR(MATCH(ROW()-4,Import_Index!$H$5:$H$304,0),"")</f>
        <v>72</v>
      </c>
    </row>
    <row r="92" spans="1:33" x14ac:dyDescent="0.3">
      <c r="A92" s="46" t="str">
        <f>IF($AG92="","",IFERROR(INDEX(Kobo_Import!$A$2:$CZ$301,$AG92,Field_Map!$B$13)&amp;"",""))</f>
        <v>HH-088</v>
      </c>
      <c r="B92" s="46" t="str">
        <f>IF($AG92="","",IF(IFERROR(INDEX(Kobo_Import!$A$2:$CZ$301,$AG92,Field_Map!$B$9)&amp;"","")="","",IFERROR(INDEX(Lists!$N$5:$N$19,MATCH(INDEX(Kobo_Import!$A$2:$CZ$301,$AG92,Field_Map!$B$9)&amp;"",Lists!$M$5:$M$19,0)),INDEX(Kobo_Import!$A$2:$CZ$301,$AG92,Field_Map!$B$9)&amp;"")))</f>
        <v>Site C – Informal Tent Area</v>
      </c>
      <c r="C92" s="46" t="str">
        <f>IF($AG92="","",IF(IFERROR(INDEX(Kobo_Import!$A$2:$CZ$301,$AG92,Field_Map!$B$14)&amp;"","")="","",IFERROR(INDEX(Lists!$N$5:$N$19,MATCH(INDEX(Kobo_Import!$A$2:$CZ$301,$AG92,Field_Map!$B$14)&amp;"",Lists!$M$5:$M$19,0)),INDEX(Kobo_Import!$A$2:$CZ$301,$AG92,Field_Map!$B$14)&amp;"")))</f>
        <v>Tent</v>
      </c>
      <c r="D92" s="46" t="str">
        <f>IF($AG92="","",IF(IFERROR(INDEX(Kobo_Import!$A$2:$CZ$301,$AG92,Field_Map!$B$15)&amp;"","")="","",IFERROR(INDEX(Lists!$N$5:$N$19,MATCH(INDEX(Kobo_Import!$A$2:$CZ$301,$AG92,Field_Map!$B$15)&amp;"",Lists!$M$5:$M$19,0)),INDEX(Kobo_Import!$A$2:$CZ$301,$AG92,Field_Map!$B$15)&amp;"")))</f>
        <v>Damaged</v>
      </c>
      <c r="E92" s="49">
        <f>IF($A92="","",IFERROR(INDEX(Import_Index!$D$5:$D$304,MATCH($A92&amp;"|registration",Import_Index!$I$5:$I$304,0)),F92))</f>
        <v>46031</v>
      </c>
      <c r="F92" s="49">
        <f>IF($AG92="","",INDEX(Import_Index!$D$5:$D$304,$AG92))</f>
        <v>46031</v>
      </c>
      <c r="G92" s="46">
        <f>IF($A92="","",COUNTIFS(Import_Index!$B$5:$B$304,$A92,Import_Index!$C$5:$C$304,"yes"))</f>
        <v>1</v>
      </c>
      <c r="H92" s="46">
        <f>IF($AG92="","",IFERROR(VALUE(INDEX(Kobo_Import!$A$2:$CZ$301,$AG92,Field_Map!$B$16)&amp;""),0))</f>
        <v>3</v>
      </c>
      <c r="I92" s="46" t="str">
        <f>IF($AG92="","",IF(IFERROR(INDEX(Kobo_Import!$A$2:$CZ$301,$AG92,Field_Map!$B$17)&amp;"","")="","",IFERROR(INDEX(Lists!$N$5:$N$19,MATCH(INDEX(Kobo_Import!$A$2:$CZ$301,$AG92,Field_Map!$B$17)&amp;"",Lists!$M$5:$M$19,0)),INDEX(Kobo_Import!$A$2:$CZ$301,$AG92,Field_Map!$B$17)&amp;"")))</f>
        <v>No</v>
      </c>
      <c r="J92" s="46">
        <f>IF($AG92="","",IFERROR(VALUE(INDEX(Kobo_Import!$A$2:$CZ$301,$AG92,Field_Map!$B$18)&amp;""),0))</f>
        <v>0</v>
      </c>
      <c r="K92" s="46">
        <f>IF($AG92="","",IFERROR(VALUE(INDEX(Kobo_Import!$A$2:$CZ$301,$AG92,Field_Map!$B$19)&amp;""),0))</f>
        <v>1</v>
      </c>
      <c r="L92" s="46">
        <f>IF($AG92="","",IFERROR(VALUE(INDEX(Kobo_Import!$A$2:$CZ$301,$AG92,Field_Map!$B$20)&amp;""),0))</f>
        <v>2</v>
      </c>
      <c r="M92" s="46">
        <f>IF($AG92="","",IFERROR(VALUE(INDEX(Kobo_Import!$A$2:$CZ$301,$AG92,Field_Map!$B$21)&amp;""),0))</f>
        <v>0</v>
      </c>
      <c r="N92" s="46">
        <f>IF($AG92="","",IFERROR(VALUE(INDEX(Kobo_Import!$A$2:$CZ$301,$AG92,Field_Map!$B$22)&amp;""),0))</f>
        <v>1</v>
      </c>
      <c r="O92" s="46">
        <f>IF($AG92="","",IFERROR(VALUE(INDEX(Kobo_Import!$A$2:$CZ$301,$AG92,Field_Map!$B$23)&amp;""),0))</f>
        <v>0</v>
      </c>
      <c r="P92" s="46">
        <f>IF($AG92="","",IFERROR(VALUE(INDEX(Kobo_Import!$A$2:$CZ$301,$AG92,Field_Map!$B$24)&amp;""),0))</f>
        <v>0</v>
      </c>
      <c r="Q92" s="46">
        <f>IF($AG92="","",IFERROR(VALUE(INDEX(Kobo_Import!$A$2:$CZ$301,$AG92,Field_Map!$B$25)&amp;""),0))</f>
        <v>2</v>
      </c>
      <c r="R92" s="46">
        <f>IF($AG92="","",IFERROR(VALUE(INDEX(Kobo_Import!$A$2:$CZ$301,$AG92,Field_Map!$B$26)&amp;""),0))</f>
        <v>1</v>
      </c>
      <c r="S92" s="46">
        <f>IF($AG92="","",IFERROR(VALUE(INDEX(Kobo_Import!$A$2:$CZ$301,$AG92,Field_Map!$B$27)&amp;""),0))</f>
        <v>1</v>
      </c>
      <c r="T92" s="46">
        <f>IF($AG92="","",IFERROR(VALUE(INDEX(Kobo_Import!$A$2:$CZ$301,$AG92,Field_Map!$B$28)&amp;""),0))</f>
        <v>1</v>
      </c>
      <c r="U92" s="46" t="str">
        <f>IF($AG92="","",IF(IFERROR(INDEX(Kobo_Import!$A$2:$CZ$301,$AG92,Field_Map!$B$29)&amp;"","")="","",IFERROR(INDEX(Lists!$N$5:$N$19,MATCH(INDEX(Kobo_Import!$A$2:$CZ$301,$AG92,Field_Map!$B$29)&amp;"",Lists!$M$5:$M$19,0)),INDEX(Kobo_Import!$A$2:$CZ$301,$AG92,Field_Map!$B$29)&amp;"")))</f>
        <v/>
      </c>
      <c r="V92" s="50">
        <f>IF($A92="","",Settings!$B$5-F92)</f>
        <v>22</v>
      </c>
      <c r="W92" s="46">
        <f>IF($A92="","",(J92&gt;0)*Settings!$B$22+(P92&gt;0)*Settings!$B$23+(M92&gt;0)*Settings!$B$24+(O92&gt;0)*Settings!$B$25+(I92="Yes")*Settings!$B$26+(D92="Unusable")*Settings!$B$27+(D92="Damaged")*Settings!$B$28+(H92&gt;=Settings!$B$30)*Settings!$B$29)</f>
        <v>1</v>
      </c>
      <c r="X92" s="46" t="str">
        <f>IF($A92="","",IF(W92&gt;=Settings!$B$31,"High",IF(W92&gt;=Settings!$B$32,"Medium","Low")))</f>
        <v>Low</v>
      </c>
      <c r="Y92" s="46" t="str">
        <f>IF($A92="","",IF(V92&gt;Settings!$B$21,"Yes",""))</f>
        <v/>
      </c>
      <c r="Z92" s="46">
        <f>IF($A92="","",COUNTIFS(Referrals!$B$5:$B$52,$A92,Referrals!$G$5:$G$52,"Referred")+COUNTIFS(Referrals!$B$5:$B$52,$A92,Referrals!$G$5:$G$52,"Acknowledged"))</f>
        <v>0</v>
      </c>
      <c r="AA92" s="46">
        <f>IF($A92="","",COUNTIFS(Referrals!$B$5:$B$52,$A92,Referrals!$K$5:$K$52,"Overdue"))</f>
        <v>0</v>
      </c>
      <c r="AB92" s="46" t="str">
        <f>IF($A92="","",IF(AND(J92&gt;0,U92="Yes"),IF(COUNTIFS(Referrals!$B$5:$B$52,$A92,Referrals!$D$5:$D$52,"Nutrition / IYCF")=0,"Referral needed","Referred"),""))</f>
        <v/>
      </c>
      <c r="AC92" s="46" t="str">
        <f>IF($A92="","",IF(N(Needs_Gaps!O92)&gt;0,"Yes",""))</f>
        <v/>
      </c>
      <c r="AD92" s="46" t="str">
        <f>IF($A92="","",IF(COUNTIFS(Maintenance_Log!$C$5:$C$40,$A92,Maintenance_Log!$H$5:$H$40,"&lt;&gt;Resolved")&gt;0,"Yes",""))</f>
        <v/>
      </c>
      <c r="AE92" s="46">
        <f t="shared" si="4"/>
        <v>0</v>
      </c>
      <c r="AF92" s="46">
        <f t="shared" si="5"/>
        <v>0</v>
      </c>
      <c r="AG92" s="46">
        <f>IFERROR(MATCH(ROW()-4,Import_Index!$H$5:$H$304,0),"")</f>
        <v>61</v>
      </c>
    </row>
    <row r="93" spans="1:33" x14ac:dyDescent="0.3">
      <c r="A93" s="46" t="str">
        <f>IF($AG93="","",IFERROR(INDEX(Kobo_Import!$A$2:$CZ$301,$AG93,Field_Map!$B$13)&amp;"",""))</f>
        <v>HH-089</v>
      </c>
      <c r="B93" s="46" t="str">
        <f>IF($AG93="","",IF(IFERROR(INDEX(Kobo_Import!$A$2:$CZ$301,$AG93,Field_Map!$B$9)&amp;"","")="","",IFERROR(INDEX(Lists!$N$5:$N$19,MATCH(INDEX(Kobo_Import!$A$2:$CZ$301,$AG93,Field_Map!$B$9)&amp;"",Lists!$M$5:$M$19,0)),INDEX(Kobo_Import!$A$2:$CZ$301,$AG93,Field_Map!$B$9)&amp;"")))</f>
        <v>Site C – Informal Tent Area</v>
      </c>
      <c r="C93" s="46" t="str">
        <f>IF($AG93="","",IF(IFERROR(INDEX(Kobo_Import!$A$2:$CZ$301,$AG93,Field_Map!$B$14)&amp;"","")="","",IFERROR(INDEX(Lists!$N$5:$N$19,MATCH(INDEX(Kobo_Import!$A$2:$CZ$301,$AG93,Field_Map!$B$14)&amp;"",Lists!$M$5:$M$19,0)),INDEX(Kobo_Import!$A$2:$CZ$301,$AG93,Field_Map!$B$14)&amp;"")))</f>
        <v>Makeshift shelter</v>
      </c>
      <c r="D93" s="46" t="str">
        <f>IF($AG93="","",IF(IFERROR(INDEX(Kobo_Import!$A$2:$CZ$301,$AG93,Field_Map!$B$15)&amp;"","")="","",IFERROR(INDEX(Lists!$N$5:$N$19,MATCH(INDEX(Kobo_Import!$A$2:$CZ$301,$AG93,Field_Map!$B$15)&amp;"",Lists!$M$5:$M$19,0)),INDEX(Kobo_Import!$A$2:$CZ$301,$AG93,Field_Map!$B$15)&amp;"")))</f>
        <v>Adequate</v>
      </c>
      <c r="E93" s="49">
        <f>IF($A93="","",IFERROR(INDEX(Import_Index!$D$5:$D$304,MATCH($A93&amp;"|registration",Import_Index!$I$5:$I$304,0)),F93))</f>
        <v>46042</v>
      </c>
      <c r="F93" s="49">
        <f>IF($AG93="","",INDEX(Import_Index!$D$5:$D$304,$AG93))</f>
        <v>46042</v>
      </c>
      <c r="G93" s="46">
        <f>IF($A93="","",COUNTIFS(Import_Index!$B$5:$B$304,$A93,Import_Index!$C$5:$C$304,"yes"))</f>
        <v>1</v>
      </c>
      <c r="H93" s="46">
        <f>IF($AG93="","",IFERROR(VALUE(INDEX(Kobo_Import!$A$2:$CZ$301,$AG93,Field_Map!$B$16)&amp;""),0))</f>
        <v>7</v>
      </c>
      <c r="I93" s="46" t="str">
        <f>IF($AG93="","",IF(IFERROR(INDEX(Kobo_Import!$A$2:$CZ$301,$AG93,Field_Map!$B$17)&amp;"","")="","",IFERROR(INDEX(Lists!$N$5:$N$19,MATCH(INDEX(Kobo_Import!$A$2:$CZ$301,$AG93,Field_Map!$B$17)&amp;"",Lists!$M$5:$M$19,0)),INDEX(Kobo_Import!$A$2:$CZ$301,$AG93,Field_Map!$B$17)&amp;"")))</f>
        <v>No</v>
      </c>
      <c r="J93" s="46">
        <f>IF($AG93="","",IFERROR(VALUE(INDEX(Kobo_Import!$A$2:$CZ$301,$AG93,Field_Map!$B$18)&amp;""),0))</f>
        <v>1</v>
      </c>
      <c r="K93" s="46">
        <f>IF($AG93="","",IFERROR(VALUE(INDEX(Kobo_Import!$A$2:$CZ$301,$AG93,Field_Map!$B$19)&amp;""),0))</f>
        <v>4</v>
      </c>
      <c r="L93" s="46">
        <f>IF($AG93="","",IFERROR(VALUE(INDEX(Kobo_Import!$A$2:$CZ$301,$AG93,Field_Map!$B$20)&amp;""),0))</f>
        <v>2</v>
      </c>
      <c r="M93" s="46">
        <f>IF($AG93="","",IFERROR(VALUE(INDEX(Kobo_Import!$A$2:$CZ$301,$AG93,Field_Map!$B$21)&amp;""),0))</f>
        <v>0</v>
      </c>
      <c r="N93" s="46">
        <f>IF($AG93="","",IFERROR(VALUE(INDEX(Kobo_Import!$A$2:$CZ$301,$AG93,Field_Map!$B$22)&amp;""),0))</f>
        <v>2</v>
      </c>
      <c r="O93" s="46">
        <f>IF($AG93="","",IFERROR(VALUE(INDEX(Kobo_Import!$A$2:$CZ$301,$AG93,Field_Map!$B$23)&amp;""),0))</f>
        <v>1</v>
      </c>
      <c r="P93" s="46">
        <f>IF($AG93="","",IFERROR(VALUE(INDEX(Kobo_Import!$A$2:$CZ$301,$AG93,Field_Map!$B$24)&amp;""),0))</f>
        <v>1</v>
      </c>
      <c r="Q93" s="46">
        <f>IF($AG93="","",IFERROR(VALUE(INDEX(Kobo_Import!$A$2:$CZ$301,$AG93,Field_Map!$B$25)&amp;""),0))</f>
        <v>7</v>
      </c>
      <c r="R93" s="46">
        <f>IF($AG93="","",IFERROR(VALUE(INDEX(Kobo_Import!$A$2:$CZ$301,$AG93,Field_Map!$B$26)&amp;""),0))</f>
        <v>6</v>
      </c>
      <c r="S93" s="46">
        <f>IF($AG93="","",IFERROR(VALUE(INDEX(Kobo_Import!$A$2:$CZ$301,$AG93,Field_Map!$B$27)&amp;""),0))</f>
        <v>2</v>
      </c>
      <c r="T93" s="46">
        <f>IF($AG93="","",IFERROR(VALUE(INDEX(Kobo_Import!$A$2:$CZ$301,$AG93,Field_Map!$B$28)&amp;""),0))</f>
        <v>0</v>
      </c>
      <c r="U93" s="46" t="str">
        <f>IF($AG93="","",IF(IFERROR(INDEX(Kobo_Import!$A$2:$CZ$301,$AG93,Field_Map!$B$29)&amp;"","")="","",IFERROR(INDEX(Lists!$N$5:$N$19,MATCH(INDEX(Kobo_Import!$A$2:$CZ$301,$AG93,Field_Map!$B$29)&amp;"",Lists!$M$5:$M$19,0)),INDEX(Kobo_Import!$A$2:$CZ$301,$AG93,Field_Map!$B$29)&amp;"")))</f>
        <v>No</v>
      </c>
      <c r="V93" s="50">
        <f>IF($A93="","",Settings!$B$5-F93)</f>
        <v>11</v>
      </c>
      <c r="W93" s="46">
        <f>IF($A93="","",(J93&gt;0)*Settings!$B$22+(P93&gt;0)*Settings!$B$23+(M93&gt;0)*Settings!$B$24+(O93&gt;0)*Settings!$B$25+(I93="Yes")*Settings!$B$26+(D93="Unusable")*Settings!$B$27+(D93="Damaged")*Settings!$B$28+(H93&gt;=Settings!$B$30)*Settings!$B$29)</f>
        <v>5</v>
      </c>
      <c r="X93" s="46" t="str">
        <f>IF($A93="","",IF(W93&gt;=Settings!$B$31,"High",IF(W93&gt;=Settings!$B$32,"Medium","Low")))</f>
        <v>High</v>
      </c>
      <c r="Y93" s="46" t="str">
        <f>IF($A93="","",IF(V93&gt;Settings!$B$21,"Yes",""))</f>
        <v/>
      </c>
      <c r="Z93" s="46">
        <f>IF($A93="","",COUNTIFS(Referrals!$B$5:$B$52,$A93,Referrals!$G$5:$G$52,"Referred")+COUNTIFS(Referrals!$B$5:$B$52,$A93,Referrals!$G$5:$G$52,"Acknowledged"))</f>
        <v>1</v>
      </c>
      <c r="AA93" s="46">
        <f>IF($A93="","",COUNTIFS(Referrals!$B$5:$B$52,$A93,Referrals!$K$5:$K$52,"Overdue"))</f>
        <v>0</v>
      </c>
      <c r="AB93" s="46" t="str">
        <f>IF($A93="","",IF(AND(J93&gt;0,U93="Yes"),IF(COUNTIFS(Referrals!$B$5:$B$52,$A93,Referrals!$D$5:$D$52,"Nutrition / IYCF")=0,"Referral needed","Referred"),""))</f>
        <v/>
      </c>
      <c r="AC93" s="46" t="str">
        <f>IF($A93="","",IF(N(Needs_Gaps!O93)&gt;0,"Yes",""))</f>
        <v/>
      </c>
      <c r="AD93" s="46" t="str">
        <f>IF($A93="","",IF(COUNTIFS(Maintenance_Log!$C$5:$C$40,$A93,Maintenance_Log!$H$5:$H$40,"&lt;&gt;Resolved")&gt;0,"Yes",""))</f>
        <v/>
      </c>
      <c r="AE93" s="46">
        <f t="shared" si="4"/>
        <v>0</v>
      </c>
      <c r="AF93" s="46">
        <f t="shared" si="5"/>
        <v>0</v>
      </c>
      <c r="AG93" s="46">
        <f>IFERROR(MATCH(ROW()-4,Import_Index!$H$5:$H$304,0),"")</f>
        <v>109</v>
      </c>
    </row>
    <row r="94" spans="1:33" x14ac:dyDescent="0.3">
      <c r="A94" s="46" t="str">
        <f>IF($AG94="","",IFERROR(INDEX(Kobo_Import!$A$2:$CZ$301,$AG94,Field_Map!$B$13)&amp;"",""))</f>
        <v>HH-090</v>
      </c>
      <c r="B94" s="46" t="str">
        <f>IF($AG94="","",IF(IFERROR(INDEX(Kobo_Import!$A$2:$CZ$301,$AG94,Field_Map!$B$9)&amp;"","")="","",IFERROR(INDEX(Lists!$N$5:$N$19,MATCH(INDEX(Kobo_Import!$A$2:$CZ$301,$AG94,Field_Map!$B$9)&amp;"",Lists!$M$5:$M$19,0)),INDEX(Kobo_Import!$A$2:$CZ$301,$AG94,Field_Map!$B$9)&amp;"")))</f>
        <v>Site C – Informal Tent Area</v>
      </c>
      <c r="C94" s="46" t="str">
        <f>IF($AG94="","",IF(IFERROR(INDEX(Kobo_Import!$A$2:$CZ$301,$AG94,Field_Map!$B$14)&amp;"","")="","",IFERROR(INDEX(Lists!$N$5:$N$19,MATCH(INDEX(Kobo_Import!$A$2:$CZ$301,$AG94,Field_Map!$B$14)&amp;"",Lists!$M$5:$M$19,0)),INDEX(Kobo_Import!$A$2:$CZ$301,$AG94,Field_Map!$B$14)&amp;"")))</f>
        <v>Makeshift shelter</v>
      </c>
      <c r="D94" s="46" t="str">
        <f>IF($AG94="","",IF(IFERROR(INDEX(Kobo_Import!$A$2:$CZ$301,$AG94,Field_Map!$B$15)&amp;"","")="","",IFERROR(INDEX(Lists!$N$5:$N$19,MATCH(INDEX(Kobo_Import!$A$2:$CZ$301,$AG94,Field_Map!$B$15)&amp;"",Lists!$M$5:$M$19,0)),INDEX(Kobo_Import!$A$2:$CZ$301,$AG94,Field_Map!$B$15)&amp;"")))</f>
        <v>Adequate</v>
      </c>
      <c r="E94" s="49">
        <f>IF($A94="","",IFERROR(INDEX(Import_Index!$D$5:$D$304,MATCH($A94&amp;"|registration",Import_Index!$I$5:$I$304,0)),F94))</f>
        <v>46015</v>
      </c>
      <c r="F94" s="49">
        <f>IF($AG94="","",INDEX(Import_Index!$D$5:$D$304,$AG94))</f>
        <v>46015</v>
      </c>
      <c r="G94" s="46">
        <f>IF($A94="","",COUNTIFS(Import_Index!$B$5:$B$304,$A94,Import_Index!$C$5:$C$304,"yes"))</f>
        <v>1</v>
      </c>
      <c r="H94" s="46">
        <f>IF($AG94="","",IFERROR(VALUE(INDEX(Kobo_Import!$A$2:$CZ$301,$AG94,Field_Map!$B$16)&amp;""),0))</f>
        <v>7</v>
      </c>
      <c r="I94" s="46" t="str">
        <f>IF($AG94="","",IF(IFERROR(INDEX(Kobo_Import!$A$2:$CZ$301,$AG94,Field_Map!$B$17)&amp;"","")="","",IFERROR(INDEX(Lists!$N$5:$N$19,MATCH(INDEX(Kobo_Import!$A$2:$CZ$301,$AG94,Field_Map!$B$17)&amp;"",Lists!$M$5:$M$19,0)),INDEX(Kobo_Import!$A$2:$CZ$301,$AG94,Field_Map!$B$17)&amp;"")))</f>
        <v>No</v>
      </c>
      <c r="J94" s="46">
        <f>IF($AG94="","",IFERROR(VALUE(INDEX(Kobo_Import!$A$2:$CZ$301,$AG94,Field_Map!$B$18)&amp;""),0))</f>
        <v>0</v>
      </c>
      <c r="K94" s="46">
        <f>IF($AG94="","",IFERROR(VALUE(INDEX(Kobo_Import!$A$2:$CZ$301,$AG94,Field_Map!$B$19)&amp;""),0))</f>
        <v>5</v>
      </c>
      <c r="L94" s="46">
        <f>IF($AG94="","",IFERROR(VALUE(INDEX(Kobo_Import!$A$2:$CZ$301,$AG94,Field_Map!$B$20)&amp;""),0))</f>
        <v>2</v>
      </c>
      <c r="M94" s="46">
        <f>IF($AG94="","",IFERROR(VALUE(INDEX(Kobo_Import!$A$2:$CZ$301,$AG94,Field_Map!$B$21)&amp;""),0))</f>
        <v>0</v>
      </c>
      <c r="N94" s="46">
        <f>IF($AG94="","",IFERROR(VALUE(INDEX(Kobo_Import!$A$2:$CZ$301,$AG94,Field_Map!$B$22)&amp;""),0))</f>
        <v>2</v>
      </c>
      <c r="O94" s="46">
        <f>IF($AG94="","",IFERROR(VALUE(INDEX(Kobo_Import!$A$2:$CZ$301,$AG94,Field_Map!$B$23)&amp;""),0))</f>
        <v>0</v>
      </c>
      <c r="P94" s="46">
        <f>IF($AG94="","",IFERROR(VALUE(INDEX(Kobo_Import!$A$2:$CZ$301,$AG94,Field_Map!$B$24)&amp;""),0))</f>
        <v>0</v>
      </c>
      <c r="Q94" s="46">
        <f>IF($AG94="","",IFERROR(VALUE(INDEX(Kobo_Import!$A$2:$CZ$301,$AG94,Field_Map!$B$25)&amp;""),0))</f>
        <v>0</v>
      </c>
      <c r="R94" s="46">
        <f>IF($AG94="","",IFERROR(VALUE(INDEX(Kobo_Import!$A$2:$CZ$301,$AG94,Field_Map!$B$26)&amp;""),0))</f>
        <v>2</v>
      </c>
      <c r="S94" s="46">
        <f>IF($AG94="","",IFERROR(VALUE(INDEX(Kobo_Import!$A$2:$CZ$301,$AG94,Field_Map!$B$27)&amp;""),0))</f>
        <v>1</v>
      </c>
      <c r="T94" s="46">
        <f>IF($AG94="","",IFERROR(VALUE(INDEX(Kobo_Import!$A$2:$CZ$301,$AG94,Field_Map!$B$28)&amp;""),0))</f>
        <v>0</v>
      </c>
      <c r="U94" s="46" t="str">
        <f>IF($AG94="","",IF(IFERROR(INDEX(Kobo_Import!$A$2:$CZ$301,$AG94,Field_Map!$B$29)&amp;"","")="","",IFERROR(INDEX(Lists!$N$5:$N$19,MATCH(INDEX(Kobo_Import!$A$2:$CZ$301,$AG94,Field_Map!$B$29)&amp;"",Lists!$M$5:$M$19,0)),INDEX(Kobo_Import!$A$2:$CZ$301,$AG94,Field_Map!$B$29)&amp;"")))</f>
        <v/>
      </c>
      <c r="V94" s="50">
        <f>IF($A94="","",Settings!$B$5-F94)</f>
        <v>38</v>
      </c>
      <c r="W94" s="46">
        <f>IF($A94="","",(J94&gt;0)*Settings!$B$22+(P94&gt;0)*Settings!$B$23+(M94&gt;0)*Settings!$B$24+(O94&gt;0)*Settings!$B$25+(I94="Yes")*Settings!$B$26+(D94="Unusable")*Settings!$B$27+(D94="Damaged")*Settings!$B$28+(H94&gt;=Settings!$B$30)*Settings!$B$29)</f>
        <v>0</v>
      </c>
      <c r="X94" s="46" t="str">
        <f>IF($A94="","",IF(W94&gt;=Settings!$B$31,"High",IF(W94&gt;=Settings!$B$32,"Medium","Low")))</f>
        <v>Low</v>
      </c>
      <c r="Y94" s="46" t="str">
        <f>IF($A94="","",IF(V94&gt;Settings!$B$21,"Yes",""))</f>
        <v>Yes</v>
      </c>
      <c r="Z94" s="46">
        <f>IF($A94="","",COUNTIFS(Referrals!$B$5:$B$52,$A94,Referrals!$G$5:$G$52,"Referred")+COUNTIFS(Referrals!$B$5:$B$52,$A94,Referrals!$G$5:$G$52,"Acknowledged"))</f>
        <v>0</v>
      </c>
      <c r="AA94" s="46">
        <f>IF($A94="","",COUNTIFS(Referrals!$B$5:$B$52,$A94,Referrals!$K$5:$K$52,"Overdue"))</f>
        <v>0</v>
      </c>
      <c r="AB94" s="46" t="str">
        <f>IF($A94="","",IF(AND(J94&gt;0,U94="Yes"),IF(COUNTIFS(Referrals!$B$5:$B$52,$A94,Referrals!$D$5:$D$52,"Nutrition / IYCF")=0,"Referral needed","Referred"),""))</f>
        <v/>
      </c>
      <c r="AC94" s="46" t="str">
        <f>IF($A94="","",IF(N(Needs_Gaps!O94)&gt;0,"Yes",""))</f>
        <v/>
      </c>
      <c r="AD94" s="46" t="str">
        <f>IF($A94="","",IF(COUNTIFS(Maintenance_Log!$C$5:$C$40,$A94,Maintenance_Log!$H$5:$H$40,"&lt;&gt;Resolved")&gt;0,"Yes",""))</f>
        <v/>
      </c>
      <c r="AE94" s="46">
        <f t="shared" si="4"/>
        <v>1</v>
      </c>
      <c r="AF94" s="46">
        <f t="shared" si="5"/>
        <v>100910</v>
      </c>
      <c r="AG94" s="46">
        <f>IFERROR(MATCH(ROW()-4,Import_Index!$H$5:$H$304,0),"")</f>
        <v>22</v>
      </c>
    </row>
    <row r="95" spans="1:33" x14ac:dyDescent="0.3">
      <c r="A95" s="46" t="str">
        <f>IF($AG95="","",IFERROR(INDEX(Kobo_Import!$A$2:$CZ$301,$AG95,Field_Map!$B$13)&amp;"",""))</f>
        <v>HH-091</v>
      </c>
      <c r="B95" s="46" t="str">
        <f>IF($AG95="","",IF(IFERROR(INDEX(Kobo_Import!$A$2:$CZ$301,$AG95,Field_Map!$B$9)&amp;"","")="","",IFERROR(INDEX(Lists!$N$5:$N$19,MATCH(INDEX(Kobo_Import!$A$2:$CZ$301,$AG95,Field_Map!$B$9)&amp;"",Lists!$M$5:$M$19,0)),INDEX(Kobo_Import!$A$2:$CZ$301,$AG95,Field_Map!$B$9)&amp;"")))</f>
        <v>Site C – Informal Tent Area</v>
      </c>
      <c r="C95" s="46" t="str">
        <f>IF($AG95="","",IF(IFERROR(INDEX(Kobo_Import!$A$2:$CZ$301,$AG95,Field_Map!$B$14)&amp;"","")="","",IFERROR(INDEX(Lists!$N$5:$N$19,MATCH(INDEX(Kobo_Import!$A$2:$CZ$301,$AG95,Field_Map!$B$14)&amp;"",Lists!$M$5:$M$19,0)),INDEX(Kobo_Import!$A$2:$CZ$301,$AG95,Field_Map!$B$14)&amp;"")))</f>
        <v>Tent</v>
      </c>
      <c r="D95" s="46" t="str">
        <f>IF($AG95="","",IF(IFERROR(INDEX(Kobo_Import!$A$2:$CZ$301,$AG95,Field_Map!$B$15)&amp;"","")="","",IFERROR(INDEX(Lists!$N$5:$N$19,MATCH(INDEX(Kobo_Import!$A$2:$CZ$301,$AG95,Field_Map!$B$15)&amp;"",Lists!$M$5:$M$19,0)),INDEX(Kobo_Import!$A$2:$CZ$301,$AG95,Field_Map!$B$15)&amp;"")))</f>
        <v>Adequate</v>
      </c>
      <c r="E95" s="49">
        <f>IF($A95="","",IFERROR(INDEX(Import_Index!$D$5:$D$304,MATCH($A95&amp;"|registration",Import_Index!$I$5:$I$304,0)),F95))</f>
        <v>46049</v>
      </c>
      <c r="F95" s="49">
        <f>IF($AG95="","",INDEX(Import_Index!$D$5:$D$304,$AG95))</f>
        <v>46049</v>
      </c>
      <c r="G95" s="46">
        <f>IF($A95="","",COUNTIFS(Import_Index!$B$5:$B$304,$A95,Import_Index!$C$5:$C$304,"yes"))</f>
        <v>1</v>
      </c>
      <c r="H95" s="46">
        <f>IF($AG95="","",IFERROR(VALUE(INDEX(Kobo_Import!$A$2:$CZ$301,$AG95,Field_Map!$B$16)&amp;""),0))</f>
        <v>6</v>
      </c>
      <c r="I95" s="46" t="str">
        <f>IF($AG95="","",IF(IFERROR(INDEX(Kobo_Import!$A$2:$CZ$301,$AG95,Field_Map!$B$17)&amp;"","")="","",IFERROR(INDEX(Lists!$N$5:$N$19,MATCH(INDEX(Kobo_Import!$A$2:$CZ$301,$AG95,Field_Map!$B$17)&amp;"",Lists!$M$5:$M$19,0)),INDEX(Kobo_Import!$A$2:$CZ$301,$AG95,Field_Map!$B$17)&amp;"")))</f>
        <v>Yes</v>
      </c>
      <c r="J95" s="46">
        <f>IF($AG95="","",IFERROR(VALUE(INDEX(Kobo_Import!$A$2:$CZ$301,$AG95,Field_Map!$B$18)&amp;""),0))</f>
        <v>0</v>
      </c>
      <c r="K95" s="46">
        <f>IF($AG95="","",IFERROR(VALUE(INDEX(Kobo_Import!$A$2:$CZ$301,$AG95,Field_Map!$B$19)&amp;""),0))</f>
        <v>5</v>
      </c>
      <c r="L95" s="46">
        <f>IF($AG95="","",IFERROR(VALUE(INDEX(Kobo_Import!$A$2:$CZ$301,$AG95,Field_Map!$B$20)&amp;""),0))</f>
        <v>1</v>
      </c>
      <c r="M95" s="46">
        <f>IF($AG95="","",IFERROR(VALUE(INDEX(Kobo_Import!$A$2:$CZ$301,$AG95,Field_Map!$B$21)&amp;""),0))</f>
        <v>0</v>
      </c>
      <c r="N95" s="46">
        <f>IF($AG95="","",IFERROR(VALUE(INDEX(Kobo_Import!$A$2:$CZ$301,$AG95,Field_Map!$B$22)&amp;""),0))</f>
        <v>2</v>
      </c>
      <c r="O95" s="46">
        <f>IF($AG95="","",IFERROR(VALUE(INDEX(Kobo_Import!$A$2:$CZ$301,$AG95,Field_Map!$B$23)&amp;""),0))</f>
        <v>0</v>
      </c>
      <c r="P95" s="46">
        <f>IF($AG95="","",IFERROR(VALUE(INDEX(Kobo_Import!$A$2:$CZ$301,$AG95,Field_Map!$B$24)&amp;""),0))</f>
        <v>0</v>
      </c>
      <c r="Q95" s="46">
        <f>IF($AG95="","",IFERROR(VALUE(INDEX(Kobo_Import!$A$2:$CZ$301,$AG95,Field_Map!$B$25)&amp;""),0))</f>
        <v>0</v>
      </c>
      <c r="R95" s="46">
        <f>IF($AG95="","",IFERROR(VALUE(INDEX(Kobo_Import!$A$2:$CZ$301,$AG95,Field_Map!$B$26)&amp;""),0))</f>
        <v>4</v>
      </c>
      <c r="S95" s="46">
        <f>IF($AG95="","",IFERROR(VALUE(INDEX(Kobo_Import!$A$2:$CZ$301,$AG95,Field_Map!$B$27)&amp;""),0))</f>
        <v>4</v>
      </c>
      <c r="T95" s="46">
        <f>IF($AG95="","",IFERROR(VALUE(INDEX(Kobo_Import!$A$2:$CZ$301,$AG95,Field_Map!$B$28)&amp;""),0))</f>
        <v>1</v>
      </c>
      <c r="U95" s="46" t="str">
        <f>IF($AG95="","",IF(IFERROR(INDEX(Kobo_Import!$A$2:$CZ$301,$AG95,Field_Map!$B$29)&amp;"","")="","",IFERROR(INDEX(Lists!$N$5:$N$19,MATCH(INDEX(Kobo_Import!$A$2:$CZ$301,$AG95,Field_Map!$B$29)&amp;"",Lists!$M$5:$M$19,0)),INDEX(Kobo_Import!$A$2:$CZ$301,$AG95,Field_Map!$B$29)&amp;"")))</f>
        <v/>
      </c>
      <c r="V95" s="50">
        <f>IF($A95="","",Settings!$B$5-F95)</f>
        <v>4</v>
      </c>
      <c r="W95" s="46">
        <f>IF($A95="","",(J95&gt;0)*Settings!$B$22+(P95&gt;0)*Settings!$B$23+(M95&gt;0)*Settings!$B$24+(O95&gt;0)*Settings!$B$25+(I95="Yes")*Settings!$B$26+(D95="Unusable")*Settings!$B$27+(D95="Damaged")*Settings!$B$28+(H95&gt;=Settings!$B$30)*Settings!$B$29)</f>
        <v>1</v>
      </c>
      <c r="X95" s="46" t="str">
        <f>IF($A95="","",IF(W95&gt;=Settings!$B$31,"High",IF(W95&gt;=Settings!$B$32,"Medium","Low")))</f>
        <v>Low</v>
      </c>
      <c r="Y95" s="46" t="str">
        <f>IF($A95="","",IF(V95&gt;Settings!$B$21,"Yes",""))</f>
        <v/>
      </c>
      <c r="Z95" s="46">
        <f>IF($A95="","",COUNTIFS(Referrals!$B$5:$B$52,$A95,Referrals!$G$5:$G$52,"Referred")+COUNTIFS(Referrals!$B$5:$B$52,$A95,Referrals!$G$5:$G$52,"Acknowledged"))</f>
        <v>0</v>
      </c>
      <c r="AA95" s="46">
        <f>IF($A95="","",COUNTIFS(Referrals!$B$5:$B$52,$A95,Referrals!$K$5:$K$52,"Overdue"))</f>
        <v>0</v>
      </c>
      <c r="AB95" s="46" t="str">
        <f>IF($A95="","",IF(AND(J95&gt;0,U95="Yes"),IF(COUNTIFS(Referrals!$B$5:$B$52,$A95,Referrals!$D$5:$D$52,"Nutrition / IYCF")=0,"Referral needed","Referred"),""))</f>
        <v/>
      </c>
      <c r="AC95" s="46" t="str">
        <f>IF($A95="","",IF(N(Needs_Gaps!O95)&gt;0,"Yes",""))</f>
        <v/>
      </c>
      <c r="AD95" s="46" t="str">
        <f>IF($A95="","",IF(COUNTIFS(Maintenance_Log!$C$5:$C$40,$A95,Maintenance_Log!$H$5:$H$40,"&lt;&gt;Resolved")&gt;0,"Yes",""))</f>
        <v/>
      </c>
      <c r="AE95" s="46">
        <f t="shared" si="4"/>
        <v>0</v>
      </c>
      <c r="AF95" s="46">
        <f t="shared" si="5"/>
        <v>0</v>
      </c>
      <c r="AG95" s="46">
        <f>IFERROR(MATCH(ROW()-4,Import_Index!$H$5:$H$304,0),"")</f>
        <v>140</v>
      </c>
    </row>
    <row r="96" spans="1:33" x14ac:dyDescent="0.3">
      <c r="A96" s="46" t="str">
        <f>IF($AG96="","",IFERROR(INDEX(Kobo_Import!$A$2:$CZ$301,$AG96,Field_Map!$B$13)&amp;"",""))</f>
        <v>HH-092</v>
      </c>
      <c r="B96" s="46" t="str">
        <f>IF($AG96="","",IF(IFERROR(INDEX(Kobo_Import!$A$2:$CZ$301,$AG96,Field_Map!$B$9)&amp;"","")="","",IFERROR(INDEX(Lists!$N$5:$N$19,MATCH(INDEX(Kobo_Import!$A$2:$CZ$301,$AG96,Field_Map!$B$9)&amp;"",Lists!$M$5:$M$19,0)),INDEX(Kobo_Import!$A$2:$CZ$301,$AG96,Field_Map!$B$9)&amp;"")))</f>
        <v>Site C – Informal Tent Area</v>
      </c>
      <c r="C96" s="46" t="str">
        <f>IF($AG96="","",IF(IFERROR(INDEX(Kobo_Import!$A$2:$CZ$301,$AG96,Field_Map!$B$14)&amp;"","")="","",IFERROR(INDEX(Lists!$N$5:$N$19,MATCH(INDEX(Kobo_Import!$A$2:$CZ$301,$AG96,Field_Map!$B$14)&amp;"",Lists!$M$5:$M$19,0)),INDEX(Kobo_Import!$A$2:$CZ$301,$AG96,Field_Map!$B$14)&amp;"")))</f>
        <v>Makeshift shelter</v>
      </c>
      <c r="D96" s="46" t="str">
        <f>IF($AG96="","",IF(IFERROR(INDEX(Kobo_Import!$A$2:$CZ$301,$AG96,Field_Map!$B$15)&amp;"","")="","",IFERROR(INDEX(Lists!$N$5:$N$19,MATCH(INDEX(Kobo_Import!$A$2:$CZ$301,$AG96,Field_Map!$B$15)&amp;"",Lists!$M$5:$M$19,0)),INDEX(Kobo_Import!$A$2:$CZ$301,$AG96,Field_Map!$B$15)&amp;"")))</f>
        <v>Damaged</v>
      </c>
      <c r="E96" s="49">
        <f>IF($A96="","",IFERROR(INDEX(Import_Index!$D$5:$D$304,MATCH($A96&amp;"|registration",Import_Index!$I$5:$I$304,0)),F96))</f>
        <v>46032</v>
      </c>
      <c r="F96" s="49">
        <f>IF($AG96="","",INDEX(Import_Index!$D$5:$D$304,$AG96))</f>
        <v>46032</v>
      </c>
      <c r="G96" s="46">
        <f>IF($A96="","",COUNTIFS(Import_Index!$B$5:$B$304,$A96,Import_Index!$C$5:$C$304,"yes"))</f>
        <v>1</v>
      </c>
      <c r="H96" s="46">
        <f>IF($AG96="","",IFERROR(VALUE(INDEX(Kobo_Import!$A$2:$CZ$301,$AG96,Field_Map!$B$16)&amp;""),0))</f>
        <v>8</v>
      </c>
      <c r="I96" s="46" t="str">
        <f>IF($AG96="","",IF(IFERROR(INDEX(Kobo_Import!$A$2:$CZ$301,$AG96,Field_Map!$B$17)&amp;"","")="","",IFERROR(INDEX(Lists!$N$5:$N$19,MATCH(INDEX(Kobo_Import!$A$2:$CZ$301,$AG96,Field_Map!$B$17)&amp;"",Lists!$M$5:$M$19,0)),INDEX(Kobo_Import!$A$2:$CZ$301,$AG96,Field_Map!$B$17)&amp;"")))</f>
        <v>No</v>
      </c>
      <c r="J96" s="46">
        <f>IF($AG96="","",IFERROR(VALUE(INDEX(Kobo_Import!$A$2:$CZ$301,$AG96,Field_Map!$B$18)&amp;""),0))</f>
        <v>0</v>
      </c>
      <c r="K96" s="46">
        <f>IF($AG96="","",IFERROR(VALUE(INDEX(Kobo_Import!$A$2:$CZ$301,$AG96,Field_Map!$B$19)&amp;""),0))</f>
        <v>5</v>
      </c>
      <c r="L96" s="46">
        <f>IF($AG96="","",IFERROR(VALUE(INDEX(Kobo_Import!$A$2:$CZ$301,$AG96,Field_Map!$B$20)&amp;""),0))</f>
        <v>3</v>
      </c>
      <c r="M96" s="46">
        <f>IF($AG96="","",IFERROR(VALUE(INDEX(Kobo_Import!$A$2:$CZ$301,$AG96,Field_Map!$B$21)&amp;""),0))</f>
        <v>0</v>
      </c>
      <c r="N96" s="46">
        <f>IF($AG96="","",IFERROR(VALUE(INDEX(Kobo_Import!$A$2:$CZ$301,$AG96,Field_Map!$B$22)&amp;""),0))</f>
        <v>2</v>
      </c>
      <c r="O96" s="46">
        <f>IF($AG96="","",IFERROR(VALUE(INDEX(Kobo_Import!$A$2:$CZ$301,$AG96,Field_Map!$B$23)&amp;""),0))</f>
        <v>0</v>
      </c>
      <c r="P96" s="46">
        <f>IF($AG96="","",IFERROR(VALUE(INDEX(Kobo_Import!$A$2:$CZ$301,$AG96,Field_Map!$B$24)&amp;""),0))</f>
        <v>0</v>
      </c>
      <c r="Q96" s="46">
        <f>IF($AG96="","",IFERROR(VALUE(INDEX(Kobo_Import!$A$2:$CZ$301,$AG96,Field_Map!$B$25)&amp;""),0))</f>
        <v>11</v>
      </c>
      <c r="R96" s="46">
        <f>IF($AG96="","",IFERROR(VALUE(INDEX(Kobo_Import!$A$2:$CZ$301,$AG96,Field_Map!$B$26)&amp;""),0))</f>
        <v>7</v>
      </c>
      <c r="S96" s="46">
        <f>IF($AG96="","",IFERROR(VALUE(INDEX(Kobo_Import!$A$2:$CZ$301,$AG96,Field_Map!$B$27)&amp;""),0))</f>
        <v>1</v>
      </c>
      <c r="T96" s="46">
        <f>IF($AG96="","",IFERROR(VALUE(INDEX(Kobo_Import!$A$2:$CZ$301,$AG96,Field_Map!$B$28)&amp;""),0))</f>
        <v>3</v>
      </c>
      <c r="U96" s="46" t="str">
        <f>IF($AG96="","",IF(IFERROR(INDEX(Kobo_Import!$A$2:$CZ$301,$AG96,Field_Map!$B$29)&amp;"","")="","",IFERROR(INDEX(Lists!$N$5:$N$19,MATCH(INDEX(Kobo_Import!$A$2:$CZ$301,$AG96,Field_Map!$B$29)&amp;"",Lists!$M$5:$M$19,0)),INDEX(Kobo_Import!$A$2:$CZ$301,$AG96,Field_Map!$B$29)&amp;"")))</f>
        <v/>
      </c>
      <c r="V96" s="50">
        <f>IF($A96="","",Settings!$B$5-F96)</f>
        <v>21</v>
      </c>
      <c r="W96" s="46">
        <f>IF($A96="","",(J96&gt;0)*Settings!$B$22+(P96&gt;0)*Settings!$B$23+(M96&gt;0)*Settings!$B$24+(O96&gt;0)*Settings!$B$25+(I96="Yes")*Settings!$B$26+(D96="Unusable")*Settings!$B$27+(D96="Damaged")*Settings!$B$28+(H96&gt;=Settings!$B$30)*Settings!$B$29)</f>
        <v>1</v>
      </c>
      <c r="X96" s="46" t="str">
        <f>IF($A96="","",IF(W96&gt;=Settings!$B$31,"High",IF(W96&gt;=Settings!$B$32,"Medium","Low")))</f>
        <v>Low</v>
      </c>
      <c r="Y96" s="46" t="str">
        <f>IF($A96="","",IF(V96&gt;Settings!$B$21,"Yes",""))</f>
        <v/>
      </c>
      <c r="Z96" s="46">
        <f>IF($A96="","",COUNTIFS(Referrals!$B$5:$B$52,$A96,Referrals!$G$5:$G$52,"Referred")+COUNTIFS(Referrals!$B$5:$B$52,$A96,Referrals!$G$5:$G$52,"Acknowledged"))</f>
        <v>0</v>
      </c>
      <c r="AA96" s="46">
        <f>IF($A96="","",COUNTIFS(Referrals!$B$5:$B$52,$A96,Referrals!$K$5:$K$52,"Overdue"))</f>
        <v>0</v>
      </c>
      <c r="AB96" s="46" t="str">
        <f>IF($A96="","",IF(AND(J96&gt;0,U96="Yes"),IF(COUNTIFS(Referrals!$B$5:$B$52,$A96,Referrals!$D$5:$D$52,"Nutrition / IYCF")=0,"Referral needed","Referred"),""))</f>
        <v/>
      </c>
      <c r="AC96" s="46" t="str">
        <f>IF($A96="","",IF(N(Needs_Gaps!O96)&gt;0,"Yes",""))</f>
        <v/>
      </c>
      <c r="AD96" s="46" t="str">
        <f>IF($A96="","",IF(COUNTIFS(Maintenance_Log!$C$5:$C$40,$A96,Maintenance_Log!$H$5:$H$40,"&lt;&gt;Resolved")&gt;0,"Yes",""))</f>
        <v/>
      </c>
      <c r="AE96" s="46">
        <f t="shared" si="4"/>
        <v>0</v>
      </c>
      <c r="AF96" s="46">
        <f t="shared" si="5"/>
        <v>0</v>
      </c>
      <c r="AG96" s="46">
        <f>IFERROR(MATCH(ROW()-4,Import_Index!$H$5:$H$304,0),"")</f>
        <v>67</v>
      </c>
    </row>
    <row r="97" spans="1:33" x14ac:dyDescent="0.3">
      <c r="A97" s="46" t="str">
        <f>IF($AG97="","",IFERROR(INDEX(Kobo_Import!$A$2:$CZ$301,$AG97,Field_Map!$B$13)&amp;"",""))</f>
        <v>HH-093</v>
      </c>
      <c r="B97" s="46" t="str">
        <f>IF($AG97="","",IF(IFERROR(INDEX(Kobo_Import!$A$2:$CZ$301,$AG97,Field_Map!$B$9)&amp;"","")="","",IFERROR(INDEX(Lists!$N$5:$N$19,MATCH(INDEX(Kobo_Import!$A$2:$CZ$301,$AG97,Field_Map!$B$9)&amp;"",Lists!$M$5:$M$19,0)),INDEX(Kobo_Import!$A$2:$CZ$301,$AG97,Field_Map!$B$9)&amp;"")))</f>
        <v>Site C – Informal Tent Area</v>
      </c>
      <c r="C97" s="46" t="str">
        <f>IF($AG97="","",IF(IFERROR(INDEX(Kobo_Import!$A$2:$CZ$301,$AG97,Field_Map!$B$14)&amp;"","")="","",IFERROR(INDEX(Lists!$N$5:$N$19,MATCH(INDEX(Kobo_Import!$A$2:$CZ$301,$AG97,Field_Map!$B$14)&amp;"",Lists!$M$5:$M$19,0)),INDEX(Kobo_Import!$A$2:$CZ$301,$AG97,Field_Map!$B$14)&amp;"")))</f>
        <v>Makeshift shelter</v>
      </c>
      <c r="D97" s="46" t="str">
        <f>IF($AG97="","",IF(IFERROR(INDEX(Kobo_Import!$A$2:$CZ$301,$AG97,Field_Map!$B$15)&amp;"","")="","",IFERROR(INDEX(Lists!$N$5:$N$19,MATCH(INDEX(Kobo_Import!$A$2:$CZ$301,$AG97,Field_Map!$B$15)&amp;"",Lists!$M$5:$M$19,0)),INDEX(Kobo_Import!$A$2:$CZ$301,$AG97,Field_Map!$B$15)&amp;"")))</f>
        <v>Adequate</v>
      </c>
      <c r="E97" s="49">
        <f>IF($A97="","",IFERROR(INDEX(Import_Index!$D$5:$D$304,MATCH($A97&amp;"|registration",Import_Index!$I$5:$I$304,0)),F97))</f>
        <v>46045</v>
      </c>
      <c r="F97" s="49">
        <f>IF($AG97="","",INDEX(Import_Index!$D$5:$D$304,$AG97))</f>
        <v>46045</v>
      </c>
      <c r="G97" s="46">
        <f>IF($A97="","",COUNTIFS(Import_Index!$B$5:$B$304,$A97,Import_Index!$C$5:$C$304,"yes"))</f>
        <v>1</v>
      </c>
      <c r="H97" s="46">
        <f>IF($AG97="","",IFERROR(VALUE(INDEX(Kobo_Import!$A$2:$CZ$301,$AG97,Field_Map!$B$16)&amp;""),0))</f>
        <v>6</v>
      </c>
      <c r="I97" s="46" t="str">
        <f>IF($AG97="","",IF(IFERROR(INDEX(Kobo_Import!$A$2:$CZ$301,$AG97,Field_Map!$B$17)&amp;"","")="","",IFERROR(INDEX(Lists!$N$5:$N$19,MATCH(INDEX(Kobo_Import!$A$2:$CZ$301,$AG97,Field_Map!$B$17)&amp;"",Lists!$M$5:$M$19,0)),INDEX(Kobo_Import!$A$2:$CZ$301,$AG97,Field_Map!$B$17)&amp;"")))</f>
        <v>Yes</v>
      </c>
      <c r="J97" s="46">
        <f>IF($AG97="","",IFERROR(VALUE(INDEX(Kobo_Import!$A$2:$CZ$301,$AG97,Field_Map!$B$18)&amp;""),0))</f>
        <v>0</v>
      </c>
      <c r="K97" s="46">
        <f>IF($AG97="","",IFERROR(VALUE(INDEX(Kobo_Import!$A$2:$CZ$301,$AG97,Field_Map!$B$19)&amp;""),0))</f>
        <v>1</v>
      </c>
      <c r="L97" s="46">
        <f>IF($AG97="","",IFERROR(VALUE(INDEX(Kobo_Import!$A$2:$CZ$301,$AG97,Field_Map!$B$20)&amp;""),0))</f>
        <v>3</v>
      </c>
      <c r="M97" s="46">
        <f>IF($AG97="","",IFERROR(VALUE(INDEX(Kobo_Import!$A$2:$CZ$301,$AG97,Field_Map!$B$21)&amp;""),0))</f>
        <v>2</v>
      </c>
      <c r="N97" s="46">
        <f>IF($AG97="","",IFERROR(VALUE(INDEX(Kobo_Import!$A$2:$CZ$301,$AG97,Field_Map!$B$22)&amp;""),0))</f>
        <v>3</v>
      </c>
      <c r="O97" s="46">
        <f>IF($AG97="","",IFERROR(VALUE(INDEX(Kobo_Import!$A$2:$CZ$301,$AG97,Field_Map!$B$23)&amp;""),0))</f>
        <v>1</v>
      </c>
      <c r="P97" s="46">
        <f>IF($AG97="","",IFERROR(VALUE(INDEX(Kobo_Import!$A$2:$CZ$301,$AG97,Field_Map!$B$24)&amp;""),0))</f>
        <v>0</v>
      </c>
      <c r="Q97" s="46">
        <f>IF($AG97="","",IFERROR(VALUE(INDEX(Kobo_Import!$A$2:$CZ$301,$AG97,Field_Map!$B$25)&amp;""),0))</f>
        <v>3</v>
      </c>
      <c r="R97" s="46">
        <f>IF($AG97="","",IFERROR(VALUE(INDEX(Kobo_Import!$A$2:$CZ$301,$AG97,Field_Map!$B$26)&amp;""),0))</f>
        <v>4</v>
      </c>
      <c r="S97" s="46">
        <f>IF($AG97="","",IFERROR(VALUE(INDEX(Kobo_Import!$A$2:$CZ$301,$AG97,Field_Map!$B$27)&amp;""),0))</f>
        <v>0</v>
      </c>
      <c r="T97" s="46">
        <f>IF($AG97="","",IFERROR(VALUE(INDEX(Kobo_Import!$A$2:$CZ$301,$AG97,Field_Map!$B$28)&amp;""),0))</f>
        <v>2</v>
      </c>
      <c r="U97" s="46" t="str">
        <f>IF($AG97="","",IF(IFERROR(INDEX(Kobo_Import!$A$2:$CZ$301,$AG97,Field_Map!$B$29)&amp;"","")="","",IFERROR(INDEX(Lists!$N$5:$N$19,MATCH(INDEX(Kobo_Import!$A$2:$CZ$301,$AG97,Field_Map!$B$29)&amp;"",Lists!$M$5:$M$19,0)),INDEX(Kobo_Import!$A$2:$CZ$301,$AG97,Field_Map!$B$29)&amp;"")))</f>
        <v/>
      </c>
      <c r="V97" s="50">
        <f>IF($A97="","",Settings!$B$5-F97)</f>
        <v>8</v>
      </c>
      <c r="W97" s="46">
        <f>IF($A97="","",(J97&gt;0)*Settings!$B$22+(P97&gt;0)*Settings!$B$23+(M97&gt;0)*Settings!$B$24+(O97&gt;0)*Settings!$B$25+(I97="Yes")*Settings!$B$26+(D97="Unusable")*Settings!$B$27+(D97="Damaged")*Settings!$B$28+(H97&gt;=Settings!$B$30)*Settings!$B$29)</f>
        <v>3</v>
      </c>
      <c r="X97" s="46" t="str">
        <f>IF($A97="","",IF(W97&gt;=Settings!$B$31,"High",IF(W97&gt;=Settings!$B$32,"Medium","Low")))</f>
        <v>Medium</v>
      </c>
      <c r="Y97" s="46" t="str">
        <f>IF($A97="","",IF(V97&gt;Settings!$B$21,"Yes",""))</f>
        <v/>
      </c>
      <c r="Z97" s="46">
        <f>IF($A97="","",COUNTIFS(Referrals!$B$5:$B$52,$A97,Referrals!$G$5:$G$52,"Referred")+COUNTIFS(Referrals!$B$5:$B$52,$A97,Referrals!$G$5:$G$52,"Acknowledged"))</f>
        <v>0</v>
      </c>
      <c r="AA97" s="46">
        <f>IF($A97="","",COUNTIFS(Referrals!$B$5:$B$52,$A97,Referrals!$K$5:$K$52,"Overdue"))</f>
        <v>0</v>
      </c>
      <c r="AB97" s="46" t="str">
        <f>IF($A97="","",IF(AND(J97&gt;0,U97="Yes"),IF(COUNTIFS(Referrals!$B$5:$B$52,$A97,Referrals!$D$5:$D$52,"Nutrition / IYCF")=0,"Referral needed","Referred"),""))</f>
        <v/>
      </c>
      <c r="AC97" s="46" t="str">
        <f>IF($A97="","",IF(N(Needs_Gaps!O97)&gt;0,"Yes",""))</f>
        <v/>
      </c>
      <c r="AD97" s="46" t="str">
        <f>IF($A97="","",IF(COUNTIFS(Maintenance_Log!$C$5:$C$40,$A97,Maintenance_Log!$H$5:$H$40,"&lt;&gt;Resolved")&gt;0,"Yes",""))</f>
        <v/>
      </c>
      <c r="AE97" s="46">
        <f t="shared" si="4"/>
        <v>0</v>
      </c>
      <c r="AF97" s="46">
        <f t="shared" si="5"/>
        <v>0</v>
      </c>
      <c r="AG97" s="46">
        <f>IFERROR(MATCH(ROW()-4,Import_Index!$H$5:$H$304,0),"")</f>
        <v>121</v>
      </c>
    </row>
    <row r="98" spans="1:33" x14ac:dyDescent="0.3">
      <c r="A98" s="46" t="str">
        <f>IF($AG98="","",IFERROR(INDEX(Kobo_Import!$A$2:$CZ$301,$AG98,Field_Map!$B$13)&amp;"",""))</f>
        <v>HH-094</v>
      </c>
      <c r="B98" s="46" t="str">
        <f>IF($AG98="","",IF(IFERROR(INDEX(Kobo_Import!$A$2:$CZ$301,$AG98,Field_Map!$B$9)&amp;"","")="","",IFERROR(INDEX(Lists!$N$5:$N$19,MATCH(INDEX(Kobo_Import!$A$2:$CZ$301,$AG98,Field_Map!$B$9)&amp;"",Lists!$M$5:$M$19,0)),INDEX(Kobo_Import!$A$2:$CZ$301,$AG98,Field_Map!$B$9)&amp;"")))</f>
        <v>Site C – Informal Tent Area</v>
      </c>
      <c r="C98" s="46" t="str">
        <f>IF($AG98="","",IF(IFERROR(INDEX(Kobo_Import!$A$2:$CZ$301,$AG98,Field_Map!$B$14)&amp;"","")="","",IFERROR(INDEX(Lists!$N$5:$N$19,MATCH(INDEX(Kobo_Import!$A$2:$CZ$301,$AG98,Field_Map!$B$14)&amp;"",Lists!$M$5:$M$19,0)),INDEX(Kobo_Import!$A$2:$CZ$301,$AG98,Field_Map!$B$14)&amp;"")))</f>
        <v>Tent</v>
      </c>
      <c r="D98" s="46" t="str">
        <f>IF($AG98="","",IF(IFERROR(INDEX(Kobo_Import!$A$2:$CZ$301,$AG98,Field_Map!$B$15)&amp;"","")="","",IFERROR(INDEX(Lists!$N$5:$N$19,MATCH(INDEX(Kobo_Import!$A$2:$CZ$301,$AG98,Field_Map!$B$15)&amp;"",Lists!$M$5:$M$19,0)),INDEX(Kobo_Import!$A$2:$CZ$301,$AG98,Field_Map!$B$15)&amp;"")))</f>
        <v>Adequate</v>
      </c>
      <c r="E98" s="49">
        <f>IF($A98="","",IFERROR(INDEX(Import_Index!$D$5:$D$304,MATCH($A98&amp;"|registration",Import_Index!$I$5:$I$304,0)),F98))</f>
        <v>46038</v>
      </c>
      <c r="F98" s="49">
        <f>IF($AG98="","",INDEX(Import_Index!$D$5:$D$304,$AG98))</f>
        <v>46038</v>
      </c>
      <c r="G98" s="46">
        <f>IF($A98="","",COUNTIFS(Import_Index!$B$5:$B$304,$A98,Import_Index!$C$5:$C$304,"yes"))</f>
        <v>1</v>
      </c>
      <c r="H98" s="46">
        <f>IF($AG98="","",IFERROR(VALUE(INDEX(Kobo_Import!$A$2:$CZ$301,$AG98,Field_Map!$B$16)&amp;""),0))</f>
        <v>7</v>
      </c>
      <c r="I98" s="46" t="str">
        <f>IF($AG98="","",IF(IFERROR(INDEX(Kobo_Import!$A$2:$CZ$301,$AG98,Field_Map!$B$17)&amp;"","")="","",IFERROR(INDEX(Lists!$N$5:$N$19,MATCH(INDEX(Kobo_Import!$A$2:$CZ$301,$AG98,Field_Map!$B$17)&amp;"",Lists!$M$5:$M$19,0)),INDEX(Kobo_Import!$A$2:$CZ$301,$AG98,Field_Map!$B$17)&amp;"")))</f>
        <v>No</v>
      </c>
      <c r="J98" s="46">
        <f>IF($AG98="","",IFERROR(VALUE(INDEX(Kobo_Import!$A$2:$CZ$301,$AG98,Field_Map!$B$18)&amp;""),0))</f>
        <v>0</v>
      </c>
      <c r="K98" s="46">
        <f>IF($AG98="","",IFERROR(VALUE(INDEX(Kobo_Import!$A$2:$CZ$301,$AG98,Field_Map!$B$19)&amp;""),0))</f>
        <v>5</v>
      </c>
      <c r="L98" s="46">
        <f>IF($AG98="","",IFERROR(VALUE(INDEX(Kobo_Import!$A$2:$CZ$301,$AG98,Field_Map!$B$20)&amp;""),0))</f>
        <v>2</v>
      </c>
      <c r="M98" s="46">
        <f>IF($AG98="","",IFERROR(VALUE(INDEX(Kobo_Import!$A$2:$CZ$301,$AG98,Field_Map!$B$21)&amp;""),0))</f>
        <v>0</v>
      </c>
      <c r="N98" s="46">
        <f>IF($AG98="","",IFERROR(VALUE(INDEX(Kobo_Import!$A$2:$CZ$301,$AG98,Field_Map!$B$22)&amp;""),0))</f>
        <v>1</v>
      </c>
      <c r="O98" s="46">
        <f>IF($AG98="","",IFERROR(VALUE(INDEX(Kobo_Import!$A$2:$CZ$301,$AG98,Field_Map!$B$23)&amp;""),0))</f>
        <v>0</v>
      </c>
      <c r="P98" s="46">
        <f>IF($AG98="","",IFERROR(VALUE(INDEX(Kobo_Import!$A$2:$CZ$301,$AG98,Field_Map!$B$24)&amp;""),0))</f>
        <v>0</v>
      </c>
      <c r="Q98" s="46">
        <f>IF($AG98="","",IFERROR(VALUE(INDEX(Kobo_Import!$A$2:$CZ$301,$AG98,Field_Map!$B$25)&amp;""),0))</f>
        <v>2</v>
      </c>
      <c r="R98" s="46">
        <f>IF($AG98="","",IFERROR(VALUE(INDEX(Kobo_Import!$A$2:$CZ$301,$AG98,Field_Map!$B$26)&amp;""),0))</f>
        <v>5</v>
      </c>
      <c r="S98" s="46">
        <f>IF($AG98="","",IFERROR(VALUE(INDEX(Kobo_Import!$A$2:$CZ$301,$AG98,Field_Map!$B$27)&amp;""),0))</f>
        <v>3</v>
      </c>
      <c r="T98" s="46">
        <f>IF($AG98="","",IFERROR(VALUE(INDEX(Kobo_Import!$A$2:$CZ$301,$AG98,Field_Map!$B$28)&amp;""),0))</f>
        <v>2</v>
      </c>
      <c r="U98" s="46" t="str">
        <f>IF($AG98="","",IF(IFERROR(INDEX(Kobo_Import!$A$2:$CZ$301,$AG98,Field_Map!$B$29)&amp;"","")="","",IFERROR(INDEX(Lists!$N$5:$N$19,MATCH(INDEX(Kobo_Import!$A$2:$CZ$301,$AG98,Field_Map!$B$29)&amp;"",Lists!$M$5:$M$19,0)),INDEX(Kobo_Import!$A$2:$CZ$301,$AG98,Field_Map!$B$29)&amp;"")))</f>
        <v/>
      </c>
      <c r="V98" s="50">
        <f>IF($A98="","",Settings!$B$5-F98)</f>
        <v>15</v>
      </c>
      <c r="W98" s="46">
        <f>IF($A98="","",(J98&gt;0)*Settings!$B$22+(P98&gt;0)*Settings!$B$23+(M98&gt;0)*Settings!$B$24+(O98&gt;0)*Settings!$B$25+(I98="Yes")*Settings!$B$26+(D98="Unusable")*Settings!$B$27+(D98="Damaged")*Settings!$B$28+(H98&gt;=Settings!$B$30)*Settings!$B$29)</f>
        <v>0</v>
      </c>
      <c r="X98" s="46" t="str">
        <f>IF($A98="","",IF(W98&gt;=Settings!$B$31,"High",IF(W98&gt;=Settings!$B$32,"Medium","Low")))</f>
        <v>Low</v>
      </c>
      <c r="Y98" s="46" t="str">
        <f>IF($A98="","",IF(V98&gt;Settings!$B$21,"Yes",""))</f>
        <v/>
      </c>
      <c r="Z98" s="46">
        <f>IF($A98="","",COUNTIFS(Referrals!$B$5:$B$52,$A98,Referrals!$G$5:$G$52,"Referred")+COUNTIFS(Referrals!$B$5:$B$52,$A98,Referrals!$G$5:$G$52,"Acknowledged"))</f>
        <v>0</v>
      </c>
      <c r="AA98" s="46">
        <f>IF($A98="","",COUNTIFS(Referrals!$B$5:$B$52,$A98,Referrals!$K$5:$K$52,"Overdue"))</f>
        <v>0</v>
      </c>
      <c r="AB98" s="46" t="str">
        <f>IF($A98="","",IF(AND(J98&gt;0,U98="Yes"),IF(COUNTIFS(Referrals!$B$5:$B$52,$A98,Referrals!$D$5:$D$52,"Nutrition / IYCF")=0,"Referral needed","Referred"),""))</f>
        <v/>
      </c>
      <c r="AC98" s="46" t="str">
        <f>IF($A98="","",IF(N(Needs_Gaps!O98)&gt;0,"Yes",""))</f>
        <v/>
      </c>
      <c r="AD98" s="46" t="str">
        <f>IF($A98="","",IF(COUNTIFS(Maintenance_Log!$C$5:$C$40,$A98,Maintenance_Log!$H$5:$H$40,"&lt;&gt;Resolved")&gt;0,"Yes",""))</f>
        <v/>
      </c>
      <c r="AE98" s="46">
        <f t="shared" si="4"/>
        <v>0</v>
      </c>
      <c r="AF98" s="46">
        <f t="shared" si="5"/>
        <v>0</v>
      </c>
      <c r="AG98" s="46">
        <f>IFERROR(MATCH(ROW()-4,Import_Index!$H$5:$H$304,0),"")</f>
        <v>92</v>
      </c>
    </row>
    <row r="99" spans="1:33" x14ac:dyDescent="0.3">
      <c r="A99" s="46" t="str">
        <f>IF($AG99="","",IFERROR(INDEX(Kobo_Import!$A$2:$CZ$301,$AG99,Field_Map!$B$13)&amp;"",""))</f>
        <v>HH-095</v>
      </c>
      <c r="B99" s="46" t="str">
        <f>IF($AG99="","",IF(IFERROR(INDEX(Kobo_Import!$A$2:$CZ$301,$AG99,Field_Map!$B$9)&amp;"","")="","",IFERROR(INDEX(Lists!$N$5:$N$19,MATCH(INDEX(Kobo_Import!$A$2:$CZ$301,$AG99,Field_Map!$B$9)&amp;"",Lists!$M$5:$M$19,0)),INDEX(Kobo_Import!$A$2:$CZ$301,$AG99,Field_Map!$B$9)&amp;"")))</f>
        <v>Site C – Informal Tent Area</v>
      </c>
      <c r="C99" s="46" t="str">
        <f>IF($AG99="","",IF(IFERROR(INDEX(Kobo_Import!$A$2:$CZ$301,$AG99,Field_Map!$B$14)&amp;"","")="","",IFERROR(INDEX(Lists!$N$5:$N$19,MATCH(INDEX(Kobo_Import!$A$2:$CZ$301,$AG99,Field_Map!$B$14)&amp;"",Lists!$M$5:$M$19,0)),INDEX(Kobo_Import!$A$2:$CZ$301,$AG99,Field_Map!$B$14)&amp;"")))</f>
        <v>Tent</v>
      </c>
      <c r="D99" s="46" t="str">
        <f>IF($AG99="","",IF(IFERROR(INDEX(Kobo_Import!$A$2:$CZ$301,$AG99,Field_Map!$B$15)&amp;"","")="","",IFERROR(INDEX(Lists!$N$5:$N$19,MATCH(INDEX(Kobo_Import!$A$2:$CZ$301,$AG99,Field_Map!$B$15)&amp;"",Lists!$M$5:$M$19,0)),INDEX(Kobo_Import!$A$2:$CZ$301,$AG99,Field_Map!$B$15)&amp;"")))</f>
        <v>Unusable</v>
      </c>
      <c r="E99" s="49">
        <f>IF($A99="","",IFERROR(INDEX(Import_Index!$D$5:$D$304,MATCH($A99&amp;"|registration",Import_Index!$I$5:$I$304,0)),F99))</f>
        <v>46039</v>
      </c>
      <c r="F99" s="49">
        <f>IF($AG99="","",INDEX(Import_Index!$D$5:$D$304,$AG99))</f>
        <v>46039</v>
      </c>
      <c r="G99" s="46">
        <f>IF($A99="","",COUNTIFS(Import_Index!$B$5:$B$304,$A99,Import_Index!$C$5:$C$304,"yes"))</f>
        <v>1</v>
      </c>
      <c r="H99" s="46">
        <f>IF($AG99="","",IFERROR(VALUE(INDEX(Kobo_Import!$A$2:$CZ$301,$AG99,Field_Map!$B$16)&amp;""),0))</f>
        <v>5</v>
      </c>
      <c r="I99" s="46" t="str">
        <f>IF($AG99="","",IF(IFERROR(INDEX(Kobo_Import!$A$2:$CZ$301,$AG99,Field_Map!$B$17)&amp;"","")="","",IFERROR(INDEX(Lists!$N$5:$N$19,MATCH(INDEX(Kobo_Import!$A$2:$CZ$301,$AG99,Field_Map!$B$17)&amp;"",Lists!$M$5:$M$19,0)),INDEX(Kobo_Import!$A$2:$CZ$301,$AG99,Field_Map!$B$17)&amp;"")))</f>
        <v>Yes</v>
      </c>
      <c r="J99" s="46">
        <f>IF($AG99="","",IFERROR(VALUE(INDEX(Kobo_Import!$A$2:$CZ$301,$AG99,Field_Map!$B$18)&amp;""),0))</f>
        <v>1</v>
      </c>
      <c r="K99" s="46">
        <f>IF($AG99="","",IFERROR(VALUE(INDEX(Kobo_Import!$A$2:$CZ$301,$AG99,Field_Map!$B$19)&amp;""),0))</f>
        <v>3</v>
      </c>
      <c r="L99" s="46">
        <f>IF($AG99="","",IFERROR(VALUE(INDEX(Kobo_Import!$A$2:$CZ$301,$AG99,Field_Map!$B$20)&amp;""),0))</f>
        <v>1</v>
      </c>
      <c r="M99" s="46">
        <f>IF($AG99="","",IFERROR(VALUE(INDEX(Kobo_Import!$A$2:$CZ$301,$AG99,Field_Map!$B$21)&amp;""),0))</f>
        <v>0</v>
      </c>
      <c r="N99" s="46">
        <f>IF($AG99="","",IFERROR(VALUE(INDEX(Kobo_Import!$A$2:$CZ$301,$AG99,Field_Map!$B$22)&amp;""),0))</f>
        <v>2</v>
      </c>
      <c r="O99" s="46">
        <f>IF($AG99="","",IFERROR(VALUE(INDEX(Kobo_Import!$A$2:$CZ$301,$AG99,Field_Map!$B$23)&amp;""),0))</f>
        <v>1</v>
      </c>
      <c r="P99" s="46">
        <f>IF($AG99="","",IFERROR(VALUE(INDEX(Kobo_Import!$A$2:$CZ$301,$AG99,Field_Map!$B$24)&amp;""),0))</f>
        <v>1</v>
      </c>
      <c r="Q99" s="46">
        <f>IF($AG99="","",IFERROR(VALUE(INDEX(Kobo_Import!$A$2:$CZ$301,$AG99,Field_Map!$B$25)&amp;""),0))</f>
        <v>6</v>
      </c>
      <c r="R99" s="46">
        <f>IF($AG99="","",IFERROR(VALUE(INDEX(Kobo_Import!$A$2:$CZ$301,$AG99,Field_Map!$B$26)&amp;""),0))</f>
        <v>0</v>
      </c>
      <c r="S99" s="46">
        <f>IF($AG99="","",IFERROR(VALUE(INDEX(Kobo_Import!$A$2:$CZ$301,$AG99,Field_Map!$B$27)&amp;""),0))</f>
        <v>2</v>
      </c>
      <c r="T99" s="46">
        <f>IF($AG99="","",IFERROR(VALUE(INDEX(Kobo_Import!$A$2:$CZ$301,$AG99,Field_Map!$B$28)&amp;""),0))</f>
        <v>0</v>
      </c>
      <c r="U99" s="46" t="str">
        <f>IF($AG99="","",IF(IFERROR(INDEX(Kobo_Import!$A$2:$CZ$301,$AG99,Field_Map!$B$29)&amp;"","")="","",IFERROR(INDEX(Lists!$N$5:$N$19,MATCH(INDEX(Kobo_Import!$A$2:$CZ$301,$AG99,Field_Map!$B$29)&amp;"",Lists!$M$5:$M$19,0)),INDEX(Kobo_Import!$A$2:$CZ$301,$AG99,Field_Map!$B$29)&amp;"")))</f>
        <v>No</v>
      </c>
      <c r="V99" s="50">
        <f>IF($A99="","",Settings!$B$5-F99)</f>
        <v>14</v>
      </c>
      <c r="W99" s="46">
        <f>IF($A99="","",(J99&gt;0)*Settings!$B$22+(P99&gt;0)*Settings!$B$23+(M99&gt;0)*Settings!$B$24+(O99&gt;0)*Settings!$B$25+(I99="Yes")*Settings!$B$26+(D99="Unusable")*Settings!$B$27+(D99="Damaged")*Settings!$B$28+(H99&gt;=Settings!$B$30)*Settings!$B$29)</f>
        <v>8</v>
      </c>
      <c r="X99" s="46" t="str">
        <f>IF($A99="","",IF(W99&gt;=Settings!$B$31,"High",IF(W99&gt;=Settings!$B$32,"Medium","Low")))</f>
        <v>High</v>
      </c>
      <c r="Y99" s="46" t="str">
        <f>IF($A99="","",IF(V99&gt;Settings!$B$21,"Yes",""))</f>
        <v/>
      </c>
      <c r="Z99" s="46">
        <f>IF($A99="","",COUNTIFS(Referrals!$B$5:$B$52,$A99,Referrals!$G$5:$G$52,"Referred")+COUNTIFS(Referrals!$B$5:$B$52,$A99,Referrals!$G$5:$G$52,"Acknowledged"))</f>
        <v>0</v>
      </c>
      <c r="AA99" s="46">
        <f>IF($A99="","",COUNTIFS(Referrals!$B$5:$B$52,$A99,Referrals!$K$5:$K$52,"Overdue"))</f>
        <v>0</v>
      </c>
      <c r="AB99" s="46" t="str">
        <f>IF($A99="","",IF(AND(J99&gt;0,U99="Yes"),IF(COUNTIFS(Referrals!$B$5:$B$52,$A99,Referrals!$D$5:$D$52,"Nutrition / IYCF")=0,"Referral needed","Referred"),""))</f>
        <v/>
      </c>
      <c r="AC99" s="46" t="str">
        <f>IF($A99="","",IF(N(Needs_Gaps!O99)&gt;0,"Yes",""))</f>
        <v>Yes</v>
      </c>
      <c r="AD99" s="46" t="str">
        <f>IF($A99="","",IF(COUNTIFS(Maintenance_Log!$C$5:$C$40,$A99,Maintenance_Log!$H$5:$H$40,"&lt;&gt;Resolved")&gt;0,"Yes",""))</f>
        <v/>
      </c>
      <c r="AE99" s="46">
        <f t="shared" si="4"/>
        <v>1</v>
      </c>
      <c r="AF99" s="46">
        <f t="shared" si="5"/>
        <v>108905</v>
      </c>
      <c r="AG99" s="46">
        <f>IFERROR(MATCH(ROW()-4,Import_Index!$H$5:$H$304,0),"")</f>
        <v>97</v>
      </c>
    </row>
    <row r="100" spans="1:33" x14ac:dyDescent="0.3">
      <c r="A100" s="46" t="str">
        <f>IF($AG100="","",IFERROR(INDEX(Kobo_Import!$A$2:$CZ$301,$AG100,Field_Map!$B$13)&amp;"",""))</f>
        <v>HH-096</v>
      </c>
      <c r="B100" s="46" t="str">
        <f>IF($AG100="","",IF(IFERROR(INDEX(Kobo_Import!$A$2:$CZ$301,$AG100,Field_Map!$B$9)&amp;"","")="","",IFERROR(INDEX(Lists!$N$5:$N$19,MATCH(INDEX(Kobo_Import!$A$2:$CZ$301,$AG100,Field_Map!$B$9)&amp;"",Lists!$M$5:$M$19,0)),INDEX(Kobo_Import!$A$2:$CZ$301,$AG100,Field_Map!$B$9)&amp;"")))</f>
        <v>Site C – Informal Tent Area</v>
      </c>
      <c r="C100" s="46" t="str">
        <f>IF($AG100="","",IF(IFERROR(INDEX(Kobo_Import!$A$2:$CZ$301,$AG100,Field_Map!$B$14)&amp;"","")="","",IFERROR(INDEX(Lists!$N$5:$N$19,MATCH(INDEX(Kobo_Import!$A$2:$CZ$301,$AG100,Field_Map!$B$14)&amp;"",Lists!$M$5:$M$19,0)),INDEX(Kobo_Import!$A$2:$CZ$301,$AG100,Field_Map!$B$14)&amp;"")))</f>
        <v>Makeshift shelter</v>
      </c>
      <c r="D100" s="46" t="str">
        <f>IF($AG100="","",IF(IFERROR(INDEX(Kobo_Import!$A$2:$CZ$301,$AG100,Field_Map!$B$15)&amp;"","")="","",IFERROR(INDEX(Lists!$N$5:$N$19,MATCH(INDEX(Kobo_Import!$A$2:$CZ$301,$AG100,Field_Map!$B$15)&amp;"",Lists!$M$5:$M$19,0)),INDEX(Kobo_Import!$A$2:$CZ$301,$AG100,Field_Map!$B$15)&amp;"")))</f>
        <v>Damaged</v>
      </c>
      <c r="E100" s="49">
        <f>IF($A100="","",IFERROR(INDEX(Import_Index!$D$5:$D$304,MATCH($A100&amp;"|registration",Import_Index!$I$5:$I$304,0)),F100))</f>
        <v>46026</v>
      </c>
      <c r="F100" s="49">
        <f>IF($AG100="","",INDEX(Import_Index!$D$5:$D$304,$AG100))</f>
        <v>46026</v>
      </c>
      <c r="G100" s="46">
        <f>IF($A100="","",COUNTIFS(Import_Index!$B$5:$B$304,$A100,Import_Index!$C$5:$C$304,"yes"))</f>
        <v>1</v>
      </c>
      <c r="H100" s="46">
        <f>IF($AG100="","",IFERROR(VALUE(INDEX(Kobo_Import!$A$2:$CZ$301,$AG100,Field_Map!$B$16)&amp;""),0))</f>
        <v>5</v>
      </c>
      <c r="I100" s="46" t="str">
        <f>IF($AG100="","",IF(IFERROR(INDEX(Kobo_Import!$A$2:$CZ$301,$AG100,Field_Map!$B$17)&amp;"","")="","",IFERROR(INDEX(Lists!$N$5:$N$19,MATCH(INDEX(Kobo_Import!$A$2:$CZ$301,$AG100,Field_Map!$B$17)&amp;"",Lists!$M$5:$M$19,0)),INDEX(Kobo_Import!$A$2:$CZ$301,$AG100,Field_Map!$B$17)&amp;"")))</f>
        <v>No</v>
      </c>
      <c r="J100" s="46">
        <f>IF($AG100="","",IFERROR(VALUE(INDEX(Kobo_Import!$A$2:$CZ$301,$AG100,Field_Map!$B$18)&amp;""),0))</f>
        <v>0</v>
      </c>
      <c r="K100" s="46">
        <f>IF($AG100="","",IFERROR(VALUE(INDEX(Kobo_Import!$A$2:$CZ$301,$AG100,Field_Map!$B$19)&amp;""),0))</f>
        <v>3</v>
      </c>
      <c r="L100" s="46">
        <f>IF($AG100="","",IFERROR(VALUE(INDEX(Kobo_Import!$A$2:$CZ$301,$AG100,Field_Map!$B$20)&amp;""),0))</f>
        <v>2</v>
      </c>
      <c r="M100" s="46">
        <f>IF($AG100="","",IFERROR(VALUE(INDEX(Kobo_Import!$A$2:$CZ$301,$AG100,Field_Map!$B$21)&amp;""),0))</f>
        <v>0</v>
      </c>
      <c r="N100" s="46">
        <f>IF($AG100="","",IFERROR(VALUE(INDEX(Kobo_Import!$A$2:$CZ$301,$AG100,Field_Map!$B$22)&amp;""),0))</f>
        <v>1</v>
      </c>
      <c r="O100" s="46">
        <f>IF($AG100="","",IFERROR(VALUE(INDEX(Kobo_Import!$A$2:$CZ$301,$AG100,Field_Map!$B$23)&amp;""),0))</f>
        <v>0</v>
      </c>
      <c r="P100" s="46">
        <f>IF($AG100="","",IFERROR(VALUE(INDEX(Kobo_Import!$A$2:$CZ$301,$AG100,Field_Map!$B$24)&amp;""),0))</f>
        <v>1</v>
      </c>
      <c r="Q100" s="46">
        <f>IF($AG100="","",IFERROR(VALUE(INDEX(Kobo_Import!$A$2:$CZ$301,$AG100,Field_Map!$B$25)&amp;""),0))</f>
        <v>0</v>
      </c>
      <c r="R100" s="46">
        <f>IF($AG100="","",IFERROR(VALUE(INDEX(Kobo_Import!$A$2:$CZ$301,$AG100,Field_Map!$B$26)&amp;""),0))</f>
        <v>4</v>
      </c>
      <c r="S100" s="46">
        <f>IF($AG100="","",IFERROR(VALUE(INDEX(Kobo_Import!$A$2:$CZ$301,$AG100,Field_Map!$B$27)&amp;""),0))</f>
        <v>2</v>
      </c>
      <c r="T100" s="46">
        <f>IF($AG100="","",IFERROR(VALUE(INDEX(Kobo_Import!$A$2:$CZ$301,$AG100,Field_Map!$B$28)&amp;""),0))</f>
        <v>2</v>
      </c>
      <c r="U100" s="46" t="str">
        <f>IF($AG100="","",IF(IFERROR(INDEX(Kobo_Import!$A$2:$CZ$301,$AG100,Field_Map!$B$29)&amp;"","")="","",IFERROR(INDEX(Lists!$N$5:$N$19,MATCH(INDEX(Kobo_Import!$A$2:$CZ$301,$AG100,Field_Map!$B$29)&amp;"",Lists!$M$5:$M$19,0)),INDEX(Kobo_Import!$A$2:$CZ$301,$AG100,Field_Map!$B$29)&amp;"")))</f>
        <v/>
      </c>
      <c r="V100" s="50">
        <f>IF($A100="","",Settings!$B$5-F100)</f>
        <v>27</v>
      </c>
      <c r="W100" s="46">
        <f>IF($A100="","",(J100&gt;0)*Settings!$B$22+(P100&gt;0)*Settings!$B$23+(M100&gt;0)*Settings!$B$24+(O100&gt;0)*Settings!$B$25+(I100="Yes")*Settings!$B$26+(D100="Unusable")*Settings!$B$27+(D100="Damaged")*Settings!$B$28+(H100&gt;=Settings!$B$30)*Settings!$B$29)</f>
        <v>3</v>
      </c>
      <c r="X100" s="46" t="str">
        <f>IF($A100="","",IF(W100&gt;=Settings!$B$31,"High",IF(W100&gt;=Settings!$B$32,"Medium","Low")))</f>
        <v>Medium</v>
      </c>
      <c r="Y100" s="46" t="str">
        <f>IF($A100="","",IF(V100&gt;Settings!$B$21,"Yes",""))</f>
        <v/>
      </c>
      <c r="Z100" s="46">
        <f>IF($A100="","",COUNTIFS(Referrals!$B$5:$B$52,$A100,Referrals!$G$5:$G$52,"Referred")+COUNTIFS(Referrals!$B$5:$B$52,$A100,Referrals!$G$5:$G$52,"Acknowledged"))</f>
        <v>1</v>
      </c>
      <c r="AA100" s="46">
        <f>IF($A100="","",COUNTIFS(Referrals!$B$5:$B$52,$A100,Referrals!$K$5:$K$52,"Overdue"))</f>
        <v>1</v>
      </c>
      <c r="AB100" s="46" t="str">
        <f>IF($A100="","",IF(AND(J100&gt;0,U100="Yes"),IF(COUNTIFS(Referrals!$B$5:$B$52,$A100,Referrals!$D$5:$D$52,"Nutrition / IYCF")=0,"Referral needed","Referred"),""))</f>
        <v/>
      </c>
      <c r="AC100" s="46" t="str">
        <f>IF($A100="","",IF(N(Needs_Gaps!O100)&gt;0,"Yes",""))</f>
        <v/>
      </c>
      <c r="AD100" s="46" t="str">
        <f>IF($A100="","",IF(COUNTIFS(Maintenance_Log!$C$5:$C$40,$A100,Maintenance_Log!$H$5:$H$40,"&lt;&gt;Resolved")&gt;0,"Yes",""))</f>
        <v/>
      </c>
      <c r="AE100" s="46">
        <f t="shared" si="4"/>
        <v>1</v>
      </c>
      <c r="AF100" s="46">
        <f t="shared" si="5"/>
        <v>103904</v>
      </c>
      <c r="AG100" s="46">
        <f>IFERROR(MATCH(ROW()-4,Import_Index!$H$5:$H$304,0),"")</f>
        <v>49</v>
      </c>
    </row>
    <row r="101" spans="1:33" x14ac:dyDescent="0.3">
      <c r="A101" s="46" t="str">
        <f>IF($AG101="","",IFERROR(INDEX(Kobo_Import!$A$2:$CZ$301,$AG101,Field_Map!$B$13)&amp;"",""))</f>
        <v>HH-097</v>
      </c>
      <c r="B101" s="46" t="str">
        <f>IF($AG101="","",IF(IFERROR(INDEX(Kobo_Import!$A$2:$CZ$301,$AG101,Field_Map!$B$9)&amp;"","")="","",IFERROR(INDEX(Lists!$N$5:$N$19,MATCH(INDEX(Kobo_Import!$A$2:$CZ$301,$AG101,Field_Map!$B$9)&amp;"",Lists!$M$5:$M$19,0)),INDEX(Kobo_Import!$A$2:$CZ$301,$AG101,Field_Map!$B$9)&amp;"")))</f>
        <v>Site C – Informal Tent Area</v>
      </c>
      <c r="C101" s="46" t="str">
        <f>IF($AG101="","",IF(IFERROR(INDEX(Kobo_Import!$A$2:$CZ$301,$AG101,Field_Map!$B$14)&amp;"","")="","",IFERROR(INDEX(Lists!$N$5:$N$19,MATCH(INDEX(Kobo_Import!$A$2:$CZ$301,$AG101,Field_Map!$B$14)&amp;"",Lists!$M$5:$M$19,0)),INDEX(Kobo_Import!$A$2:$CZ$301,$AG101,Field_Map!$B$14)&amp;"")))</f>
        <v>Tent</v>
      </c>
      <c r="D101" s="46" t="str">
        <f>IF($AG101="","",IF(IFERROR(INDEX(Kobo_Import!$A$2:$CZ$301,$AG101,Field_Map!$B$15)&amp;"","")="","",IFERROR(INDEX(Lists!$N$5:$N$19,MATCH(INDEX(Kobo_Import!$A$2:$CZ$301,$AG101,Field_Map!$B$15)&amp;"",Lists!$M$5:$M$19,0)),INDEX(Kobo_Import!$A$2:$CZ$301,$AG101,Field_Map!$B$15)&amp;"")))</f>
        <v>Adequate</v>
      </c>
      <c r="E101" s="49">
        <f>IF($A101="","",IFERROR(INDEX(Import_Index!$D$5:$D$304,MATCH($A101&amp;"|registration",Import_Index!$I$5:$I$304,0)),F101))</f>
        <v>46044</v>
      </c>
      <c r="F101" s="49">
        <f>IF($AG101="","",INDEX(Import_Index!$D$5:$D$304,$AG101))</f>
        <v>46044</v>
      </c>
      <c r="G101" s="46">
        <f>IF($A101="","",COUNTIFS(Import_Index!$B$5:$B$304,$A101,Import_Index!$C$5:$C$304,"yes"))</f>
        <v>1</v>
      </c>
      <c r="H101" s="46">
        <f>IF($AG101="","",IFERROR(VALUE(INDEX(Kobo_Import!$A$2:$CZ$301,$AG101,Field_Map!$B$16)&amp;""),0))</f>
        <v>8</v>
      </c>
      <c r="I101" s="46" t="str">
        <f>IF($AG101="","",IF(IFERROR(INDEX(Kobo_Import!$A$2:$CZ$301,$AG101,Field_Map!$B$17)&amp;"","")="","",IFERROR(INDEX(Lists!$N$5:$N$19,MATCH(INDEX(Kobo_Import!$A$2:$CZ$301,$AG101,Field_Map!$B$17)&amp;"",Lists!$M$5:$M$19,0)),INDEX(Kobo_Import!$A$2:$CZ$301,$AG101,Field_Map!$B$17)&amp;"")))</f>
        <v>Yes</v>
      </c>
      <c r="J101" s="46">
        <f>IF($AG101="","",IFERROR(VALUE(INDEX(Kobo_Import!$A$2:$CZ$301,$AG101,Field_Map!$B$18)&amp;""),0))</f>
        <v>0</v>
      </c>
      <c r="K101" s="46">
        <f>IF($AG101="","",IFERROR(VALUE(INDEX(Kobo_Import!$A$2:$CZ$301,$AG101,Field_Map!$B$19)&amp;""),0))</f>
        <v>7</v>
      </c>
      <c r="L101" s="46">
        <f>IF($AG101="","",IFERROR(VALUE(INDEX(Kobo_Import!$A$2:$CZ$301,$AG101,Field_Map!$B$20)&amp;""),0))</f>
        <v>1</v>
      </c>
      <c r="M101" s="46">
        <f>IF($AG101="","",IFERROR(VALUE(INDEX(Kobo_Import!$A$2:$CZ$301,$AG101,Field_Map!$B$21)&amp;""),0))</f>
        <v>0</v>
      </c>
      <c r="N101" s="46">
        <f>IF($AG101="","",IFERROR(VALUE(INDEX(Kobo_Import!$A$2:$CZ$301,$AG101,Field_Map!$B$22)&amp;""),0))</f>
        <v>2</v>
      </c>
      <c r="O101" s="46">
        <f>IF($AG101="","",IFERROR(VALUE(INDEX(Kobo_Import!$A$2:$CZ$301,$AG101,Field_Map!$B$23)&amp;""),0))</f>
        <v>0</v>
      </c>
      <c r="P101" s="46">
        <f>IF($AG101="","",IFERROR(VALUE(INDEX(Kobo_Import!$A$2:$CZ$301,$AG101,Field_Map!$B$24)&amp;""),0))</f>
        <v>1</v>
      </c>
      <c r="Q101" s="46">
        <f>IF($AG101="","",IFERROR(VALUE(INDEX(Kobo_Import!$A$2:$CZ$301,$AG101,Field_Map!$B$25)&amp;""),0))</f>
        <v>5</v>
      </c>
      <c r="R101" s="46">
        <f>IF($AG101="","",IFERROR(VALUE(INDEX(Kobo_Import!$A$2:$CZ$301,$AG101,Field_Map!$B$26)&amp;""),0))</f>
        <v>8</v>
      </c>
      <c r="S101" s="46">
        <f>IF($AG101="","",IFERROR(VALUE(INDEX(Kobo_Import!$A$2:$CZ$301,$AG101,Field_Map!$B$27)&amp;""),0))</f>
        <v>4</v>
      </c>
      <c r="T101" s="46">
        <f>IF($AG101="","",IFERROR(VALUE(INDEX(Kobo_Import!$A$2:$CZ$301,$AG101,Field_Map!$B$28)&amp;""),0))</f>
        <v>0</v>
      </c>
      <c r="U101" s="46" t="str">
        <f>IF($AG101="","",IF(IFERROR(INDEX(Kobo_Import!$A$2:$CZ$301,$AG101,Field_Map!$B$29)&amp;"","")="","",IFERROR(INDEX(Lists!$N$5:$N$19,MATCH(INDEX(Kobo_Import!$A$2:$CZ$301,$AG101,Field_Map!$B$29)&amp;"",Lists!$M$5:$M$19,0)),INDEX(Kobo_Import!$A$2:$CZ$301,$AG101,Field_Map!$B$29)&amp;"")))</f>
        <v/>
      </c>
      <c r="V101" s="50">
        <f>IF($A101="","",Settings!$B$5-F101)</f>
        <v>9</v>
      </c>
      <c r="W101" s="46">
        <f>IF($A101="","",(J101&gt;0)*Settings!$B$22+(P101&gt;0)*Settings!$B$23+(M101&gt;0)*Settings!$B$24+(O101&gt;0)*Settings!$B$25+(I101="Yes")*Settings!$B$26+(D101="Unusable")*Settings!$B$27+(D101="Damaged")*Settings!$B$28+(H101&gt;=Settings!$B$30)*Settings!$B$29)</f>
        <v>3</v>
      </c>
      <c r="X101" s="46" t="str">
        <f>IF($A101="","",IF(W101&gt;=Settings!$B$31,"High",IF(W101&gt;=Settings!$B$32,"Medium","Low")))</f>
        <v>Medium</v>
      </c>
      <c r="Y101" s="46" t="str">
        <f>IF($A101="","",IF(V101&gt;Settings!$B$21,"Yes",""))</f>
        <v/>
      </c>
      <c r="Z101" s="46">
        <f>IF($A101="","",COUNTIFS(Referrals!$B$5:$B$52,$A101,Referrals!$G$5:$G$52,"Referred")+COUNTIFS(Referrals!$B$5:$B$52,$A101,Referrals!$G$5:$G$52,"Acknowledged"))</f>
        <v>0</v>
      </c>
      <c r="AA101" s="46">
        <f>IF($A101="","",COUNTIFS(Referrals!$B$5:$B$52,$A101,Referrals!$K$5:$K$52,"Overdue"))</f>
        <v>0</v>
      </c>
      <c r="AB101" s="46" t="str">
        <f>IF($A101="","",IF(AND(J101&gt;0,U101="Yes"),IF(COUNTIFS(Referrals!$B$5:$B$52,$A101,Referrals!$D$5:$D$52,"Nutrition / IYCF")=0,"Referral needed","Referred"),""))</f>
        <v/>
      </c>
      <c r="AC101" s="46" t="str">
        <f>IF($A101="","",IF(N(Needs_Gaps!O101)&gt;0,"Yes",""))</f>
        <v/>
      </c>
      <c r="AD101" s="46" t="str">
        <f>IF($A101="","",IF(COUNTIFS(Maintenance_Log!$C$5:$C$40,$A101,Maintenance_Log!$H$5:$H$40,"&lt;&gt;Resolved")&gt;0,"Yes",""))</f>
        <v/>
      </c>
      <c r="AE101" s="46">
        <f t="shared" ref="AE101:AE132" si="6">IF($A101="","",(Y101="Yes")+(AA101&gt;0)+(AB101="Referral needed")+(AC101="Yes")+(AD101="Yes"))</f>
        <v>0</v>
      </c>
      <c r="AF101" s="46">
        <f t="shared" ref="AF101:AF132" si="7">IF($A101="",0,IF(AE101&gt;0,AE101*100000+W101*1000+(1000-(ROW()-4)),0))</f>
        <v>0</v>
      </c>
      <c r="AG101" s="46">
        <f>IFERROR(MATCH(ROW()-4,Import_Index!$H$5:$H$304,0),"")</f>
        <v>116</v>
      </c>
    </row>
    <row r="102" spans="1:33" x14ac:dyDescent="0.3">
      <c r="A102" s="46" t="str">
        <f>IF($AG102="","",IFERROR(INDEX(Kobo_Import!$A$2:$CZ$301,$AG102,Field_Map!$B$13)&amp;"",""))</f>
        <v>HH-098</v>
      </c>
      <c r="B102" s="46" t="str">
        <f>IF($AG102="","",IF(IFERROR(INDEX(Kobo_Import!$A$2:$CZ$301,$AG102,Field_Map!$B$9)&amp;"","")="","",IFERROR(INDEX(Lists!$N$5:$N$19,MATCH(INDEX(Kobo_Import!$A$2:$CZ$301,$AG102,Field_Map!$B$9)&amp;"",Lists!$M$5:$M$19,0)),INDEX(Kobo_Import!$A$2:$CZ$301,$AG102,Field_Map!$B$9)&amp;"")))</f>
        <v>Site C – Informal Tent Area</v>
      </c>
      <c r="C102" s="46" t="str">
        <f>IF($AG102="","",IF(IFERROR(INDEX(Kobo_Import!$A$2:$CZ$301,$AG102,Field_Map!$B$14)&amp;"","")="","",IFERROR(INDEX(Lists!$N$5:$N$19,MATCH(INDEX(Kobo_Import!$A$2:$CZ$301,$AG102,Field_Map!$B$14)&amp;"",Lists!$M$5:$M$19,0)),INDEX(Kobo_Import!$A$2:$CZ$301,$AG102,Field_Map!$B$14)&amp;"")))</f>
        <v>Tent</v>
      </c>
      <c r="D102" s="46" t="str">
        <f>IF($AG102="","",IF(IFERROR(INDEX(Kobo_Import!$A$2:$CZ$301,$AG102,Field_Map!$B$15)&amp;"","")="","",IFERROR(INDEX(Lists!$N$5:$N$19,MATCH(INDEX(Kobo_Import!$A$2:$CZ$301,$AG102,Field_Map!$B$15)&amp;"",Lists!$M$5:$M$19,0)),INDEX(Kobo_Import!$A$2:$CZ$301,$AG102,Field_Map!$B$15)&amp;"")))</f>
        <v>Adequate</v>
      </c>
      <c r="E102" s="49">
        <f>IF($A102="","",IFERROR(INDEX(Import_Index!$D$5:$D$304,MATCH($A102&amp;"|registration",Import_Index!$I$5:$I$304,0)),F102))</f>
        <v>46011</v>
      </c>
      <c r="F102" s="49">
        <f>IF($AG102="","",INDEX(Import_Index!$D$5:$D$304,$AG102))</f>
        <v>46011</v>
      </c>
      <c r="G102" s="46">
        <f>IF($A102="","",COUNTIFS(Import_Index!$B$5:$B$304,$A102,Import_Index!$C$5:$C$304,"yes"))</f>
        <v>1</v>
      </c>
      <c r="H102" s="46">
        <f>IF($AG102="","",IFERROR(VALUE(INDEX(Kobo_Import!$A$2:$CZ$301,$AG102,Field_Map!$B$16)&amp;""),0))</f>
        <v>11</v>
      </c>
      <c r="I102" s="46" t="str">
        <f>IF($AG102="","",IF(IFERROR(INDEX(Kobo_Import!$A$2:$CZ$301,$AG102,Field_Map!$B$17)&amp;"","")="","",IFERROR(INDEX(Lists!$N$5:$N$19,MATCH(INDEX(Kobo_Import!$A$2:$CZ$301,$AG102,Field_Map!$B$17)&amp;"",Lists!$M$5:$M$19,0)),INDEX(Kobo_Import!$A$2:$CZ$301,$AG102,Field_Map!$B$17)&amp;"")))</f>
        <v>Yes</v>
      </c>
      <c r="J102" s="46">
        <f>IF($AG102="","",IFERROR(VALUE(INDEX(Kobo_Import!$A$2:$CZ$301,$AG102,Field_Map!$B$18)&amp;""),0))</f>
        <v>1</v>
      </c>
      <c r="K102" s="46">
        <f>IF($AG102="","",IFERROR(VALUE(INDEX(Kobo_Import!$A$2:$CZ$301,$AG102,Field_Map!$B$19)&amp;""),0))</f>
        <v>8</v>
      </c>
      <c r="L102" s="46">
        <f>IF($AG102="","",IFERROR(VALUE(INDEX(Kobo_Import!$A$2:$CZ$301,$AG102,Field_Map!$B$20)&amp;""),0))</f>
        <v>1</v>
      </c>
      <c r="M102" s="46">
        <f>IF($AG102="","",IFERROR(VALUE(INDEX(Kobo_Import!$A$2:$CZ$301,$AG102,Field_Map!$B$21)&amp;""),0))</f>
        <v>1</v>
      </c>
      <c r="N102" s="46">
        <f>IF($AG102="","",IFERROR(VALUE(INDEX(Kobo_Import!$A$2:$CZ$301,$AG102,Field_Map!$B$22)&amp;""),0))</f>
        <v>2</v>
      </c>
      <c r="O102" s="46">
        <f>IF($AG102="","",IFERROR(VALUE(INDEX(Kobo_Import!$A$2:$CZ$301,$AG102,Field_Map!$B$23)&amp;""),0))</f>
        <v>0</v>
      </c>
      <c r="P102" s="46">
        <f>IF($AG102="","",IFERROR(VALUE(INDEX(Kobo_Import!$A$2:$CZ$301,$AG102,Field_Map!$B$24)&amp;""),0))</f>
        <v>0</v>
      </c>
      <c r="Q102" s="46">
        <f>IF($AG102="","",IFERROR(VALUE(INDEX(Kobo_Import!$A$2:$CZ$301,$AG102,Field_Map!$B$25)&amp;""),0))</f>
        <v>17</v>
      </c>
      <c r="R102" s="46">
        <f>IF($AG102="","",IFERROR(VALUE(INDEX(Kobo_Import!$A$2:$CZ$301,$AG102,Field_Map!$B$26)&amp;""),0))</f>
        <v>5</v>
      </c>
      <c r="S102" s="46">
        <f>IF($AG102="","",IFERROR(VALUE(INDEX(Kobo_Import!$A$2:$CZ$301,$AG102,Field_Map!$B$27)&amp;""),0))</f>
        <v>4</v>
      </c>
      <c r="T102" s="46">
        <f>IF($AG102="","",IFERROR(VALUE(INDEX(Kobo_Import!$A$2:$CZ$301,$AG102,Field_Map!$B$28)&amp;""),0))</f>
        <v>1</v>
      </c>
      <c r="U102" s="46" t="str">
        <f>IF($AG102="","",IF(IFERROR(INDEX(Kobo_Import!$A$2:$CZ$301,$AG102,Field_Map!$B$29)&amp;"","")="","",IFERROR(INDEX(Lists!$N$5:$N$19,MATCH(INDEX(Kobo_Import!$A$2:$CZ$301,$AG102,Field_Map!$B$29)&amp;"",Lists!$M$5:$M$19,0)),INDEX(Kobo_Import!$A$2:$CZ$301,$AG102,Field_Map!$B$29)&amp;"")))</f>
        <v>Yes</v>
      </c>
      <c r="V102" s="50">
        <f>IF($A102="","",Settings!$B$5-F102)</f>
        <v>42</v>
      </c>
      <c r="W102" s="46">
        <f>IF($A102="","",(J102&gt;0)*Settings!$B$22+(P102&gt;0)*Settings!$B$23+(M102&gt;0)*Settings!$B$24+(O102&gt;0)*Settings!$B$25+(I102="Yes")*Settings!$B$26+(D102="Unusable")*Settings!$B$27+(D102="Damaged")*Settings!$B$28+(H102&gt;=Settings!$B$30)*Settings!$B$29)</f>
        <v>5</v>
      </c>
      <c r="X102" s="46" t="str">
        <f>IF($A102="","",IF(W102&gt;=Settings!$B$31,"High",IF(W102&gt;=Settings!$B$32,"Medium","Low")))</f>
        <v>High</v>
      </c>
      <c r="Y102" s="46" t="str">
        <f>IF($A102="","",IF(V102&gt;Settings!$B$21,"Yes",""))</f>
        <v>Yes</v>
      </c>
      <c r="Z102" s="46">
        <f>IF($A102="","",COUNTIFS(Referrals!$B$5:$B$52,$A102,Referrals!$G$5:$G$52,"Referred")+COUNTIFS(Referrals!$B$5:$B$52,$A102,Referrals!$G$5:$G$52,"Acknowledged"))</f>
        <v>1</v>
      </c>
      <c r="AA102" s="46">
        <f>IF($A102="","",COUNTIFS(Referrals!$B$5:$B$52,$A102,Referrals!$K$5:$K$52,"Overdue"))</f>
        <v>1</v>
      </c>
      <c r="AB102" s="46" t="str">
        <f>IF($A102="","",IF(AND(J102&gt;0,U102="Yes"),IF(COUNTIFS(Referrals!$B$5:$B$52,$A102,Referrals!$D$5:$D$52,"Nutrition / IYCF")=0,"Referral needed","Referred"),""))</f>
        <v>Referred</v>
      </c>
      <c r="AC102" s="46" t="str">
        <f>IF($A102="","",IF(N(Needs_Gaps!O102)&gt;0,"Yes",""))</f>
        <v/>
      </c>
      <c r="AD102" s="46" t="str">
        <f>IF($A102="","",IF(COUNTIFS(Maintenance_Log!$C$5:$C$40,$A102,Maintenance_Log!$H$5:$H$40,"&lt;&gt;Resolved")&gt;0,"Yes",""))</f>
        <v/>
      </c>
      <c r="AE102" s="46">
        <f t="shared" si="6"/>
        <v>2</v>
      </c>
      <c r="AF102" s="46">
        <f t="shared" si="7"/>
        <v>205902</v>
      </c>
      <c r="AG102" s="46">
        <f>IFERROR(MATCH(ROW()-4,Import_Index!$H$5:$H$304,0),"")</f>
        <v>13</v>
      </c>
    </row>
    <row r="103" spans="1:33" x14ac:dyDescent="0.3">
      <c r="A103" s="46" t="str">
        <f>IF($AG103="","",IFERROR(INDEX(Kobo_Import!$A$2:$CZ$301,$AG103,Field_Map!$B$13)&amp;"",""))</f>
        <v>HH-099</v>
      </c>
      <c r="B103" s="46" t="str">
        <f>IF($AG103="","",IF(IFERROR(INDEX(Kobo_Import!$A$2:$CZ$301,$AG103,Field_Map!$B$9)&amp;"","")="","",IFERROR(INDEX(Lists!$N$5:$N$19,MATCH(INDEX(Kobo_Import!$A$2:$CZ$301,$AG103,Field_Map!$B$9)&amp;"",Lists!$M$5:$M$19,0)),INDEX(Kobo_Import!$A$2:$CZ$301,$AG103,Field_Map!$B$9)&amp;"")))</f>
        <v>Site C – Informal Tent Area</v>
      </c>
      <c r="C103" s="46" t="str">
        <f>IF($AG103="","",IF(IFERROR(INDEX(Kobo_Import!$A$2:$CZ$301,$AG103,Field_Map!$B$14)&amp;"","")="","",IFERROR(INDEX(Lists!$N$5:$N$19,MATCH(INDEX(Kobo_Import!$A$2:$CZ$301,$AG103,Field_Map!$B$14)&amp;"",Lists!$M$5:$M$19,0)),INDEX(Kobo_Import!$A$2:$CZ$301,$AG103,Field_Map!$B$14)&amp;"")))</f>
        <v>Tent</v>
      </c>
      <c r="D103" s="46" t="str">
        <f>IF($AG103="","",IF(IFERROR(INDEX(Kobo_Import!$A$2:$CZ$301,$AG103,Field_Map!$B$15)&amp;"","")="","",IFERROR(INDEX(Lists!$N$5:$N$19,MATCH(INDEX(Kobo_Import!$A$2:$CZ$301,$AG103,Field_Map!$B$15)&amp;"",Lists!$M$5:$M$19,0)),INDEX(Kobo_Import!$A$2:$CZ$301,$AG103,Field_Map!$B$15)&amp;"")))</f>
        <v>Unusable</v>
      </c>
      <c r="E103" s="49">
        <f>IF($A103="","",IFERROR(INDEX(Import_Index!$D$5:$D$304,MATCH($A103&amp;"|registration",Import_Index!$I$5:$I$304,0)),F103))</f>
        <v>46031</v>
      </c>
      <c r="F103" s="49">
        <f>IF($AG103="","",INDEX(Import_Index!$D$5:$D$304,$AG103))</f>
        <v>46031</v>
      </c>
      <c r="G103" s="46">
        <f>IF($A103="","",COUNTIFS(Import_Index!$B$5:$B$304,$A103,Import_Index!$C$5:$C$304,"yes"))</f>
        <v>1</v>
      </c>
      <c r="H103" s="46">
        <f>IF($AG103="","",IFERROR(VALUE(INDEX(Kobo_Import!$A$2:$CZ$301,$AG103,Field_Map!$B$16)&amp;""),0))</f>
        <v>11</v>
      </c>
      <c r="I103" s="46" t="str">
        <f>IF($AG103="","",IF(IFERROR(INDEX(Kobo_Import!$A$2:$CZ$301,$AG103,Field_Map!$B$17)&amp;"","")="","",IFERROR(INDEX(Lists!$N$5:$N$19,MATCH(INDEX(Kobo_Import!$A$2:$CZ$301,$AG103,Field_Map!$B$17)&amp;"",Lists!$M$5:$M$19,0)),INDEX(Kobo_Import!$A$2:$CZ$301,$AG103,Field_Map!$B$17)&amp;"")))</f>
        <v>No</v>
      </c>
      <c r="J103" s="46">
        <f>IF($AG103="","",IFERROR(VALUE(INDEX(Kobo_Import!$A$2:$CZ$301,$AG103,Field_Map!$B$18)&amp;""),0))</f>
        <v>0</v>
      </c>
      <c r="K103" s="46">
        <f>IF($AG103="","",IFERROR(VALUE(INDEX(Kobo_Import!$A$2:$CZ$301,$AG103,Field_Map!$B$19)&amp;""),0))</f>
        <v>9</v>
      </c>
      <c r="L103" s="46">
        <f>IF($AG103="","",IFERROR(VALUE(INDEX(Kobo_Import!$A$2:$CZ$301,$AG103,Field_Map!$B$20)&amp;""),0))</f>
        <v>2</v>
      </c>
      <c r="M103" s="46">
        <f>IF($AG103="","",IFERROR(VALUE(INDEX(Kobo_Import!$A$2:$CZ$301,$AG103,Field_Map!$B$21)&amp;""),0))</f>
        <v>0</v>
      </c>
      <c r="N103" s="46">
        <f>IF($AG103="","",IFERROR(VALUE(INDEX(Kobo_Import!$A$2:$CZ$301,$AG103,Field_Map!$B$22)&amp;""),0))</f>
        <v>2</v>
      </c>
      <c r="O103" s="46">
        <f>IF($AG103="","",IFERROR(VALUE(INDEX(Kobo_Import!$A$2:$CZ$301,$AG103,Field_Map!$B$23)&amp;""),0))</f>
        <v>0</v>
      </c>
      <c r="P103" s="46">
        <f>IF($AG103="","",IFERROR(VALUE(INDEX(Kobo_Import!$A$2:$CZ$301,$AG103,Field_Map!$B$24)&amp;""),0))</f>
        <v>0</v>
      </c>
      <c r="Q103" s="46">
        <f>IF($AG103="","",IFERROR(VALUE(INDEX(Kobo_Import!$A$2:$CZ$301,$AG103,Field_Map!$B$25)&amp;""),0))</f>
        <v>14</v>
      </c>
      <c r="R103" s="46">
        <f>IF($AG103="","",IFERROR(VALUE(INDEX(Kobo_Import!$A$2:$CZ$301,$AG103,Field_Map!$B$26)&amp;""),0))</f>
        <v>8</v>
      </c>
      <c r="S103" s="46">
        <f>IF($AG103="","",IFERROR(VALUE(INDEX(Kobo_Import!$A$2:$CZ$301,$AG103,Field_Map!$B$27)&amp;""),0))</f>
        <v>6</v>
      </c>
      <c r="T103" s="46">
        <f>IF($AG103="","",IFERROR(VALUE(INDEX(Kobo_Import!$A$2:$CZ$301,$AG103,Field_Map!$B$28)&amp;""),0))</f>
        <v>2</v>
      </c>
      <c r="U103" s="46" t="str">
        <f>IF($AG103="","",IF(IFERROR(INDEX(Kobo_Import!$A$2:$CZ$301,$AG103,Field_Map!$B$29)&amp;"","")="","",IFERROR(INDEX(Lists!$N$5:$N$19,MATCH(INDEX(Kobo_Import!$A$2:$CZ$301,$AG103,Field_Map!$B$29)&amp;"",Lists!$M$5:$M$19,0)),INDEX(Kobo_Import!$A$2:$CZ$301,$AG103,Field_Map!$B$29)&amp;"")))</f>
        <v/>
      </c>
      <c r="V103" s="50">
        <f>IF($A103="","",Settings!$B$5-F103)</f>
        <v>22</v>
      </c>
      <c r="W103" s="46">
        <f>IF($A103="","",(J103&gt;0)*Settings!$B$22+(P103&gt;0)*Settings!$B$23+(M103&gt;0)*Settings!$B$24+(O103&gt;0)*Settings!$B$25+(I103="Yes")*Settings!$B$26+(D103="Unusable")*Settings!$B$27+(D103="Damaged")*Settings!$B$28+(H103&gt;=Settings!$B$30)*Settings!$B$29)</f>
        <v>3</v>
      </c>
      <c r="X103" s="46" t="str">
        <f>IF($A103="","",IF(W103&gt;=Settings!$B$31,"High",IF(W103&gt;=Settings!$B$32,"Medium","Low")))</f>
        <v>Medium</v>
      </c>
      <c r="Y103" s="46" t="str">
        <f>IF($A103="","",IF(V103&gt;Settings!$B$21,"Yes",""))</f>
        <v/>
      </c>
      <c r="Z103" s="46">
        <f>IF($A103="","",COUNTIFS(Referrals!$B$5:$B$52,$A103,Referrals!$G$5:$G$52,"Referred")+COUNTIFS(Referrals!$B$5:$B$52,$A103,Referrals!$G$5:$G$52,"Acknowledged"))</f>
        <v>1</v>
      </c>
      <c r="AA103" s="46">
        <f>IF($A103="","",COUNTIFS(Referrals!$B$5:$B$52,$A103,Referrals!$K$5:$K$52,"Overdue"))</f>
        <v>1</v>
      </c>
      <c r="AB103" s="46" t="str">
        <f>IF($A103="","",IF(AND(J103&gt;0,U103="Yes"),IF(COUNTIFS(Referrals!$B$5:$B$52,$A103,Referrals!$D$5:$D$52,"Nutrition / IYCF")=0,"Referral needed","Referred"),""))</f>
        <v/>
      </c>
      <c r="AC103" s="46" t="str">
        <f>IF($A103="","",IF(N(Needs_Gaps!O103)&gt;0,"Yes",""))</f>
        <v>Yes</v>
      </c>
      <c r="AD103" s="46" t="str">
        <f>IF($A103="","",IF(COUNTIFS(Maintenance_Log!$C$5:$C$40,$A103,Maintenance_Log!$H$5:$H$40,"&lt;&gt;Resolved")&gt;0,"Yes",""))</f>
        <v/>
      </c>
      <c r="AE103" s="46">
        <f t="shared" si="6"/>
        <v>2</v>
      </c>
      <c r="AF103" s="46">
        <f t="shared" si="7"/>
        <v>203901</v>
      </c>
      <c r="AG103" s="46">
        <f>IFERROR(MATCH(ROW()-4,Import_Index!$H$5:$H$304,0),"")</f>
        <v>64</v>
      </c>
    </row>
    <row r="104" spans="1:33" x14ac:dyDescent="0.3">
      <c r="A104" s="46" t="str">
        <f>IF($AG104="","",IFERROR(INDEX(Kobo_Import!$A$2:$CZ$301,$AG104,Field_Map!$B$13)&amp;"",""))</f>
        <v>HH-100</v>
      </c>
      <c r="B104" s="46" t="str">
        <f>IF($AG104="","",IF(IFERROR(INDEX(Kobo_Import!$A$2:$CZ$301,$AG104,Field_Map!$B$9)&amp;"","")="","",IFERROR(INDEX(Lists!$N$5:$N$19,MATCH(INDEX(Kobo_Import!$A$2:$CZ$301,$AG104,Field_Map!$B$9)&amp;"",Lists!$M$5:$M$19,0)),INDEX(Kobo_Import!$A$2:$CZ$301,$AG104,Field_Map!$B$9)&amp;"")))</f>
        <v>Site C – Informal Tent Area</v>
      </c>
      <c r="C104" s="46" t="str">
        <f>IF($AG104="","",IF(IFERROR(INDEX(Kobo_Import!$A$2:$CZ$301,$AG104,Field_Map!$B$14)&amp;"","")="","",IFERROR(INDEX(Lists!$N$5:$N$19,MATCH(INDEX(Kobo_Import!$A$2:$CZ$301,$AG104,Field_Map!$B$14)&amp;"",Lists!$M$5:$M$19,0)),INDEX(Kobo_Import!$A$2:$CZ$301,$AG104,Field_Map!$B$14)&amp;"")))</f>
        <v>Tent</v>
      </c>
      <c r="D104" s="46" t="str">
        <f>IF($AG104="","",IF(IFERROR(INDEX(Kobo_Import!$A$2:$CZ$301,$AG104,Field_Map!$B$15)&amp;"","")="","",IFERROR(INDEX(Lists!$N$5:$N$19,MATCH(INDEX(Kobo_Import!$A$2:$CZ$301,$AG104,Field_Map!$B$15)&amp;"",Lists!$M$5:$M$19,0)),INDEX(Kobo_Import!$A$2:$CZ$301,$AG104,Field_Map!$B$15)&amp;"")))</f>
        <v>Damaged</v>
      </c>
      <c r="E104" s="49">
        <f>IF($A104="","",IFERROR(INDEX(Import_Index!$D$5:$D$304,MATCH($A104&amp;"|registration",Import_Index!$I$5:$I$304,0)),F104))</f>
        <v>46022</v>
      </c>
      <c r="F104" s="49">
        <f>IF($AG104="","",INDEX(Import_Index!$D$5:$D$304,$AG104))</f>
        <v>46042</v>
      </c>
      <c r="G104" s="46">
        <f>IF($A104="","",COUNTIFS(Import_Index!$B$5:$B$304,$A104,Import_Index!$C$5:$C$304,"yes"))</f>
        <v>2</v>
      </c>
      <c r="H104" s="46">
        <f>IF($AG104="","",IFERROR(VALUE(INDEX(Kobo_Import!$A$2:$CZ$301,$AG104,Field_Map!$B$16)&amp;""),0))</f>
        <v>8</v>
      </c>
      <c r="I104" s="46" t="str">
        <f>IF($AG104="","",IF(IFERROR(INDEX(Kobo_Import!$A$2:$CZ$301,$AG104,Field_Map!$B$17)&amp;"","")="","",IFERROR(INDEX(Lists!$N$5:$N$19,MATCH(INDEX(Kobo_Import!$A$2:$CZ$301,$AG104,Field_Map!$B$17)&amp;"",Lists!$M$5:$M$19,0)),INDEX(Kobo_Import!$A$2:$CZ$301,$AG104,Field_Map!$B$17)&amp;"")))</f>
        <v>No</v>
      </c>
      <c r="J104" s="46">
        <f>IF($AG104="","",IFERROR(VALUE(INDEX(Kobo_Import!$A$2:$CZ$301,$AG104,Field_Map!$B$18)&amp;""),0))</f>
        <v>1</v>
      </c>
      <c r="K104" s="46">
        <f>IF($AG104="","",IFERROR(VALUE(INDEX(Kobo_Import!$A$2:$CZ$301,$AG104,Field_Map!$B$19)&amp;""),0))</f>
        <v>4</v>
      </c>
      <c r="L104" s="46">
        <f>IF($AG104="","",IFERROR(VALUE(INDEX(Kobo_Import!$A$2:$CZ$301,$AG104,Field_Map!$B$20)&amp;""),0))</f>
        <v>2</v>
      </c>
      <c r="M104" s="46">
        <f>IF($AG104="","",IFERROR(VALUE(INDEX(Kobo_Import!$A$2:$CZ$301,$AG104,Field_Map!$B$21)&amp;""),0))</f>
        <v>1</v>
      </c>
      <c r="N104" s="46">
        <f>IF($AG104="","",IFERROR(VALUE(INDEX(Kobo_Import!$A$2:$CZ$301,$AG104,Field_Map!$B$22)&amp;""),0))</f>
        <v>1</v>
      </c>
      <c r="O104" s="46">
        <f>IF($AG104="","",IFERROR(VALUE(INDEX(Kobo_Import!$A$2:$CZ$301,$AG104,Field_Map!$B$23)&amp;""),0))</f>
        <v>0</v>
      </c>
      <c r="P104" s="46">
        <f>IF($AG104="","",IFERROR(VALUE(INDEX(Kobo_Import!$A$2:$CZ$301,$AG104,Field_Map!$B$24)&amp;""),0))</f>
        <v>0</v>
      </c>
      <c r="Q104" s="46">
        <f>IF($AG104="","",IFERROR(VALUE(INDEX(Kobo_Import!$A$2:$CZ$301,$AG104,Field_Map!$B$25)&amp;""),0))</f>
        <v>11</v>
      </c>
      <c r="R104" s="46">
        <f>IF($AG104="","",IFERROR(VALUE(INDEX(Kobo_Import!$A$2:$CZ$301,$AG104,Field_Map!$B$26)&amp;""),0))</f>
        <v>0</v>
      </c>
      <c r="S104" s="46">
        <f>IF($AG104="","",IFERROR(VALUE(INDEX(Kobo_Import!$A$2:$CZ$301,$AG104,Field_Map!$B$27)&amp;""),0))</f>
        <v>2</v>
      </c>
      <c r="T104" s="46">
        <f>IF($AG104="","",IFERROR(VALUE(INDEX(Kobo_Import!$A$2:$CZ$301,$AG104,Field_Map!$B$28)&amp;""),0))</f>
        <v>2</v>
      </c>
      <c r="U104" s="46" t="str">
        <f>IF($AG104="","",IF(IFERROR(INDEX(Kobo_Import!$A$2:$CZ$301,$AG104,Field_Map!$B$29)&amp;"","")="","",IFERROR(INDEX(Lists!$N$5:$N$19,MATCH(INDEX(Kobo_Import!$A$2:$CZ$301,$AG104,Field_Map!$B$29)&amp;"",Lists!$M$5:$M$19,0)),INDEX(Kobo_Import!$A$2:$CZ$301,$AG104,Field_Map!$B$29)&amp;"")))</f>
        <v>No</v>
      </c>
      <c r="V104" s="50">
        <f>IF($A104="","",Settings!$B$5-F104)</f>
        <v>11</v>
      </c>
      <c r="W104" s="46">
        <f>IF($A104="","",(J104&gt;0)*Settings!$B$22+(P104&gt;0)*Settings!$B$23+(M104&gt;0)*Settings!$B$24+(O104&gt;0)*Settings!$B$25+(I104="Yes")*Settings!$B$26+(D104="Unusable")*Settings!$B$27+(D104="Damaged")*Settings!$B$28+(H104&gt;=Settings!$B$30)*Settings!$B$29)</f>
        <v>4</v>
      </c>
      <c r="X104" s="46" t="str">
        <f>IF($A104="","",IF(W104&gt;=Settings!$B$31,"High",IF(W104&gt;=Settings!$B$32,"Medium","Low")))</f>
        <v>Medium</v>
      </c>
      <c r="Y104" s="46" t="str">
        <f>IF($A104="","",IF(V104&gt;Settings!$B$21,"Yes",""))</f>
        <v/>
      </c>
      <c r="Z104" s="46">
        <f>IF($A104="","",COUNTIFS(Referrals!$B$5:$B$52,$A104,Referrals!$G$5:$G$52,"Referred")+COUNTIFS(Referrals!$B$5:$B$52,$A104,Referrals!$G$5:$G$52,"Acknowledged"))</f>
        <v>0</v>
      </c>
      <c r="AA104" s="46">
        <f>IF($A104="","",COUNTIFS(Referrals!$B$5:$B$52,$A104,Referrals!$K$5:$K$52,"Overdue"))</f>
        <v>0</v>
      </c>
      <c r="AB104" s="46" t="str">
        <f>IF($A104="","",IF(AND(J104&gt;0,U104="Yes"),IF(COUNTIFS(Referrals!$B$5:$B$52,$A104,Referrals!$D$5:$D$52,"Nutrition / IYCF")=0,"Referral needed","Referred"),""))</f>
        <v/>
      </c>
      <c r="AC104" s="46" t="str">
        <f>IF($A104="","",IF(N(Needs_Gaps!O104)&gt;0,"Yes",""))</f>
        <v/>
      </c>
      <c r="AD104" s="46" t="str">
        <f>IF($A104="","",IF(COUNTIFS(Maintenance_Log!$C$5:$C$40,$A104,Maintenance_Log!$H$5:$H$40,"&lt;&gt;Resolved")&gt;0,"Yes",""))</f>
        <v/>
      </c>
      <c r="AE104" s="46">
        <f t="shared" si="6"/>
        <v>0</v>
      </c>
      <c r="AF104" s="46">
        <f t="shared" si="7"/>
        <v>0</v>
      </c>
      <c r="AG104" s="46">
        <f>IFERROR(MATCH(ROW()-4,Import_Index!$H$5:$H$304,0),"")</f>
        <v>108</v>
      </c>
    </row>
    <row r="105" spans="1:33" x14ac:dyDescent="0.3">
      <c r="A105" s="46" t="str">
        <f>IF($AG105="","",IFERROR(INDEX(Kobo_Import!$A$2:$CZ$301,$AG105,Field_Map!$B$13)&amp;"",""))</f>
        <v>HH-101</v>
      </c>
      <c r="B105" s="46" t="str">
        <f>IF($AG105="","",IF(IFERROR(INDEX(Kobo_Import!$A$2:$CZ$301,$AG105,Field_Map!$B$9)&amp;"","")="","",IFERROR(INDEX(Lists!$N$5:$N$19,MATCH(INDEX(Kobo_Import!$A$2:$CZ$301,$AG105,Field_Map!$B$9)&amp;"",Lists!$M$5:$M$19,0)),INDEX(Kobo_Import!$A$2:$CZ$301,$AG105,Field_Map!$B$9)&amp;"")))</f>
        <v>Site D – Collective Centre</v>
      </c>
      <c r="C105" s="46" t="str">
        <f>IF($AG105="","",IF(IFERROR(INDEX(Kobo_Import!$A$2:$CZ$301,$AG105,Field_Map!$B$14)&amp;"","")="","",IFERROR(INDEX(Lists!$N$5:$N$19,MATCH(INDEX(Kobo_Import!$A$2:$CZ$301,$AG105,Field_Map!$B$14)&amp;"",Lists!$M$5:$M$19,0)),INDEX(Kobo_Import!$A$2:$CZ$301,$AG105,Field_Map!$B$14)&amp;"")))</f>
        <v>Collective room</v>
      </c>
      <c r="D105" s="46" t="str">
        <f>IF($AG105="","",IF(IFERROR(INDEX(Kobo_Import!$A$2:$CZ$301,$AG105,Field_Map!$B$15)&amp;"","")="","",IFERROR(INDEX(Lists!$N$5:$N$19,MATCH(INDEX(Kobo_Import!$A$2:$CZ$301,$AG105,Field_Map!$B$15)&amp;"",Lists!$M$5:$M$19,0)),INDEX(Kobo_Import!$A$2:$CZ$301,$AG105,Field_Map!$B$15)&amp;"")))</f>
        <v>Adequate</v>
      </c>
      <c r="E105" s="49">
        <f>IF($A105="","",IFERROR(INDEX(Import_Index!$D$5:$D$304,MATCH($A105&amp;"|registration",Import_Index!$I$5:$I$304,0)),F105))</f>
        <v>46024</v>
      </c>
      <c r="F105" s="49">
        <f>IF($AG105="","",INDEX(Import_Index!$D$5:$D$304,$AG105))</f>
        <v>46024</v>
      </c>
      <c r="G105" s="46">
        <f>IF($A105="","",COUNTIFS(Import_Index!$B$5:$B$304,$A105,Import_Index!$C$5:$C$304,"yes"))</f>
        <v>1</v>
      </c>
      <c r="H105" s="46">
        <f>IF($AG105="","",IFERROR(VALUE(INDEX(Kobo_Import!$A$2:$CZ$301,$AG105,Field_Map!$B$16)&amp;""),0))</f>
        <v>6</v>
      </c>
      <c r="I105" s="46" t="str">
        <f>IF($AG105="","",IF(IFERROR(INDEX(Kobo_Import!$A$2:$CZ$301,$AG105,Field_Map!$B$17)&amp;"","")="","",IFERROR(INDEX(Lists!$N$5:$N$19,MATCH(INDEX(Kobo_Import!$A$2:$CZ$301,$AG105,Field_Map!$B$17)&amp;"",Lists!$M$5:$M$19,0)),INDEX(Kobo_Import!$A$2:$CZ$301,$AG105,Field_Map!$B$17)&amp;"")))</f>
        <v>No</v>
      </c>
      <c r="J105" s="46">
        <f>IF($AG105="","",IFERROR(VALUE(INDEX(Kobo_Import!$A$2:$CZ$301,$AG105,Field_Map!$B$18)&amp;""),0))</f>
        <v>1</v>
      </c>
      <c r="K105" s="46">
        <f>IF($AG105="","",IFERROR(VALUE(INDEX(Kobo_Import!$A$2:$CZ$301,$AG105,Field_Map!$B$19)&amp;""),0))</f>
        <v>3</v>
      </c>
      <c r="L105" s="46">
        <f>IF($AG105="","",IFERROR(VALUE(INDEX(Kobo_Import!$A$2:$CZ$301,$AG105,Field_Map!$B$20)&amp;""),0))</f>
        <v>2</v>
      </c>
      <c r="M105" s="46">
        <f>IF($AG105="","",IFERROR(VALUE(INDEX(Kobo_Import!$A$2:$CZ$301,$AG105,Field_Map!$B$21)&amp;""),0))</f>
        <v>0</v>
      </c>
      <c r="N105" s="46">
        <f>IF($AG105="","",IFERROR(VALUE(INDEX(Kobo_Import!$A$2:$CZ$301,$AG105,Field_Map!$B$22)&amp;""),0))</f>
        <v>2</v>
      </c>
      <c r="O105" s="46">
        <f>IF($AG105="","",IFERROR(VALUE(INDEX(Kobo_Import!$A$2:$CZ$301,$AG105,Field_Map!$B$23)&amp;""),0))</f>
        <v>1</v>
      </c>
      <c r="P105" s="46">
        <f>IF($AG105="","",IFERROR(VALUE(INDEX(Kobo_Import!$A$2:$CZ$301,$AG105,Field_Map!$B$24)&amp;""),0))</f>
        <v>0</v>
      </c>
      <c r="Q105" s="46">
        <f>IF($AG105="","",IFERROR(VALUE(INDEX(Kobo_Import!$A$2:$CZ$301,$AG105,Field_Map!$B$25)&amp;""),0))</f>
        <v>4</v>
      </c>
      <c r="R105" s="46">
        <f>IF($AG105="","",IFERROR(VALUE(INDEX(Kobo_Import!$A$2:$CZ$301,$AG105,Field_Map!$B$26)&amp;""),0))</f>
        <v>3</v>
      </c>
      <c r="S105" s="46">
        <f>IF($AG105="","",IFERROR(VALUE(INDEX(Kobo_Import!$A$2:$CZ$301,$AG105,Field_Map!$B$27)&amp;""),0))</f>
        <v>3</v>
      </c>
      <c r="T105" s="46">
        <f>IF($AG105="","",IFERROR(VALUE(INDEX(Kobo_Import!$A$2:$CZ$301,$AG105,Field_Map!$B$28)&amp;""),0))</f>
        <v>2</v>
      </c>
      <c r="U105" s="46" t="str">
        <f>IF($AG105="","",IF(IFERROR(INDEX(Kobo_Import!$A$2:$CZ$301,$AG105,Field_Map!$B$29)&amp;"","")="","",IFERROR(INDEX(Lists!$N$5:$N$19,MATCH(INDEX(Kobo_Import!$A$2:$CZ$301,$AG105,Field_Map!$B$29)&amp;"",Lists!$M$5:$M$19,0)),INDEX(Kobo_Import!$A$2:$CZ$301,$AG105,Field_Map!$B$29)&amp;"")))</f>
        <v>No</v>
      </c>
      <c r="V105" s="50">
        <f>IF($A105="","",Settings!$B$5-F105)</f>
        <v>29</v>
      </c>
      <c r="W105" s="46">
        <f>IF($A105="","",(J105&gt;0)*Settings!$B$22+(P105&gt;0)*Settings!$B$23+(M105&gt;0)*Settings!$B$24+(O105&gt;0)*Settings!$B$25+(I105="Yes")*Settings!$B$26+(D105="Unusable")*Settings!$B$27+(D105="Damaged")*Settings!$B$28+(H105&gt;=Settings!$B$30)*Settings!$B$29)</f>
        <v>3</v>
      </c>
      <c r="X105" s="46" t="str">
        <f>IF($A105="","",IF(W105&gt;=Settings!$B$31,"High",IF(W105&gt;=Settings!$B$32,"Medium","Low")))</f>
        <v>Medium</v>
      </c>
      <c r="Y105" s="46" t="str">
        <f>IF($A105="","",IF(V105&gt;Settings!$B$21,"Yes",""))</f>
        <v/>
      </c>
      <c r="Z105" s="46">
        <f>IF($A105="","",COUNTIFS(Referrals!$B$5:$B$52,$A105,Referrals!$G$5:$G$52,"Referred")+COUNTIFS(Referrals!$B$5:$B$52,$A105,Referrals!$G$5:$G$52,"Acknowledged"))</f>
        <v>0</v>
      </c>
      <c r="AA105" s="46">
        <f>IF($A105="","",COUNTIFS(Referrals!$B$5:$B$52,$A105,Referrals!$K$5:$K$52,"Overdue"))</f>
        <v>0</v>
      </c>
      <c r="AB105" s="46" t="str">
        <f>IF($A105="","",IF(AND(J105&gt;0,U105="Yes"),IF(COUNTIFS(Referrals!$B$5:$B$52,$A105,Referrals!$D$5:$D$52,"Nutrition / IYCF")=0,"Referral needed","Referred"),""))</f>
        <v/>
      </c>
      <c r="AC105" s="46" t="str">
        <f>IF($A105="","",IF(N(Needs_Gaps!O105)&gt;0,"Yes",""))</f>
        <v/>
      </c>
      <c r="AD105" s="46" t="str">
        <f>IF($A105="","",IF(COUNTIFS(Maintenance_Log!$C$5:$C$40,$A105,Maintenance_Log!$H$5:$H$40,"&lt;&gt;Resolved")&gt;0,"Yes",""))</f>
        <v/>
      </c>
      <c r="AE105" s="46">
        <f t="shared" si="6"/>
        <v>0</v>
      </c>
      <c r="AF105" s="46">
        <f t="shared" si="7"/>
        <v>0</v>
      </c>
      <c r="AG105" s="46">
        <f>IFERROR(MATCH(ROW()-4,Import_Index!$H$5:$H$304,0),"")</f>
        <v>44</v>
      </c>
    </row>
    <row r="106" spans="1:33" x14ac:dyDescent="0.3">
      <c r="A106" s="46" t="str">
        <f>IF($AG106="","",IFERROR(INDEX(Kobo_Import!$A$2:$CZ$301,$AG106,Field_Map!$B$13)&amp;"",""))</f>
        <v>HH-102</v>
      </c>
      <c r="B106" s="46" t="str">
        <f>IF($AG106="","",IF(IFERROR(INDEX(Kobo_Import!$A$2:$CZ$301,$AG106,Field_Map!$B$9)&amp;"","")="","",IFERROR(INDEX(Lists!$N$5:$N$19,MATCH(INDEX(Kobo_Import!$A$2:$CZ$301,$AG106,Field_Map!$B$9)&amp;"",Lists!$M$5:$M$19,0)),INDEX(Kobo_Import!$A$2:$CZ$301,$AG106,Field_Map!$B$9)&amp;"")))</f>
        <v>Site D – Collective Centre</v>
      </c>
      <c r="C106" s="46" t="str">
        <f>IF($AG106="","",IF(IFERROR(INDEX(Kobo_Import!$A$2:$CZ$301,$AG106,Field_Map!$B$14)&amp;"","")="","",IFERROR(INDEX(Lists!$N$5:$N$19,MATCH(INDEX(Kobo_Import!$A$2:$CZ$301,$AG106,Field_Map!$B$14)&amp;"",Lists!$M$5:$M$19,0)),INDEX(Kobo_Import!$A$2:$CZ$301,$AG106,Field_Map!$B$14)&amp;"")))</f>
        <v>Collective room</v>
      </c>
      <c r="D106" s="46" t="str">
        <f>IF($AG106="","",IF(IFERROR(INDEX(Kobo_Import!$A$2:$CZ$301,$AG106,Field_Map!$B$15)&amp;"","")="","",IFERROR(INDEX(Lists!$N$5:$N$19,MATCH(INDEX(Kobo_Import!$A$2:$CZ$301,$AG106,Field_Map!$B$15)&amp;"",Lists!$M$5:$M$19,0)),INDEX(Kobo_Import!$A$2:$CZ$301,$AG106,Field_Map!$B$15)&amp;"")))</f>
        <v>Damaged</v>
      </c>
      <c r="E106" s="49">
        <f>IF($A106="","",IFERROR(INDEX(Import_Index!$D$5:$D$304,MATCH($A106&amp;"|registration",Import_Index!$I$5:$I$304,0)),F106))</f>
        <v>46029</v>
      </c>
      <c r="F106" s="49">
        <f>IF($AG106="","",INDEX(Import_Index!$D$5:$D$304,$AG106))</f>
        <v>46029</v>
      </c>
      <c r="G106" s="46">
        <f>IF($A106="","",COUNTIFS(Import_Index!$B$5:$B$304,$A106,Import_Index!$C$5:$C$304,"yes"))</f>
        <v>1</v>
      </c>
      <c r="H106" s="46">
        <f>IF($AG106="","",IFERROR(VALUE(INDEX(Kobo_Import!$A$2:$CZ$301,$AG106,Field_Map!$B$16)&amp;""),0))</f>
        <v>6</v>
      </c>
      <c r="I106" s="46" t="str">
        <f>IF($AG106="","",IF(IFERROR(INDEX(Kobo_Import!$A$2:$CZ$301,$AG106,Field_Map!$B$17)&amp;"","")="","",IFERROR(INDEX(Lists!$N$5:$N$19,MATCH(INDEX(Kobo_Import!$A$2:$CZ$301,$AG106,Field_Map!$B$17)&amp;"",Lists!$M$5:$M$19,0)),INDEX(Kobo_Import!$A$2:$CZ$301,$AG106,Field_Map!$B$17)&amp;"")))</f>
        <v>No</v>
      </c>
      <c r="J106" s="46">
        <f>IF($AG106="","",IFERROR(VALUE(INDEX(Kobo_Import!$A$2:$CZ$301,$AG106,Field_Map!$B$18)&amp;""),0))</f>
        <v>1</v>
      </c>
      <c r="K106" s="46">
        <f>IF($AG106="","",IFERROR(VALUE(INDEX(Kobo_Import!$A$2:$CZ$301,$AG106,Field_Map!$B$19)&amp;""),0))</f>
        <v>1</v>
      </c>
      <c r="L106" s="46">
        <f>IF($AG106="","",IFERROR(VALUE(INDEX(Kobo_Import!$A$2:$CZ$301,$AG106,Field_Map!$B$20)&amp;""),0))</f>
        <v>3</v>
      </c>
      <c r="M106" s="46">
        <f>IF($AG106="","",IFERROR(VALUE(INDEX(Kobo_Import!$A$2:$CZ$301,$AG106,Field_Map!$B$21)&amp;""),0))</f>
        <v>1</v>
      </c>
      <c r="N106" s="46">
        <f>IF($AG106="","",IFERROR(VALUE(INDEX(Kobo_Import!$A$2:$CZ$301,$AG106,Field_Map!$B$22)&amp;""),0))</f>
        <v>2</v>
      </c>
      <c r="O106" s="46">
        <f>IF($AG106="","",IFERROR(VALUE(INDEX(Kobo_Import!$A$2:$CZ$301,$AG106,Field_Map!$B$23)&amp;""),0))</f>
        <v>0</v>
      </c>
      <c r="P106" s="46">
        <f>IF($AG106="","",IFERROR(VALUE(INDEX(Kobo_Import!$A$2:$CZ$301,$AG106,Field_Map!$B$24)&amp;""),0))</f>
        <v>1</v>
      </c>
      <c r="Q106" s="46">
        <f>IF($AG106="","",IFERROR(VALUE(INDEX(Kobo_Import!$A$2:$CZ$301,$AG106,Field_Map!$B$25)&amp;""),0))</f>
        <v>0</v>
      </c>
      <c r="R106" s="46">
        <f>IF($AG106="","",IFERROR(VALUE(INDEX(Kobo_Import!$A$2:$CZ$301,$AG106,Field_Map!$B$26)&amp;""),0))</f>
        <v>6</v>
      </c>
      <c r="S106" s="46">
        <f>IF($AG106="","",IFERROR(VALUE(INDEX(Kobo_Import!$A$2:$CZ$301,$AG106,Field_Map!$B$27)&amp;""),0))</f>
        <v>2</v>
      </c>
      <c r="T106" s="46">
        <f>IF($AG106="","",IFERROR(VALUE(INDEX(Kobo_Import!$A$2:$CZ$301,$AG106,Field_Map!$B$28)&amp;""),0))</f>
        <v>2</v>
      </c>
      <c r="U106" s="46" t="str">
        <f>IF($AG106="","",IF(IFERROR(INDEX(Kobo_Import!$A$2:$CZ$301,$AG106,Field_Map!$B$29)&amp;"","")="","",IFERROR(INDEX(Lists!$N$5:$N$19,MATCH(INDEX(Kobo_Import!$A$2:$CZ$301,$AG106,Field_Map!$B$29)&amp;"",Lists!$M$5:$M$19,0)),INDEX(Kobo_Import!$A$2:$CZ$301,$AG106,Field_Map!$B$29)&amp;"")))</f>
        <v>Yes</v>
      </c>
      <c r="V106" s="50">
        <f>IF($A106="","",Settings!$B$5-F106)</f>
        <v>24</v>
      </c>
      <c r="W106" s="46">
        <f>IF($A106="","",(J106&gt;0)*Settings!$B$22+(P106&gt;0)*Settings!$B$23+(M106&gt;0)*Settings!$B$24+(O106&gt;0)*Settings!$B$25+(I106="Yes")*Settings!$B$26+(D106="Unusable")*Settings!$B$27+(D106="Damaged")*Settings!$B$28+(H106&gt;=Settings!$B$30)*Settings!$B$29)</f>
        <v>6</v>
      </c>
      <c r="X106" s="46" t="str">
        <f>IF($A106="","",IF(W106&gt;=Settings!$B$31,"High",IF(W106&gt;=Settings!$B$32,"Medium","Low")))</f>
        <v>High</v>
      </c>
      <c r="Y106" s="46" t="str">
        <f>IF($A106="","",IF(V106&gt;Settings!$B$21,"Yes",""))</f>
        <v/>
      </c>
      <c r="Z106" s="46">
        <f>IF($A106="","",COUNTIFS(Referrals!$B$5:$B$52,$A106,Referrals!$G$5:$G$52,"Referred")+COUNTIFS(Referrals!$B$5:$B$52,$A106,Referrals!$G$5:$G$52,"Acknowledged"))</f>
        <v>1</v>
      </c>
      <c r="AA106" s="46">
        <f>IF($A106="","",COUNTIFS(Referrals!$B$5:$B$52,$A106,Referrals!$K$5:$K$52,"Overdue"))</f>
        <v>1</v>
      </c>
      <c r="AB106" s="46" t="str">
        <f>IF($A106="","",IF(AND(J106&gt;0,U106="Yes"),IF(COUNTIFS(Referrals!$B$5:$B$52,$A106,Referrals!$D$5:$D$52,"Nutrition / IYCF")=0,"Referral needed","Referred"),""))</f>
        <v>Referred</v>
      </c>
      <c r="AC106" s="46" t="str">
        <f>IF($A106="","",IF(N(Needs_Gaps!O106)&gt;0,"Yes",""))</f>
        <v/>
      </c>
      <c r="AD106" s="46" t="str">
        <f>IF($A106="","",IF(COUNTIFS(Maintenance_Log!$C$5:$C$40,$A106,Maintenance_Log!$H$5:$H$40,"&lt;&gt;Resolved")&gt;0,"Yes",""))</f>
        <v/>
      </c>
      <c r="AE106" s="46">
        <f t="shared" si="6"/>
        <v>1</v>
      </c>
      <c r="AF106" s="46">
        <f t="shared" si="7"/>
        <v>106898</v>
      </c>
      <c r="AG106" s="46">
        <f>IFERROR(MATCH(ROW()-4,Import_Index!$H$5:$H$304,0),"")</f>
        <v>56</v>
      </c>
    </row>
    <row r="107" spans="1:33" x14ac:dyDescent="0.3">
      <c r="A107" s="46" t="str">
        <f>IF($AG107="","",IFERROR(INDEX(Kobo_Import!$A$2:$CZ$301,$AG107,Field_Map!$B$13)&amp;"",""))</f>
        <v>HH-103</v>
      </c>
      <c r="B107" s="46" t="str">
        <f>IF($AG107="","",IF(IFERROR(INDEX(Kobo_Import!$A$2:$CZ$301,$AG107,Field_Map!$B$9)&amp;"","")="","",IFERROR(INDEX(Lists!$N$5:$N$19,MATCH(INDEX(Kobo_Import!$A$2:$CZ$301,$AG107,Field_Map!$B$9)&amp;"",Lists!$M$5:$M$19,0)),INDEX(Kobo_Import!$A$2:$CZ$301,$AG107,Field_Map!$B$9)&amp;"")))</f>
        <v>Site D – Collective Centre</v>
      </c>
      <c r="C107" s="46" t="str">
        <f>IF($AG107="","",IF(IFERROR(INDEX(Kobo_Import!$A$2:$CZ$301,$AG107,Field_Map!$B$14)&amp;"","")="","",IFERROR(INDEX(Lists!$N$5:$N$19,MATCH(INDEX(Kobo_Import!$A$2:$CZ$301,$AG107,Field_Map!$B$14)&amp;"",Lists!$M$5:$M$19,0)),INDEX(Kobo_Import!$A$2:$CZ$301,$AG107,Field_Map!$B$14)&amp;"")))</f>
        <v>Collective room</v>
      </c>
      <c r="D107" s="46" t="str">
        <f>IF($AG107="","",IF(IFERROR(INDEX(Kobo_Import!$A$2:$CZ$301,$AG107,Field_Map!$B$15)&amp;"","")="","",IFERROR(INDEX(Lists!$N$5:$N$19,MATCH(INDEX(Kobo_Import!$A$2:$CZ$301,$AG107,Field_Map!$B$15)&amp;"",Lists!$M$5:$M$19,0)),INDEX(Kobo_Import!$A$2:$CZ$301,$AG107,Field_Map!$B$15)&amp;"")))</f>
        <v>Adequate</v>
      </c>
      <c r="E107" s="49">
        <f>IF($A107="","",IFERROR(INDEX(Import_Index!$D$5:$D$304,MATCH($A107&amp;"|registration",Import_Index!$I$5:$I$304,0)),F107))</f>
        <v>46041</v>
      </c>
      <c r="F107" s="49">
        <f>IF($AG107="","",INDEX(Import_Index!$D$5:$D$304,$AG107))</f>
        <v>46041</v>
      </c>
      <c r="G107" s="46">
        <f>IF($A107="","",COUNTIFS(Import_Index!$B$5:$B$304,$A107,Import_Index!$C$5:$C$304,"yes"))</f>
        <v>1</v>
      </c>
      <c r="H107" s="46">
        <f>IF($AG107="","",IFERROR(VALUE(INDEX(Kobo_Import!$A$2:$CZ$301,$AG107,Field_Map!$B$16)&amp;""),0))</f>
        <v>3</v>
      </c>
      <c r="I107" s="46" t="str">
        <f>IF($AG107="","",IF(IFERROR(INDEX(Kobo_Import!$A$2:$CZ$301,$AG107,Field_Map!$B$17)&amp;"","")="","",IFERROR(INDEX(Lists!$N$5:$N$19,MATCH(INDEX(Kobo_Import!$A$2:$CZ$301,$AG107,Field_Map!$B$17)&amp;"",Lists!$M$5:$M$19,0)),INDEX(Kobo_Import!$A$2:$CZ$301,$AG107,Field_Map!$B$17)&amp;"")))</f>
        <v>Yes</v>
      </c>
      <c r="J107" s="46">
        <f>IF($AG107="","",IFERROR(VALUE(INDEX(Kobo_Import!$A$2:$CZ$301,$AG107,Field_Map!$B$18)&amp;""),0))</f>
        <v>0</v>
      </c>
      <c r="K107" s="46">
        <f>IF($AG107="","",IFERROR(VALUE(INDEX(Kobo_Import!$A$2:$CZ$301,$AG107,Field_Map!$B$19)&amp;""),0))</f>
        <v>1</v>
      </c>
      <c r="L107" s="46">
        <f>IF($AG107="","",IFERROR(VALUE(INDEX(Kobo_Import!$A$2:$CZ$301,$AG107,Field_Map!$B$20)&amp;""),0))</f>
        <v>1</v>
      </c>
      <c r="M107" s="46">
        <f>IF($AG107="","",IFERROR(VALUE(INDEX(Kobo_Import!$A$2:$CZ$301,$AG107,Field_Map!$B$21)&amp;""),0))</f>
        <v>1</v>
      </c>
      <c r="N107" s="46">
        <f>IF($AG107="","",IFERROR(VALUE(INDEX(Kobo_Import!$A$2:$CZ$301,$AG107,Field_Map!$B$22)&amp;""),0))</f>
        <v>2</v>
      </c>
      <c r="O107" s="46">
        <f>IF($AG107="","",IFERROR(VALUE(INDEX(Kobo_Import!$A$2:$CZ$301,$AG107,Field_Map!$B$23)&amp;""),0))</f>
        <v>0</v>
      </c>
      <c r="P107" s="46">
        <f>IF($AG107="","",IFERROR(VALUE(INDEX(Kobo_Import!$A$2:$CZ$301,$AG107,Field_Map!$B$24)&amp;""),0))</f>
        <v>0</v>
      </c>
      <c r="Q107" s="46">
        <f>IF($AG107="","",IFERROR(VALUE(INDEX(Kobo_Import!$A$2:$CZ$301,$AG107,Field_Map!$B$25)&amp;""),0))</f>
        <v>5</v>
      </c>
      <c r="R107" s="46">
        <f>IF($AG107="","",IFERROR(VALUE(INDEX(Kobo_Import!$A$2:$CZ$301,$AG107,Field_Map!$B$26)&amp;""),0))</f>
        <v>2</v>
      </c>
      <c r="S107" s="46">
        <f>IF($AG107="","",IFERROR(VALUE(INDEX(Kobo_Import!$A$2:$CZ$301,$AG107,Field_Map!$B$27)&amp;""),0))</f>
        <v>0</v>
      </c>
      <c r="T107" s="46">
        <f>IF($AG107="","",IFERROR(VALUE(INDEX(Kobo_Import!$A$2:$CZ$301,$AG107,Field_Map!$B$28)&amp;""),0))</f>
        <v>2</v>
      </c>
      <c r="U107" s="46" t="str">
        <f>IF($AG107="","",IF(IFERROR(INDEX(Kobo_Import!$A$2:$CZ$301,$AG107,Field_Map!$B$29)&amp;"","")="","",IFERROR(INDEX(Lists!$N$5:$N$19,MATCH(INDEX(Kobo_Import!$A$2:$CZ$301,$AG107,Field_Map!$B$29)&amp;"",Lists!$M$5:$M$19,0)),INDEX(Kobo_Import!$A$2:$CZ$301,$AG107,Field_Map!$B$29)&amp;"")))</f>
        <v/>
      </c>
      <c r="V107" s="50">
        <f>IF($A107="","",Settings!$B$5-F107)</f>
        <v>12</v>
      </c>
      <c r="W107" s="46">
        <f>IF($A107="","",(J107&gt;0)*Settings!$B$22+(P107&gt;0)*Settings!$B$23+(M107&gt;0)*Settings!$B$24+(O107&gt;0)*Settings!$B$25+(I107="Yes")*Settings!$B$26+(D107="Unusable")*Settings!$B$27+(D107="Damaged")*Settings!$B$28+(H107&gt;=Settings!$B$30)*Settings!$B$29)</f>
        <v>2</v>
      </c>
      <c r="X107" s="46" t="str">
        <f>IF($A107="","",IF(W107&gt;=Settings!$B$31,"High",IF(W107&gt;=Settings!$B$32,"Medium","Low")))</f>
        <v>Low</v>
      </c>
      <c r="Y107" s="46" t="str">
        <f>IF($A107="","",IF(V107&gt;Settings!$B$21,"Yes",""))</f>
        <v/>
      </c>
      <c r="Z107" s="46">
        <f>IF($A107="","",COUNTIFS(Referrals!$B$5:$B$52,$A107,Referrals!$G$5:$G$52,"Referred")+COUNTIFS(Referrals!$B$5:$B$52,$A107,Referrals!$G$5:$G$52,"Acknowledged"))</f>
        <v>0</v>
      </c>
      <c r="AA107" s="46">
        <f>IF($A107="","",COUNTIFS(Referrals!$B$5:$B$52,$A107,Referrals!$K$5:$K$52,"Overdue"))</f>
        <v>0</v>
      </c>
      <c r="AB107" s="46" t="str">
        <f>IF($A107="","",IF(AND(J107&gt;0,U107="Yes"),IF(COUNTIFS(Referrals!$B$5:$B$52,$A107,Referrals!$D$5:$D$52,"Nutrition / IYCF")=0,"Referral needed","Referred"),""))</f>
        <v/>
      </c>
      <c r="AC107" s="46" t="str">
        <f>IF($A107="","",IF(N(Needs_Gaps!O107)&gt;0,"Yes",""))</f>
        <v/>
      </c>
      <c r="AD107" s="46" t="str">
        <f>IF($A107="","",IF(COUNTIFS(Maintenance_Log!$C$5:$C$40,$A107,Maintenance_Log!$H$5:$H$40,"&lt;&gt;Resolved")&gt;0,"Yes",""))</f>
        <v/>
      </c>
      <c r="AE107" s="46">
        <f t="shared" si="6"/>
        <v>0</v>
      </c>
      <c r="AF107" s="46">
        <f t="shared" si="7"/>
        <v>0</v>
      </c>
      <c r="AG107" s="46">
        <f>IFERROR(MATCH(ROW()-4,Import_Index!$H$5:$H$304,0),"")</f>
        <v>106</v>
      </c>
    </row>
    <row r="108" spans="1:33" x14ac:dyDescent="0.3">
      <c r="A108" s="46" t="str">
        <f>IF($AG108="","",IFERROR(INDEX(Kobo_Import!$A$2:$CZ$301,$AG108,Field_Map!$B$13)&amp;"",""))</f>
        <v>HH-104</v>
      </c>
      <c r="B108" s="46" t="str">
        <f>IF($AG108="","",IF(IFERROR(INDEX(Kobo_Import!$A$2:$CZ$301,$AG108,Field_Map!$B$9)&amp;"","")="","",IFERROR(INDEX(Lists!$N$5:$N$19,MATCH(INDEX(Kobo_Import!$A$2:$CZ$301,$AG108,Field_Map!$B$9)&amp;"",Lists!$M$5:$M$19,0)),INDEX(Kobo_Import!$A$2:$CZ$301,$AG108,Field_Map!$B$9)&amp;"")))</f>
        <v>Site D – Collective Centre</v>
      </c>
      <c r="C108" s="46" t="str">
        <f>IF($AG108="","",IF(IFERROR(INDEX(Kobo_Import!$A$2:$CZ$301,$AG108,Field_Map!$B$14)&amp;"","")="","",IFERROR(INDEX(Lists!$N$5:$N$19,MATCH(INDEX(Kobo_Import!$A$2:$CZ$301,$AG108,Field_Map!$B$14)&amp;"",Lists!$M$5:$M$19,0)),INDEX(Kobo_Import!$A$2:$CZ$301,$AG108,Field_Map!$B$14)&amp;"")))</f>
        <v>Collective room</v>
      </c>
      <c r="D108" s="46" t="str">
        <f>IF($AG108="","",IF(IFERROR(INDEX(Kobo_Import!$A$2:$CZ$301,$AG108,Field_Map!$B$15)&amp;"","")="","",IFERROR(INDEX(Lists!$N$5:$N$19,MATCH(INDEX(Kobo_Import!$A$2:$CZ$301,$AG108,Field_Map!$B$15)&amp;"",Lists!$M$5:$M$19,0)),INDEX(Kobo_Import!$A$2:$CZ$301,$AG108,Field_Map!$B$15)&amp;"")))</f>
        <v>Adequate</v>
      </c>
      <c r="E108" s="49">
        <f>IF($A108="","",IFERROR(INDEX(Import_Index!$D$5:$D$304,MATCH($A108&amp;"|registration",Import_Index!$I$5:$I$304,0)),F108))</f>
        <v>46050</v>
      </c>
      <c r="F108" s="49">
        <f>IF($AG108="","",INDEX(Import_Index!$D$5:$D$304,$AG108))</f>
        <v>46050</v>
      </c>
      <c r="G108" s="46">
        <f>IF($A108="","",COUNTIFS(Import_Index!$B$5:$B$304,$A108,Import_Index!$C$5:$C$304,"yes"))</f>
        <v>1</v>
      </c>
      <c r="H108" s="46">
        <f>IF($AG108="","",IFERROR(VALUE(INDEX(Kobo_Import!$A$2:$CZ$301,$AG108,Field_Map!$B$16)&amp;""),0))</f>
        <v>6</v>
      </c>
      <c r="I108" s="46" t="str">
        <f>IF($AG108="","",IF(IFERROR(INDEX(Kobo_Import!$A$2:$CZ$301,$AG108,Field_Map!$B$17)&amp;"","")="","",IFERROR(INDEX(Lists!$N$5:$N$19,MATCH(INDEX(Kobo_Import!$A$2:$CZ$301,$AG108,Field_Map!$B$17)&amp;"",Lists!$M$5:$M$19,0)),INDEX(Kobo_Import!$A$2:$CZ$301,$AG108,Field_Map!$B$17)&amp;"")))</f>
        <v>No</v>
      </c>
      <c r="J108" s="46">
        <f>IF($AG108="","",IFERROR(VALUE(INDEX(Kobo_Import!$A$2:$CZ$301,$AG108,Field_Map!$B$18)&amp;""),0))</f>
        <v>0</v>
      </c>
      <c r="K108" s="46">
        <f>IF($AG108="","",IFERROR(VALUE(INDEX(Kobo_Import!$A$2:$CZ$301,$AG108,Field_Map!$B$19)&amp;""),0))</f>
        <v>3</v>
      </c>
      <c r="L108" s="46">
        <f>IF($AG108="","",IFERROR(VALUE(INDEX(Kobo_Import!$A$2:$CZ$301,$AG108,Field_Map!$B$20)&amp;""),0))</f>
        <v>2</v>
      </c>
      <c r="M108" s="46">
        <f>IF($AG108="","",IFERROR(VALUE(INDEX(Kobo_Import!$A$2:$CZ$301,$AG108,Field_Map!$B$21)&amp;""),0))</f>
        <v>1</v>
      </c>
      <c r="N108" s="46">
        <f>IF($AG108="","",IFERROR(VALUE(INDEX(Kobo_Import!$A$2:$CZ$301,$AG108,Field_Map!$B$22)&amp;""),0))</f>
        <v>2</v>
      </c>
      <c r="O108" s="46">
        <f>IF($AG108="","",IFERROR(VALUE(INDEX(Kobo_Import!$A$2:$CZ$301,$AG108,Field_Map!$B$23)&amp;""),0))</f>
        <v>0</v>
      </c>
      <c r="P108" s="46">
        <f>IF($AG108="","",IFERROR(VALUE(INDEX(Kobo_Import!$A$2:$CZ$301,$AG108,Field_Map!$B$24)&amp;""),0))</f>
        <v>0</v>
      </c>
      <c r="Q108" s="46">
        <f>IF($AG108="","",IFERROR(VALUE(INDEX(Kobo_Import!$A$2:$CZ$301,$AG108,Field_Map!$B$25)&amp;""),0))</f>
        <v>9</v>
      </c>
      <c r="R108" s="46">
        <f>IF($AG108="","",IFERROR(VALUE(INDEX(Kobo_Import!$A$2:$CZ$301,$AG108,Field_Map!$B$26)&amp;""),0))</f>
        <v>2</v>
      </c>
      <c r="S108" s="46">
        <f>IF($AG108="","",IFERROR(VALUE(INDEX(Kobo_Import!$A$2:$CZ$301,$AG108,Field_Map!$B$27)&amp;""),0))</f>
        <v>3</v>
      </c>
      <c r="T108" s="46">
        <f>IF($AG108="","",IFERROR(VALUE(INDEX(Kobo_Import!$A$2:$CZ$301,$AG108,Field_Map!$B$28)&amp;""),0))</f>
        <v>0</v>
      </c>
      <c r="U108" s="46" t="str">
        <f>IF($AG108="","",IF(IFERROR(INDEX(Kobo_Import!$A$2:$CZ$301,$AG108,Field_Map!$B$29)&amp;"","")="","",IFERROR(INDEX(Lists!$N$5:$N$19,MATCH(INDEX(Kobo_Import!$A$2:$CZ$301,$AG108,Field_Map!$B$29)&amp;"",Lists!$M$5:$M$19,0)),INDEX(Kobo_Import!$A$2:$CZ$301,$AG108,Field_Map!$B$29)&amp;"")))</f>
        <v/>
      </c>
      <c r="V108" s="50">
        <f>IF($A108="","",Settings!$B$5-F108)</f>
        <v>3</v>
      </c>
      <c r="W108" s="46">
        <f>IF($A108="","",(J108&gt;0)*Settings!$B$22+(P108&gt;0)*Settings!$B$23+(M108&gt;0)*Settings!$B$24+(O108&gt;0)*Settings!$B$25+(I108="Yes")*Settings!$B$26+(D108="Unusable")*Settings!$B$27+(D108="Damaged")*Settings!$B$28+(H108&gt;=Settings!$B$30)*Settings!$B$29)</f>
        <v>1</v>
      </c>
      <c r="X108" s="46" t="str">
        <f>IF($A108="","",IF(W108&gt;=Settings!$B$31,"High",IF(W108&gt;=Settings!$B$32,"Medium","Low")))</f>
        <v>Low</v>
      </c>
      <c r="Y108" s="46" t="str">
        <f>IF($A108="","",IF(V108&gt;Settings!$B$21,"Yes",""))</f>
        <v/>
      </c>
      <c r="Z108" s="46">
        <f>IF($A108="","",COUNTIFS(Referrals!$B$5:$B$52,$A108,Referrals!$G$5:$G$52,"Referred")+COUNTIFS(Referrals!$B$5:$B$52,$A108,Referrals!$G$5:$G$52,"Acknowledged"))</f>
        <v>0</v>
      </c>
      <c r="AA108" s="46">
        <f>IF($A108="","",COUNTIFS(Referrals!$B$5:$B$52,$A108,Referrals!$K$5:$K$52,"Overdue"))</f>
        <v>0</v>
      </c>
      <c r="AB108" s="46" t="str">
        <f>IF($A108="","",IF(AND(J108&gt;0,U108="Yes"),IF(COUNTIFS(Referrals!$B$5:$B$52,$A108,Referrals!$D$5:$D$52,"Nutrition / IYCF")=0,"Referral needed","Referred"),""))</f>
        <v/>
      </c>
      <c r="AC108" s="46" t="str">
        <f>IF($A108="","",IF(N(Needs_Gaps!O108)&gt;0,"Yes",""))</f>
        <v/>
      </c>
      <c r="AD108" s="46" t="str">
        <f>IF($A108="","",IF(COUNTIFS(Maintenance_Log!$C$5:$C$40,$A108,Maintenance_Log!$H$5:$H$40,"&lt;&gt;Resolved")&gt;0,"Yes",""))</f>
        <v/>
      </c>
      <c r="AE108" s="46">
        <f t="shared" si="6"/>
        <v>0</v>
      </c>
      <c r="AF108" s="46">
        <f t="shared" si="7"/>
        <v>0</v>
      </c>
      <c r="AG108" s="46">
        <f>IFERROR(MATCH(ROW()-4,Import_Index!$H$5:$H$304,0),"")</f>
        <v>142</v>
      </c>
    </row>
    <row r="109" spans="1:33" x14ac:dyDescent="0.3">
      <c r="A109" s="46" t="str">
        <f>IF($AG109="","",IFERROR(INDEX(Kobo_Import!$A$2:$CZ$301,$AG109,Field_Map!$B$13)&amp;"",""))</f>
        <v>HH-105</v>
      </c>
      <c r="B109" s="46" t="str">
        <f>IF($AG109="","",IF(IFERROR(INDEX(Kobo_Import!$A$2:$CZ$301,$AG109,Field_Map!$B$9)&amp;"","")="","",IFERROR(INDEX(Lists!$N$5:$N$19,MATCH(INDEX(Kobo_Import!$A$2:$CZ$301,$AG109,Field_Map!$B$9)&amp;"",Lists!$M$5:$M$19,0)),INDEX(Kobo_Import!$A$2:$CZ$301,$AG109,Field_Map!$B$9)&amp;"")))</f>
        <v>Site D – Collective Centre</v>
      </c>
      <c r="C109" s="46" t="str">
        <f>IF($AG109="","",IF(IFERROR(INDEX(Kobo_Import!$A$2:$CZ$301,$AG109,Field_Map!$B$14)&amp;"","")="","",IFERROR(INDEX(Lists!$N$5:$N$19,MATCH(INDEX(Kobo_Import!$A$2:$CZ$301,$AG109,Field_Map!$B$14)&amp;"",Lists!$M$5:$M$19,0)),INDEX(Kobo_Import!$A$2:$CZ$301,$AG109,Field_Map!$B$14)&amp;"")))</f>
        <v>Collective room</v>
      </c>
      <c r="D109" s="46" t="str">
        <f>IF($AG109="","",IF(IFERROR(INDEX(Kobo_Import!$A$2:$CZ$301,$AG109,Field_Map!$B$15)&amp;"","")="","",IFERROR(INDEX(Lists!$N$5:$N$19,MATCH(INDEX(Kobo_Import!$A$2:$CZ$301,$AG109,Field_Map!$B$15)&amp;"",Lists!$M$5:$M$19,0)),INDEX(Kobo_Import!$A$2:$CZ$301,$AG109,Field_Map!$B$15)&amp;"")))</f>
        <v>Adequate</v>
      </c>
      <c r="E109" s="49">
        <f>IF($A109="","",IFERROR(INDEX(Import_Index!$D$5:$D$304,MATCH($A109&amp;"|registration",Import_Index!$I$5:$I$304,0)),F109))</f>
        <v>46028</v>
      </c>
      <c r="F109" s="49">
        <f>IF($AG109="","",INDEX(Import_Index!$D$5:$D$304,$AG109))</f>
        <v>46028</v>
      </c>
      <c r="G109" s="46">
        <f>IF($A109="","",COUNTIFS(Import_Index!$B$5:$B$304,$A109,Import_Index!$C$5:$C$304,"yes"))</f>
        <v>1</v>
      </c>
      <c r="H109" s="46">
        <f>IF($AG109="","",IFERROR(VALUE(INDEX(Kobo_Import!$A$2:$CZ$301,$AG109,Field_Map!$B$16)&amp;""),0))</f>
        <v>8</v>
      </c>
      <c r="I109" s="46" t="str">
        <f>IF($AG109="","",IF(IFERROR(INDEX(Kobo_Import!$A$2:$CZ$301,$AG109,Field_Map!$B$17)&amp;"","")="","",IFERROR(INDEX(Lists!$N$5:$N$19,MATCH(INDEX(Kobo_Import!$A$2:$CZ$301,$AG109,Field_Map!$B$17)&amp;"",Lists!$M$5:$M$19,0)),INDEX(Kobo_Import!$A$2:$CZ$301,$AG109,Field_Map!$B$17)&amp;"")))</f>
        <v>Yes</v>
      </c>
      <c r="J109" s="46">
        <f>IF($AG109="","",IFERROR(VALUE(INDEX(Kobo_Import!$A$2:$CZ$301,$AG109,Field_Map!$B$18)&amp;""),0))</f>
        <v>1</v>
      </c>
      <c r="K109" s="46">
        <f>IF($AG109="","",IFERROR(VALUE(INDEX(Kobo_Import!$A$2:$CZ$301,$AG109,Field_Map!$B$19)&amp;""),0))</f>
        <v>5</v>
      </c>
      <c r="L109" s="46">
        <f>IF($AG109="","",IFERROR(VALUE(INDEX(Kobo_Import!$A$2:$CZ$301,$AG109,Field_Map!$B$20)&amp;""),0))</f>
        <v>1</v>
      </c>
      <c r="M109" s="46">
        <f>IF($AG109="","",IFERROR(VALUE(INDEX(Kobo_Import!$A$2:$CZ$301,$AG109,Field_Map!$B$21)&amp;""),0))</f>
        <v>1</v>
      </c>
      <c r="N109" s="46">
        <f>IF($AG109="","",IFERROR(VALUE(INDEX(Kobo_Import!$A$2:$CZ$301,$AG109,Field_Map!$B$22)&amp;""),0))</f>
        <v>2</v>
      </c>
      <c r="O109" s="46">
        <f>IF($AG109="","",IFERROR(VALUE(INDEX(Kobo_Import!$A$2:$CZ$301,$AG109,Field_Map!$B$23)&amp;""),0))</f>
        <v>1</v>
      </c>
      <c r="P109" s="46">
        <f>IF($AG109="","",IFERROR(VALUE(INDEX(Kobo_Import!$A$2:$CZ$301,$AG109,Field_Map!$B$24)&amp;""),0))</f>
        <v>1</v>
      </c>
      <c r="Q109" s="46">
        <f>IF($AG109="","",IFERROR(VALUE(INDEX(Kobo_Import!$A$2:$CZ$301,$AG109,Field_Map!$B$25)&amp;""),0))</f>
        <v>3</v>
      </c>
      <c r="R109" s="46">
        <f>IF($AG109="","",IFERROR(VALUE(INDEX(Kobo_Import!$A$2:$CZ$301,$AG109,Field_Map!$B$26)&amp;""),0))</f>
        <v>2</v>
      </c>
      <c r="S109" s="46">
        <f>IF($AG109="","",IFERROR(VALUE(INDEX(Kobo_Import!$A$2:$CZ$301,$AG109,Field_Map!$B$27)&amp;""),0))</f>
        <v>3</v>
      </c>
      <c r="T109" s="46">
        <f>IF($AG109="","",IFERROR(VALUE(INDEX(Kobo_Import!$A$2:$CZ$301,$AG109,Field_Map!$B$28)&amp;""),0))</f>
        <v>1</v>
      </c>
      <c r="U109" s="46" t="str">
        <f>IF($AG109="","",IF(IFERROR(INDEX(Kobo_Import!$A$2:$CZ$301,$AG109,Field_Map!$B$29)&amp;"","")="","",IFERROR(INDEX(Lists!$N$5:$N$19,MATCH(INDEX(Kobo_Import!$A$2:$CZ$301,$AG109,Field_Map!$B$29)&amp;"",Lists!$M$5:$M$19,0)),INDEX(Kobo_Import!$A$2:$CZ$301,$AG109,Field_Map!$B$29)&amp;"")))</f>
        <v>No</v>
      </c>
      <c r="V109" s="50">
        <f>IF($A109="","",Settings!$B$5-F109)</f>
        <v>25</v>
      </c>
      <c r="W109" s="46">
        <f>IF($A109="","",(J109&gt;0)*Settings!$B$22+(P109&gt;0)*Settings!$B$23+(M109&gt;0)*Settings!$B$24+(O109&gt;0)*Settings!$B$25+(I109="Yes")*Settings!$B$26+(D109="Unusable")*Settings!$B$27+(D109="Damaged")*Settings!$B$28+(H109&gt;=Settings!$B$30)*Settings!$B$29)</f>
        <v>7</v>
      </c>
      <c r="X109" s="46" t="str">
        <f>IF($A109="","",IF(W109&gt;=Settings!$B$31,"High",IF(W109&gt;=Settings!$B$32,"Medium","Low")))</f>
        <v>High</v>
      </c>
      <c r="Y109" s="46" t="str">
        <f>IF($A109="","",IF(V109&gt;Settings!$B$21,"Yes",""))</f>
        <v/>
      </c>
      <c r="Z109" s="46">
        <f>IF($A109="","",COUNTIFS(Referrals!$B$5:$B$52,$A109,Referrals!$G$5:$G$52,"Referred")+COUNTIFS(Referrals!$B$5:$B$52,$A109,Referrals!$G$5:$G$52,"Acknowledged"))</f>
        <v>1</v>
      </c>
      <c r="AA109" s="46">
        <f>IF($A109="","",COUNTIFS(Referrals!$B$5:$B$52,$A109,Referrals!$K$5:$K$52,"Overdue"))</f>
        <v>0</v>
      </c>
      <c r="AB109" s="46" t="str">
        <f>IF($A109="","",IF(AND(J109&gt;0,U109="Yes"),IF(COUNTIFS(Referrals!$B$5:$B$52,$A109,Referrals!$D$5:$D$52,"Nutrition / IYCF")=0,"Referral needed","Referred"),""))</f>
        <v/>
      </c>
      <c r="AC109" s="46" t="str">
        <f>IF($A109="","",IF(N(Needs_Gaps!O109)&gt;0,"Yes",""))</f>
        <v/>
      </c>
      <c r="AD109" s="46" t="str">
        <f>IF($A109="","",IF(COUNTIFS(Maintenance_Log!$C$5:$C$40,$A109,Maintenance_Log!$H$5:$H$40,"&lt;&gt;Resolved")&gt;0,"Yes",""))</f>
        <v/>
      </c>
      <c r="AE109" s="46">
        <f t="shared" si="6"/>
        <v>0</v>
      </c>
      <c r="AF109" s="46">
        <f t="shared" si="7"/>
        <v>0</v>
      </c>
      <c r="AG109" s="46">
        <f>IFERROR(MATCH(ROW()-4,Import_Index!$H$5:$H$304,0),"")</f>
        <v>55</v>
      </c>
    </row>
    <row r="110" spans="1:33" x14ac:dyDescent="0.3">
      <c r="A110" s="46" t="str">
        <f>IF($AG110="","",IFERROR(INDEX(Kobo_Import!$A$2:$CZ$301,$AG110,Field_Map!$B$13)&amp;"",""))</f>
        <v>HH-106</v>
      </c>
      <c r="B110" s="46" t="str">
        <f>IF($AG110="","",IF(IFERROR(INDEX(Kobo_Import!$A$2:$CZ$301,$AG110,Field_Map!$B$9)&amp;"","")="","",IFERROR(INDEX(Lists!$N$5:$N$19,MATCH(INDEX(Kobo_Import!$A$2:$CZ$301,$AG110,Field_Map!$B$9)&amp;"",Lists!$M$5:$M$19,0)),INDEX(Kobo_Import!$A$2:$CZ$301,$AG110,Field_Map!$B$9)&amp;"")))</f>
        <v>Site D – Collective Centre</v>
      </c>
      <c r="C110" s="46" t="str">
        <f>IF($AG110="","",IF(IFERROR(INDEX(Kobo_Import!$A$2:$CZ$301,$AG110,Field_Map!$B$14)&amp;"","")="","",IFERROR(INDEX(Lists!$N$5:$N$19,MATCH(INDEX(Kobo_Import!$A$2:$CZ$301,$AG110,Field_Map!$B$14)&amp;"",Lists!$M$5:$M$19,0)),INDEX(Kobo_Import!$A$2:$CZ$301,$AG110,Field_Map!$B$14)&amp;"")))</f>
        <v>Collective room</v>
      </c>
      <c r="D110" s="46" t="str">
        <f>IF($AG110="","",IF(IFERROR(INDEX(Kobo_Import!$A$2:$CZ$301,$AG110,Field_Map!$B$15)&amp;"","")="","",IFERROR(INDEX(Lists!$N$5:$N$19,MATCH(INDEX(Kobo_Import!$A$2:$CZ$301,$AG110,Field_Map!$B$15)&amp;"",Lists!$M$5:$M$19,0)),INDEX(Kobo_Import!$A$2:$CZ$301,$AG110,Field_Map!$B$15)&amp;"")))</f>
        <v>Adequate</v>
      </c>
      <c r="E110" s="49">
        <f>IF($A110="","",IFERROR(INDEX(Import_Index!$D$5:$D$304,MATCH($A110&amp;"|registration",Import_Index!$I$5:$I$304,0)),F110))</f>
        <v>46046</v>
      </c>
      <c r="F110" s="49">
        <f>IF($AG110="","",INDEX(Import_Index!$D$5:$D$304,$AG110))</f>
        <v>46046</v>
      </c>
      <c r="G110" s="46">
        <f>IF($A110="","",COUNTIFS(Import_Index!$B$5:$B$304,$A110,Import_Index!$C$5:$C$304,"yes"))</f>
        <v>1</v>
      </c>
      <c r="H110" s="46">
        <f>IF($AG110="","",IFERROR(VALUE(INDEX(Kobo_Import!$A$2:$CZ$301,$AG110,Field_Map!$B$16)&amp;""),0))</f>
        <v>4</v>
      </c>
      <c r="I110" s="46" t="str">
        <f>IF($AG110="","",IF(IFERROR(INDEX(Kobo_Import!$A$2:$CZ$301,$AG110,Field_Map!$B$17)&amp;"","")="","",IFERROR(INDEX(Lists!$N$5:$N$19,MATCH(INDEX(Kobo_Import!$A$2:$CZ$301,$AG110,Field_Map!$B$17)&amp;"",Lists!$M$5:$M$19,0)),INDEX(Kobo_Import!$A$2:$CZ$301,$AG110,Field_Map!$B$17)&amp;"")))</f>
        <v>No</v>
      </c>
      <c r="J110" s="46">
        <f>IF($AG110="","",IFERROR(VALUE(INDEX(Kobo_Import!$A$2:$CZ$301,$AG110,Field_Map!$B$18)&amp;""),0))</f>
        <v>1</v>
      </c>
      <c r="K110" s="46">
        <f>IF($AG110="","",IFERROR(VALUE(INDEX(Kobo_Import!$A$2:$CZ$301,$AG110,Field_Map!$B$19)&amp;""),0))</f>
        <v>1</v>
      </c>
      <c r="L110" s="46">
        <f>IF($AG110="","",IFERROR(VALUE(INDEX(Kobo_Import!$A$2:$CZ$301,$AG110,Field_Map!$B$20)&amp;""),0))</f>
        <v>2</v>
      </c>
      <c r="M110" s="46">
        <f>IF($AG110="","",IFERROR(VALUE(INDEX(Kobo_Import!$A$2:$CZ$301,$AG110,Field_Map!$B$21)&amp;""),0))</f>
        <v>0</v>
      </c>
      <c r="N110" s="46">
        <f>IF($AG110="","",IFERROR(VALUE(INDEX(Kobo_Import!$A$2:$CZ$301,$AG110,Field_Map!$B$22)&amp;""),0))</f>
        <v>1</v>
      </c>
      <c r="O110" s="46">
        <f>IF($AG110="","",IFERROR(VALUE(INDEX(Kobo_Import!$A$2:$CZ$301,$AG110,Field_Map!$B$23)&amp;""),0))</f>
        <v>0</v>
      </c>
      <c r="P110" s="46">
        <f>IF($AG110="","",IFERROR(VALUE(INDEX(Kobo_Import!$A$2:$CZ$301,$AG110,Field_Map!$B$24)&amp;""),0))</f>
        <v>0</v>
      </c>
      <c r="Q110" s="46">
        <f>IF($AG110="","",IFERROR(VALUE(INDEX(Kobo_Import!$A$2:$CZ$301,$AG110,Field_Map!$B$25)&amp;""),0))</f>
        <v>0</v>
      </c>
      <c r="R110" s="46">
        <f>IF($AG110="","",IFERROR(VALUE(INDEX(Kobo_Import!$A$2:$CZ$301,$AG110,Field_Map!$B$26)&amp;""),0))</f>
        <v>0</v>
      </c>
      <c r="S110" s="46">
        <f>IF($AG110="","",IFERROR(VALUE(INDEX(Kobo_Import!$A$2:$CZ$301,$AG110,Field_Map!$B$27)&amp;""),0))</f>
        <v>2</v>
      </c>
      <c r="T110" s="46">
        <f>IF($AG110="","",IFERROR(VALUE(INDEX(Kobo_Import!$A$2:$CZ$301,$AG110,Field_Map!$B$28)&amp;""),0))</f>
        <v>1</v>
      </c>
      <c r="U110" s="46" t="str">
        <f>IF($AG110="","",IF(IFERROR(INDEX(Kobo_Import!$A$2:$CZ$301,$AG110,Field_Map!$B$29)&amp;"","")="","",IFERROR(INDEX(Lists!$N$5:$N$19,MATCH(INDEX(Kobo_Import!$A$2:$CZ$301,$AG110,Field_Map!$B$29)&amp;"",Lists!$M$5:$M$19,0)),INDEX(Kobo_Import!$A$2:$CZ$301,$AG110,Field_Map!$B$29)&amp;"")))</f>
        <v>No</v>
      </c>
      <c r="V110" s="50">
        <f>IF($A110="","",Settings!$B$5-F110)</f>
        <v>7</v>
      </c>
      <c r="W110" s="46">
        <f>IF($A110="","",(J110&gt;0)*Settings!$B$22+(P110&gt;0)*Settings!$B$23+(M110&gt;0)*Settings!$B$24+(O110&gt;0)*Settings!$B$25+(I110="Yes")*Settings!$B$26+(D110="Unusable")*Settings!$B$27+(D110="Damaged")*Settings!$B$28+(H110&gt;=Settings!$B$30)*Settings!$B$29)</f>
        <v>2</v>
      </c>
      <c r="X110" s="46" t="str">
        <f>IF($A110="","",IF(W110&gt;=Settings!$B$31,"High",IF(W110&gt;=Settings!$B$32,"Medium","Low")))</f>
        <v>Low</v>
      </c>
      <c r="Y110" s="46" t="str">
        <f>IF($A110="","",IF(V110&gt;Settings!$B$21,"Yes",""))</f>
        <v/>
      </c>
      <c r="Z110" s="46">
        <f>IF($A110="","",COUNTIFS(Referrals!$B$5:$B$52,$A110,Referrals!$G$5:$G$52,"Referred")+COUNTIFS(Referrals!$B$5:$B$52,$A110,Referrals!$G$5:$G$52,"Acknowledged"))</f>
        <v>0</v>
      </c>
      <c r="AA110" s="46">
        <f>IF($A110="","",COUNTIFS(Referrals!$B$5:$B$52,$A110,Referrals!$K$5:$K$52,"Overdue"))</f>
        <v>0</v>
      </c>
      <c r="AB110" s="46" t="str">
        <f>IF($A110="","",IF(AND(J110&gt;0,U110="Yes"),IF(COUNTIFS(Referrals!$B$5:$B$52,$A110,Referrals!$D$5:$D$52,"Nutrition / IYCF")=0,"Referral needed","Referred"),""))</f>
        <v/>
      </c>
      <c r="AC110" s="46" t="str">
        <f>IF($A110="","",IF(N(Needs_Gaps!O110)&gt;0,"Yes",""))</f>
        <v/>
      </c>
      <c r="AD110" s="46" t="str">
        <f>IF($A110="","",IF(COUNTIFS(Maintenance_Log!$C$5:$C$40,$A110,Maintenance_Log!$H$5:$H$40,"&lt;&gt;Resolved")&gt;0,"Yes",""))</f>
        <v/>
      </c>
      <c r="AE110" s="46">
        <f t="shared" si="6"/>
        <v>0</v>
      </c>
      <c r="AF110" s="46">
        <f t="shared" si="7"/>
        <v>0</v>
      </c>
      <c r="AG110" s="46">
        <f>IFERROR(MATCH(ROW()-4,Import_Index!$H$5:$H$304,0),"")</f>
        <v>130</v>
      </c>
    </row>
    <row r="111" spans="1:33" x14ac:dyDescent="0.3">
      <c r="A111" s="46" t="str">
        <f>IF($AG111="","",IFERROR(INDEX(Kobo_Import!$A$2:$CZ$301,$AG111,Field_Map!$B$13)&amp;"",""))</f>
        <v>HH-107</v>
      </c>
      <c r="B111" s="46" t="str">
        <f>IF($AG111="","",IF(IFERROR(INDEX(Kobo_Import!$A$2:$CZ$301,$AG111,Field_Map!$B$9)&amp;"","")="","",IFERROR(INDEX(Lists!$N$5:$N$19,MATCH(INDEX(Kobo_Import!$A$2:$CZ$301,$AG111,Field_Map!$B$9)&amp;"",Lists!$M$5:$M$19,0)),INDEX(Kobo_Import!$A$2:$CZ$301,$AG111,Field_Map!$B$9)&amp;"")))</f>
        <v>Site D – Collective Centre</v>
      </c>
      <c r="C111" s="46" t="str">
        <f>IF($AG111="","",IF(IFERROR(INDEX(Kobo_Import!$A$2:$CZ$301,$AG111,Field_Map!$B$14)&amp;"","")="","",IFERROR(INDEX(Lists!$N$5:$N$19,MATCH(INDEX(Kobo_Import!$A$2:$CZ$301,$AG111,Field_Map!$B$14)&amp;"",Lists!$M$5:$M$19,0)),INDEX(Kobo_Import!$A$2:$CZ$301,$AG111,Field_Map!$B$14)&amp;"")))</f>
        <v>Collective room</v>
      </c>
      <c r="D111" s="46" t="str">
        <f>IF($AG111="","",IF(IFERROR(INDEX(Kobo_Import!$A$2:$CZ$301,$AG111,Field_Map!$B$15)&amp;"","")="","",IFERROR(INDEX(Lists!$N$5:$N$19,MATCH(INDEX(Kobo_Import!$A$2:$CZ$301,$AG111,Field_Map!$B$15)&amp;"",Lists!$M$5:$M$19,0)),INDEX(Kobo_Import!$A$2:$CZ$301,$AG111,Field_Map!$B$15)&amp;"")))</f>
        <v>Adequate</v>
      </c>
      <c r="E111" s="49">
        <f>IF($A111="","",IFERROR(INDEX(Import_Index!$D$5:$D$304,MATCH($A111&amp;"|registration",Import_Index!$I$5:$I$304,0)),F111))</f>
        <v>46027</v>
      </c>
      <c r="F111" s="49">
        <f>IF($AG111="","",INDEX(Import_Index!$D$5:$D$304,$AG111))</f>
        <v>46027</v>
      </c>
      <c r="G111" s="46">
        <f>IF($A111="","",COUNTIFS(Import_Index!$B$5:$B$304,$A111,Import_Index!$C$5:$C$304,"yes"))</f>
        <v>1</v>
      </c>
      <c r="H111" s="46">
        <f>IF($AG111="","",IFERROR(VALUE(INDEX(Kobo_Import!$A$2:$CZ$301,$AG111,Field_Map!$B$16)&amp;""),0))</f>
        <v>10</v>
      </c>
      <c r="I111" s="46" t="str">
        <f>IF($AG111="","",IF(IFERROR(INDEX(Kobo_Import!$A$2:$CZ$301,$AG111,Field_Map!$B$17)&amp;"","")="","",IFERROR(INDEX(Lists!$N$5:$N$19,MATCH(INDEX(Kobo_Import!$A$2:$CZ$301,$AG111,Field_Map!$B$17)&amp;"",Lists!$M$5:$M$19,0)),INDEX(Kobo_Import!$A$2:$CZ$301,$AG111,Field_Map!$B$17)&amp;"")))</f>
        <v>No</v>
      </c>
      <c r="J111" s="46">
        <f>IF($AG111="","",IFERROR(VALUE(INDEX(Kobo_Import!$A$2:$CZ$301,$AG111,Field_Map!$B$18)&amp;""),0))</f>
        <v>1</v>
      </c>
      <c r="K111" s="46">
        <f>IF($AG111="","",IFERROR(VALUE(INDEX(Kobo_Import!$A$2:$CZ$301,$AG111,Field_Map!$B$19)&amp;""),0))</f>
        <v>7</v>
      </c>
      <c r="L111" s="46">
        <f>IF($AG111="","",IFERROR(VALUE(INDEX(Kobo_Import!$A$2:$CZ$301,$AG111,Field_Map!$B$20)&amp;""),0))</f>
        <v>2</v>
      </c>
      <c r="M111" s="46">
        <f>IF($AG111="","",IFERROR(VALUE(INDEX(Kobo_Import!$A$2:$CZ$301,$AG111,Field_Map!$B$21)&amp;""),0))</f>
        <v>0</v>
      </c>
      <c r="N111" s="46">
        <f>IF($AG111="","",IFERROR(VALUE(INDEX(Kobo_Import!$A$2:$CZ$301,$AG111,Field_Map!$B$22)&amp;""),0))</f>
        <v>1</v>
      </c>
      <c r="O111" s="46">
        <f>IF($AG111="","",IFERROR(VALUE(INDEX(Kobo_Import!$A$2:$CZ$301,$AG111,Field_Map!$B$23)&amp;""),0))</f>
        <v>1</v>
      </c>
      <c r="P111" s="46">
        <f>IF($AG111="","",IFERROR(VALUE(INDEX(Kobo_Import!$A$2:$CZ$301,$AG111,Field_Map!$B$24)&amp;""),0))</f>
        <v>1</v>
      </c>
      <c r="Q111" s="46">
        <f>IF($AG111="","",IFERROR(VALUE(INDEX(Kobo_Import!$A$2:$CZ$301,$AG111,Field_Map!$B$25)&amp;""),0))</f>
        <v>17</v>
      </c>
      <c r="R111" s="46">
        <f>IF($AG111="","",IFERROR(VALUE(INDEX(Kobo_Import!$A$2:$CZ$301,$AG111,Field_Map!$B$26)&amp;""),0))</f>
        <v>10</v>
      </c>
      <c r="S111" s="46">
        <f>IF($AG111="","",IFERROR(VALUE(INDEX(Kobo_Import!$A$2:$CZ$301,$AG111,Field_Map!$B$27)&amp;""),0))</f>
        <v>7</v>
      </c>
      <c r="T111" s="46">
        <f>IF($AG111="","",IFERROR(VALUE(INDEX(Kobo_Import!$A$2:$CZ$301,$AG111,Field_Map!$B$28)&amp;""),0))</f>
        <v>0</v>
      </c>
      <c r="U111" s="46" t="str">
        <f>IF($AG111="","",IF(IFERROR(INDEX(Kobo_Import!$A$2:$CZ$301,$AG111,Field_Map!$B$29)&amp;"","")="","",IFERROR(INDEX(Lists!$N$5:$N$19,MATCH(INDEX(Kobo_Import!$A$2:$CZ$301,$AG111,Field_Map!$B$29)&amp;"",Lists!$M$5:$M$19,0)),INDEX(Kobo_Import!$A$2:$CZ$301,$AG111,Field_Map!$B$29)&amp;"")))</f>
        <v>Yes</v>
      </c>
      <c r="V111" s="50">
        <f>IF($A111="","",Settings!$B$5-F111)</f>
        <v>26</v>
      </c>
      <c r="W111" s="46">
        <f>IF($A111="","",(J111&gt;0)*Settings!$B$22+(P111&gt;0)*Settings!$B$23+(M111&gt;0)*Settings!$B$24+(O111&gt;0)*Settings!$B$25+(I111="Yes")*Settings!$B$26+(D111="Unusable")*Settings!$B$27+(D111="Damaged")*Settings!$B$28+(H111&gt;=Settings!$B$30)*Settings!$B$29)</f>
        <v>6</v>
      </c>
      <c r="X111" s="46" t="str">
        <f>IF($A111="","",IF(W111&gt;=Settings!$B$31,"High",IF(W111&gt;=Settings!$B$32,"Medium","Low")))</f>
        <v>High</v>
      </c>
      <c r="Y111" s="46" t="str">
        <f>IF($A111="","",IF(V111&gt;Settings!$B$21,"Yes",""))</f>
        <v/>
      </c>
      <c r="Z111" s="46">
        <f>IF($A111="","",COUNTIFS(Referrals!$B$5:$B$52,$A111,Referrals!$G$5:$G$52,"Referred")+COUNTIFS(Referrals!$B$5:$B$52,$A111,Referrals!$G$5:$G$52,"Acknowledged"))</f>
        <v>1</v>
      </c>
      <c r="AA111" s="46">
        <f>IF($A111="","",COUNTIFS(Referrals!$B$5:$B$52,$A111,Referrals!$K$5:$K$52,"Overdue"))</f>
        <v>1</v>
      </c>
      <c r="AB111" s="46" t="str">
        <f>IF($A111="","",IF(AND(J111&gt;0,U111="Yes"),IF(COUNTIFS(Referrals!$B$5:$B$52,$A111,Referrals!$D$5:$D$52,"Nutrition / IYCF")=0,"Referral needed","Referred"),""))</f>
        <v>Referred</v>
      </c>
      <c r="AC111" s="46" t="str">
        <f>IF($A111="","",IF(N(Needs_Gaps!O111)&gt;0,"Yes",""))</f>
        <v/>
      </c>
      <c r="AD111" s="46" t="str">
        <f>IF($A111="","",IF(COUNTIFS(Maintenance_Log!$C$5:$C$40,$A111,Maintenance_Log!$H$5:$H$40,"&lt;&gt;Resolved")&gt;0,"Yes",""))</f>
        <v/>
      </c>
      <c r="AE111" s="46">
        <f t="shared" si="6"/>
        <v>1</v>
      </c>
      <c r="AF111" s="46">
        <f t="shared" si="7"/>
        <v>106893</v>
      </c>
      <c r="AG111" s="46">
        <f>IFERROR(MATCH(ROW()-4,Import_Index!$H$5:$H$304,0),"")</f>
        <v>50</v>
      </c>
    </row>
    <row r="112" spans="1:33" x14ac:dyDescent="0.3">
      <c r="A112" s="46" t="str">
        <f>IF($AG112="","",IFERROR(INDEX(Kobo_Import!$A$2:$CZ$301,$AG112,Field_Map!$B$13)&amp;"",""))</f>
        <v>HH-108</v>
      </c>
      <c r="B112" s="46" t="str">
        <f>IF($AG112="","",IF(IFERROR(INDEX(Kobo_Import!$A$2:$CZ$301,$AG112,Field_Map!$B$9)&amp;"","")="","",IFERROR(INDEX(Lists!$N$5:$N$19,MATCH(INDEX(Kobo_Import!$A$2:$CZ$301,$AG112,Field_Map!$B$9)&amp;"",Lists!$M$5:$M$19,0)),INDEX(Kobo_Import!$A$2:$CZ$301,$AG112,Field_Map!$B$9)&amp;"")))</f>
        <v>Site D – Collective Centre</v>
      </c>
      <c r="C112" s="46" t="str">
        <f>IF($AG112="","",IF(IFERROR(INDEX(Kobo_Import!$A$2:$CZ$301,$AG112,Field_Map!$B$14)&amp;"","")="","",IFERROR(INDEX(Lists!$N$5:$N$19,MATCH(INDEX(Kobo_Import!$A$2:$CZ$301,$AG112,Field_Map!$B$14)&amp;"",Lists!$M$5:$M$19,0)),INDEX(Kobo_Import!$A$2:$CZ$301,$AG112,Field_Map!$B$14)&amp;"")))</f>
        <v>Collective room</v>
      </c>
      <c r="D112" s="46" t="str">
        <f>IF($AG112="","",IF(IFERROR(INDEX(Kobo_Import!$A$2:$CZ$301,$AG112,Field_Map!$B$15)&amp;"","")="","",IFERROR(INDEX(Lists!$N$5:$N$19,MATCH(INDEX(Kobo_Import!$A$2:$CZ$301,$AG112,Field_Map!$B$15)&amp;"",Lists!$M$5:$M$19,0)),INDEX(Kobo_Import!$A$2:$CZ$301,$AG112,Field_Map!$B$15)&amp;"")))</f>
        <v>Damaged</v>
      </c>
      <c r="E112" s="49">
        <f>IF($A112="","",IFERROR(INDEX(Import_Index!$D$5:$D$304,MATCH($A112&amp;"|registration",Import_Index!$I$5:$I$304,0)),F112))</f>
        <v>46041</v>
      </c>
      <c r="F112" s="49">
        <f>IF($AG112="","",INDEX(Import_Index!$D$5:$D$304,$AG112))</f>
        <v>46041</v>
      </c>
      <c r="G112" s="46">
        <f>IF($A112="","",COUNTIFS(Import_Index!$B$5:$B$304,$A112,Import_Index!$C$5:$C$304,"yes"))</f>
        <v>1</v>
      </c>
      <c r="H112" s="46">
        <f>IF($AG112="","",IFERROR(VALUE(INDEX(Kobo_Import!$A$2:$CZ$301,$AG112,Field_Map!$B$16)&amp;""),0))</f>
        <v>5</v>
      </c>
      <c r="I112" s="46" t="str">
        <f>IF($AG112="","",IF(IFERROR(INDEX(Kobo_Import!$A$2:$CZ$301,$AG112,Field_Map!$B$17)&amp;"","")="","",IFERROR(INDEX(Lists!$N$5:$N$19,MATCH(INDEX(Kobo_Import!$A$2:$CZ$301,$AG112,Field_Map!$B$17)&amp;"",Lists!$M$5:$M$19,0)),INDEX(Kobo_Import!$A$2:$CZ$301,$AG112,Field_Map!$B$17)&amp;"")))</f>
        <v>Yes</v>
      </c>
      <c r="J112" s="46">
        <f>IF($AG112="","",IFERROR(VALUE(INDEX(Kobo_Import!$A$2:$CZ$301,$AG112,Field_Map!$B$18)&amp;""),0))</f>
        <v>0</v>
      </c>
      <c r="K112" s="46">
        <f>IF($AG112="","",IFERROR(VALUE(INDEX(Kobo_Import!$A$2:$CZ$301,$AG112,Field_Map!$B$19)&amp;""),0))</f>
        <v>4</v>
      </c>
      <c r="L112" s="46">
        <f>IF($AG112="","",IFERROR(VALUE(INDEX(Kobo_Import!$A$2:$CZ$301,$AG112,Field_Map!$B$20)&amp;""),0))</f>
        <v>1</v>
      </c>
      <c r="M112" s="46">
        <f>IF($AG112="","",IFERROR(VALUE(INDEX(Kobo_Import!$A$2:$CZ$301,$AG112,Field_Map!$B$21)&amp;""),0))</f>
        <v>0</v>
      </c>
      <c r="N112" s="46">
        <f>IF($AG112="","",IFERROR(VALUE(INDEX(Kobo_Import!$A$2:$CZ$301,$AG112,Field_Map!$B$22)&amp;""),0))</f>
        <v>2</v>
      </c>
      <c r="O112" s="46">
        <f>IF($AG112="","",IFERROR(VALUE(INDEX(Kobo_Import!$A$2:$CZ$301,$AG112,Field_Map!$B$23)&amp;""),0))</f>
        <v>0</v>
      </c>
      <c r="P112" s="46">
        <f>IF($AG112="","",IFERROR(VALUE(INDEX(Kobo_Import!$A$2:$CZ$301,$AG112,Field_Map!$B$24)&amp;""),0))</f>
        <v>0</v>
      </c>
      <c r="Q112" s="46">
        <f>IF($AG112="","",IFERROR(VALUE(INDEX(Kobo_Import!$A$2:$CZ$301,$AG112,Field_Map!$B$25)&amp;""),0))</f>
        <v>8</v>
      </c>
      <c r="R112" s="46">
        <f>IF($AG112="","",IFERROR(VALUE(INDEX(Kobo_Import!$A$2:$CZ$301,$AG112,Field_Map!$B$26)&amp;""),0))</f>
        <v>2</v>
      </c>
      <c r="S112" s="46">
        <f>IF($AG112="","",IFERROR(VALUE(INDEX(Kobo_Import!$A$2:$CZ$301,$AG112,Field_Map!$B$27)&amp;""),0))</f>
        <v>1</v>
      </c>
      <c r="T112" s="46">
        <f>IF($AG112="","",IFERROR(VALUE(INDEX(Kobo_Import!$A$2:$CZ$301,$AG112,Field_Map!$B$28)&amp;""),0))</f>
        <v>1</v>
      </c>
      <c r="U112" s="46" t="str">
        <f>IF($AG112="","",IF(IFERROR(INDEX(Kobo_Import!$A$2:$CZ$301,$AG112,Field_Map!$B$29)&amp;"","")="","",IFERROR(INDEX(Lists!$N$5:$N$19,MATCH(INDEX(Kobo_Import!$A$2:$CZ$301,$AG112,Field_Map!$B$29)&amp;"",Lists!$M$5:$M$19,0)),INDEX(Kobo_Import!$A$2:$CZ$301,$AG112,Field_Map!$B$29)&amp;"")))</f>
        <v/>
      </c>
      <c r="V112" s="50">
        <f>IF($A112="","",Settings!$B$5-F112)</f>
        <v>12</v>
      </c>
      <c r="W112" s="46">
        <f>IF($A112="","",(J112&gt;0)*Settings!$B$22+(P112&gt;0)*Settings!$B$23+(M112&gt;0)*Settings!$B$24+(O112&gt;0)*Settings!$B$25+(I112="Yes")*Settings!$B$26+(D112="Unusable")*Settings!$B$27+(D112="Damaged")*Settings!$B$28+(H112&gt;=Settings!$B$30)*Settings!$B$29)</f>
        <v>2</v>
      </c>
      <c r="X112" s="46" t="str">
        <f>IF($A112="","",IF(W112&gt;=Settings!$B$31,"High",IF(W112&gt;=Settings!$B$32,"Medium","Low")))</f>
        <v>Low</v>
      </c>
      <c r="Y112" s="46" t="str">
        <f>IF($A112="","",IF(V112&gt;Settings!$B$21,"Yes",""))</f>
        <v/>
      </c>
      <c r="Z112" s="46">
        <f>IF($A112="","",COUNTIFS(Referrals!$B$5:$B$52,$A112,Referrals!$G$5:$G$52,"Referred")+COUNTIFS(Referrals!$B$5:$B$52,$A112,Referrals!$G$5:$G$52,"Acknowledged"))</f>
        <v>0</v>
      </c>
      <c r="AA112" s="46">
        <f>IF($A112="","",COUNTIFS(Referrals!$B$5:$B$52,$A112,Referrals!$K$5:$K$52,"Overdue"))</f>
        <v>0</v>
      </c>
      <c r="AB112" s="46" t="str">
        <f>IF($A112="","",IF(AND(J112&gt;0,U112="Yes"),IF(COUNTIFS(Referrals!$B$5:$B$52,$A112,Referrals!$D$5:$D$52,"Nutrition / IYCF")=0,"Referral needed","Referred"),""))</f>
        <v/>
      </c>
      <c r="AC112" s="46" t="str">
        <f>IF($A112="","",IF(N(Needs_Gaps!O112)&gt;0,"Yes",""))</f>
        <v/>
      </c>
      <c r="AD112" s="46" t="str">
        <f>IF($A112="","",IF(COUNTIFS(Maintenance_Log!$C$5:$C$40,$A112,Maintenance_Log!$H$5:$H$40,"&lt;&gt;Resolved")&gt;0,"Yes",""))</f>
        <v/>
      </c>
      <c r="AE112" s="46">
        <f t="shared" si="6"/>
        <v>0</v>
      </c>
      <c r="AF112" s="46">
        <f t="shared" si="7"/>
        <v>0</v>
      </c>
      <c r="AG112" s="46">
        <f>IFERROR(MATCH(ROW()-4,Import_Index!$H$5:$H$304,0),"")</f>
        <v>103</v>
      </c>
    </row>
    <row r="113" spans="1:33" x14ac:dyDescent="0.3">
      <c r="A113" s="46" t="str">
        <f>IF($AG113="","",IFERROR(INDEX(Kobo_Import!$A$2:$CZ$301,$AG113,Field_Map!$B$13)&amp;"",""))</f>
        <v>HH-109</v>
      </c>
      <c r="B113" s="46" t="str">
        <f>IF($AG113="","",IF(IFERROR(INDEX(Kobo_Import!$A$2:$CZ$301,$AG113,Field_Map!$B$9)&amp;"","")="","",IFERROR(INDEX(Lists!$N$5:$N$19,MATCH(INDEX(Kobo_Import!$A$2:$CZ$301,$AG113,Field_Map!$B$9)&amp;"",Lists!$M$5:$M$19,0)),INDEX(Kobo_Import!$A$2:$CZ$301,$AG113,Field_Map!$B$9)&amp;"")))</f>
        <v>Site D – Collective Centre</v>
      </c>
      <c r="C113" s="46" t="str">
        <f>IF($AG113="","",IF(IFERROR(INDEX(Kobo_Import!$A$2:$CZ$301,$AG113,Field_Map!$B$14)&amp;"","")="","",IFERROR(INDEX(Lists!$N$5:$N$19,MATCH(INDEX(Kobo_Import!$A$2:$CZ$301,$AG113,Field_Map!$B$14)&amp;"",Lists!$M$5:$M$19,0)),INDEX(Kobo_Import!$A$2:$CZ$301,$AG113,Field_Map!$B$14)&amp;"")))</f>
        <v>Collective room</v>
      </c>
      <c r="D113" s="46" t="str">
        <f>IF($AG113="","",IF(IFERROR(INDEX(Kobo_Import!$A$2:$CZ$301,$AG113,Field_Map!$B$15)&amp;"","")="","",IFERROR(INDEX(Lists!$N$5:$N$19,MATCH(INDEX(Kobo_Import!$A$2:$CZ$301,$AG113,Field_Map!$B$15)&amp;"",Lists!$M$5:$M$19,0)),INDEX(Kobo_Import!$A$2:$CZ$301,$AG113,Field_Map!$B$15)&amp;"")))</f>
        <v>Damaged</v>
      </c>
      <c r="E113" s="49">
        <f>IF($A113="","",IFERROR(INDEX(Import_Index!$D$5:$D$304,MATCH($A113&amp;"|registration",Import_Index!$I$5:$I$304,0)),F113))</f>
        <v>46035</v>
      </c>
      <c r="F113" s="49">
        <f>IF($AG113="","",INDEX(Import_Index!$D$5:$D$304,$AG113))</f>
        <v>46035</v>
      </c>
      <c r="G113" s="46">
        <f>IF($A113="","",COUNTIFS(Import_Index!$B$5:$B$304,$A113,Import_Index!$C$5:$C$304,"yes"))</f>
        <v>1</v>
      </c>
      <c r="H113" s="46">
        <f>IF($AG113="","",IFERROR(VALUE(INDEX(Kobo_Import!$A$2:$CZ$301,$AG113,Field_Map!$B$16)&amp;""),0))</f>
        <v>7</v>
      </c>
      <c r="I113" s="46" t="str">
        <f>IF($AG113="","",IF(IFERROR(INDEX(Kobo_Import!$A$2:$CZ$301,$AG113,Field_Map!$B$17)&amp;"","")="","",IFERROR(INDEX(Lists!$N$5:$N$19,MATCH(INDEX(Kobo_Import!$A$2:$CZ$301,$AG113,Field_Map!$B$17)&amp;"",Lists!$M$5:$M$19,0)),INDEX(Kobo_Import!$A$2:$CZ$301,$AG113,Field_Map!$B$17)&amp;"")))</f>
        <v>Yes</v>
      </c>
      <c r="J113" s="46">
        <f>IF($AG113="","",IFERROR(VALUE(INDEX(Kobo_Import!$A$2:$CZ$301,$AG113,Field_Map!$B$18)&amp;""),0))</f>
        <v>0</v>
      </c>
      <c r="K113" s="46">
        <f>IF($AG113="","",IFERROR(VALUE(INDEX(Kobo_Import!$A$2:$CZ$301,$AG113,Field_Map!$B$19)&amp;""),0))</f>
        <v>6</v>
      </c>
      <c r="L113" s="46">
        <f>IF($AG113="","",IFERROR(VALUE(INDEX(Kobo_Import!$A$2:$CZ$301,$AG113,Field_Map!$B$20)&amp;""),0))</f>
        <v>1</v>
      </c>
      <c r="M113" s="46">
        <f>IF($AG113="","",IFERROR(VALUE(INDEX(Kobo_Import!$A$2:$CZ$301,$AG113,Field_Map!$B$21)&amp;""),0))</f>
        <v>0</v>
      </c>
      <c r="N113" s="46">
        <f>IF($AG113="","",IFERROR(VALUE(INDEX(Kobo_Import!$A$2:$CZ$301,$AG113,Field_Map!$B$22)&amp;""),0))</f>
        <v>2</v>
      </c>
      <c r="O113" s="46">
        <f>IF($AG113="","",IFERROR(VALUE(INDEX(Kobo_Import!$A$2:$CZ$301,$AG113,Field_Map!$B$23)&amp;""),0))</f>
        <v>0</v>
      </c>
      <c r="P113" s="46">
        <f>IF($AG113="","",IFERROR(VALUE(INDEX(Kobo_Import!$A$2:$CZ$301,$AG113,Field_Map!$B$24)&amp;""),0))</f>
        <v>0</v>
      </c>
      <c r="Q113" s="46">
        <f>IF($AG113="","",IFERROR(VALUE(INDEX(Kobo_Import!$A$2:$CZ$301,$AG113,Field_Map!$B$25)&amp;""),0))</f>
        <v>10</v>
      </c>
      <c r="R113" s="46">
        <f>IF($AG113="","",IFERROR(VALUE(INDEX(Kobo_Import!$A$2:$CZ$301,$AG113,Field_Map!$B$26)&amp;""),0))</f>
        <v>1</v>
      </c>
      <c r="S113" s="46">
        <f>IF($AG113="","",IFERROR(VALUE(INDEX(Kobo_Import!$A$2:$CZ$301,$AG113,Field_Map!$B$27)&amp;""),0))</f>
        <v>4</v>
      </c>
      <c r="T113" s="46">
        <f>IF($AG113="","",IFERROR(VALUE(INDEX(Kobo_Import!$A$2:$CZ$301,$AG113,Field_Map!$B$28)&amp;""),0))</f>
        <v>0</v>
      </c>
      <c r="U113" s="46" t="str">
        <f>IF($AG113="","",IF(IFERROR(INDEX(Kobo_Import!$A$2:$CZ$301,$AG113,Field_Map!$B$29)&amp;"","")="","",IFERROR(INDEX(Lists!$N$5:$N$19,MATCH(INDEX(Kobo_Import!$A$2:$CZ$301,$AG113,Field_Map!$B$29)&amp;"",Lists!$M$5:$M$19,0)),INDEX(Kobo_Import!$A$2:$CZ$301,$AG113,Field_Map!$B$29)&amp;"")))</f>
        <v/>
      </c>
      <c r="V113" s="50">
        <f>IF($A113="","",Settings!$B$5-F113)</f>
        <v>18</v>
      </c>
      <c r="W113" s="46">
        <f>IF($A113="","",(J113&gt;0)*Settings!$B$22+(P113&gt;0)*Settings!$B$23+(M113&gt;0)*Settings!$B$24+(O113&gt;0)*Settings!$B$25+(I113="Yes")*Settings!$B$26+(D113="Unusable")*Settings!$B$27+(D113="Damaged")*Settings!$B$28+(H113&gt;=Settings!$B$30)*Settings!$B$29)</f>
        <v>2</v>
      </c>
      <c r="X113" s="46" t="str">
        <f>IF($A113="","",IF(W113&gt;=Settings!$B$31,"High",IF(W113&gt;=Settings!$B$32,"Medium","Low")))</f>
        <v>Low</v>
      </c>
      <c r="Y113" s="46" t="str">
        <f>IF($A113="","",IF(V113&gt;Settings!$B$21,"Yes",""))</f>
        <v/>
      </c>
      <c r="Z113" s="46">
        <f>IF($A113="","",COUNTIFS(Referrals!$B$5:$B$52,$A113,Referrals!$G$5:$G$52,"Referred")+COUNTIFS(Referrals!$B$5:$B$52,$A113,Referrals!$G$5:$G$52,"Acknowledged"))</f>
        <v>0</v>
      </c>
      <c r="AA113" s="46">
        <f>IF($A113="","",COUNTIFS(Referrals!$B$5:$B$52,$A113,Referrals!$K$5:$K$52,"Overdue"))</f>
        <v>0</v>
      </c>
      <c r="AB113" s="46" t="str">
        <f>IF($A113="","",IF(AND(J113&gt;0,U113="Yes"),IF(COUNTIFS(Referrals!$B$5:$B$52,$A113,Referrals!$D$5:$D$52,"Nutrition / IYCF")=0,"Referral needed","Referred"),""))</f>
        <v/>
      </c>
      <c r="AC113" s="46" t="str">
        <f>IF($A113="","",IF(N(Needs_Gaps!O113)&gt;0,"Yes",""))</f>
        <v/>
      </c>
      <c r="AD113" s="46" t="str">
        <f>IF($A113="","",IF(COUNTIFS(Maintenance_Log!$C$5:$C$40,$A113,Maintenance_Log!$H$5:$H$40,"&lt;&gt;Resolved")&gt;0,"Yes",""))</f>
        <v/>
      </c>
      <c r="AE113" s="46">
        <f t="shared" si="6"/>
        <v>0</v>
      </c>
      <c r="AF113" s="46">
        <f t="shared" si="7"/>
        <v>0</v>
      </c>
      <c r="AG113" s="46">
        <f>IFERROR(MATCH(ROW()-4,Import_Index!$H$5:$H$304,0),"")</f>
        <v>78</v>
      </c>
    </row>
    <row r="114" spans="1:33" x14ac:dyDescent="0.3">
      <c r="A114" s="46" t="str">
        <f>IF($AG114="","",IFERROR(INDEX(Kobo_Import!$A$2:$CZ$301,$AG114,Field_Map!$B$13)&amp;"",""))</f>
        <v>HH-110</v>
      </c>
      <c r="B114" s="46" t="str">
        <f>IF($AG114="","",IF(IFERROR(INDEX(Kobo_Import!$A$2:$CZ$301,$AG114,Field_Map!$B$9)&amp;"","")="","",IFERROR(INDEX(Lists!$N$5:$N$19,MATCH(INDEX(Kobo_Import!$A$2:$CZ$301,$AG114,Field_Map!$B$9)&amp;"",Lists!$M$5:$M$19,0)),INDEX(Kobo_Import!$A$2:$CZ$301,$AG114,Field_Map!$B$9)&amp;"")))</f>
        <v>Site D – Collective Centre</v>
      </c>
      <c r="C114" s="46" t="str">
        <f>IF($AG114="","",IF(IFERROR(INDEX(Kobo_Import!$A$2:$CZ$301,$AG114,Field_Map!$B$14)&amp;"","")="","",IFERROR(INDEX(Lists!$N$5:$N$19,MATCH(INDEX(Kobo_Import!$A$2:$CZ$301,$AG114,Field_Map!$B$14)&amp;"",Lists!$M$5:$M$19,0)),INDEX(Kobo_Import!$A$2:$CZ$301,$AG114,Field_Map!$B$14)&amp;"")))</f>
        <v>Collective room</v>
      </c>
      <c r="D114" s="46" t="str">
        <f>IF($AG114="","",IF(IFERROR(INDEX(Kobo_Import!$A$2:$CZ$301,$AG114,Field_Map!$B$15)&amp;"","")="","",IFERROR(INDEX(Lists!$N$5:$N$19,MATCH(INDEX(Kobo_Import!$A$2:$CZ$301,$AG114,Field_Map!$B$15)&amp;"",Lists!$M$5:$M$19,0)),INDEX(Kobo_Import!$A$2:$CZ$301,$AG114,Field_Map!$B$15)&amp;"")))</f>
        <v>Adequate</v>
      </c>
      <c r="E114" s="49">
        <f>IF($A114="","",IFERROR(INDEX(Import_Index!$D$5:$D$304,MATCH($A114&amp;"|registration",Import_Index!$I$5:$I$304,0)),F114))</f>
        <v>46032</v>
      </c>
      <c r="F114" s="49">
        <f>IF($AG114="","",INDEX(Import_Index!$D$5:$D$304,$AG114))</f>
        <v>46032</v>
      </c>
      <c r="G114" s="46">
        <f>IF($A114="","",COUNTIFS(Import_Index!$B$5:$B$304,$A114,Import_Index!$C$5:$C$304,"yes"))</f>
        <v>1</v>
      </c>
      <c r="H114" s="46">
        <f>IF($AG114="","",IFERROR(VALUE(INDEX(Kobo_Import!$A$2:$CZ$301,$AG114,Field_Map!$B$16)&amp;""),0))</f>
        <v>5</v>
      </c>
      <c r="I114" s="46" t="str">
        <f>IF($AG114="","",IF(IFERROR(INDEX(Kobo_Import!$A$2:$CZ$301,$AG114,Field_Map!$B$17)&amp;"","")="","",IFERROR(INDEX(Lists!$N$5:$N$19,MATCH(INDEX(Kobo_Import!$A$2:$CZ$301,$AG114,Field_Map!$B$17)&amp;"",Lists!$M$5:$M$19,0)),INDEX(Kobo_Import!$A$2:$CZ$301,$AG114,Field_Map!$B$17)&amp;"")))</f>
        <v>No</v>
      </c>
      <c r="J114" s="46">
        <f>IF($AG114="","",IFERROR(VALUE(INDEX(Kobo_Import!$A$2:$CZ$301,$AG114,Field_Map!$B$18)&amp;""),0))</f>
        <v>1</v>
      </c>
      <c r="K114" s="46">
        <f>IF($AG114="","",IFERROR(VALUE(INDEX(Kobo_Import!$A$2:$CZ$301,$AG114,Field_Map!$B$19)&amp;""),0))</f>
        <v>1</v>
      </c>
      <c r="L114" s="46">
        <f>IF($AG114="","",IFERROR(VALUE(INDEX(Kobo_Import!$A$2:$CZ$301,$AG114,Field_Map!$B$20)&amp;""),0))</f>
        <v>2</v>
      </c>
      <c r="M114" s="46">
        <f>IF($AG114="","",IFERROR(VALUE(INDEX(Kobo_Import!$A$2:$CZ$301,$AG114,Field_Map!$B$21)&amp;""),0))</f>
        <v>1</v>
      </c>
      <c r="N114" s="46">
        <f>IF($AG114="","",IFERROR(VALUE(INDEX(Kobo_Import!$A$2:$CZ$301,$AG114,Field_Map!$B$22)&amp;""),0))</f>
        <v>1</v>
      </c>
      <c r="O114" s="46">
        <f>IF($AG114="","",IFERROR(VALUE(INDEX(Kobo_Import!$A$2:$CZ$301,$AG114,Field_Map!$B$23)&amp;""),0))</f>
        <v>1</v>
      </c>
      <c r="P114" s="46">
        <f>IF($AG114="","",IFERROR(VALUE(INDEX(Kobo_Import!$A$2:$CZ$301,$AG114,Field_Map!$B$24)&amp;""),0))</f>
        <v>1</v>
      </c>
      <c r="Q114" s="46">
        <f>IF($AG114="","",IFERROR(VALUE(INDEX(Kobo_Import!$A$2:$CZ$301,$AG114,Field_Map!$B$25)&amp;""),0))</f>
        <v>4</v>
      </c>
      <c r="R114" s="46">
        <f>IF($AG114="","",IFERROR(VALUE(INDEX(Kobo_Import!$A$2:$CZ$301,$AG114,Field_Map!$B$26)&amp;""),0))</f>
        <v>3</v>
      </c>
      <c r="S114" s="46">
        <f>IF($AG114="","",IFERROR(VALUE(INDEX(Kobo_Import!$A$2:$CZ$301,$AG114,Field_Map!$B$27)&amp;""),0))</f>
        <v>2</v>
      </c>
      <c r="T114" s="46">
        <f>IF($AG114="","",IFERROR(VALUE(INDEX(Kobo_Import!$A$2:$CZ$301,$AG114,Field_Map!$B$28)&amp;""),0))</f>
        <v>1</v>
      </c>
      <c r="U114" s="46" t="str">
        <f>IF($AG114="","",IF(IFERROR(INDEX(Kobo_Import!$A$2:$CZ$301,$AG114,Field_Map!$B$29)&amp;"","")="","",IFERROR(INDEX(Lists!$N$5:$N$19,MATCH(INDEX(Kobo_Import!$A$2:$CZ$301,$AG114,Field_Map!$B$29)&amp;"",Lists!$M$5:$M$19,0)),INDEX(Kobo_Import!$A$2:$CZ$301,$AG114,Field_Map!$B$29)&amp;"")))</f>
        <v>No</v>
      </c>
      <c r="V114" s="50">
        <f>IF($A114="","",Settings!$B$5-F114)</f>
        <v>21</v>
      </c>
      <c r="W114" s="46">
        <f>IF($A114="","",(J114&gt;0)*Settings!$B$22+(P114&gt;0)*Settings!$B$23+(M114&gt;0)*Settings!$B$24+(O114&gt;0)*Settings!$B$25+(I114="Yes")*Settings!$B$26+(D114="Unusable")*Settings!$B$27+(D114="Damaged")*Settings!$B$28+(H114&gt;=Settings!$B$30)*Settings!$B$29)</f>
        <v>6</v>
      </c>
      <c r="X114" s="46" t="str">
        <f>IF($A114="","",IF(W114&gt;=Settings!$B$31,"High",IF(W114&gt;=Settings!$B$32,"Medium","Low")))</f>
        <v>High</v>
      </c>
      <c r="Y114" s="46" t="str">
        <f>IF($A114="","",IF(V114&gt;Settings!$B$21,"Yes",""))</f>
        <v/>
      </c>
      <c r="Z114" s="46">
        <f>IF($A114="","",COUNTIFS(Referrals!$B$5:$B$52,$A114,Referrals!$G$5:$G$52,"Referred")+COUNTIFS(Referrals!$B$5:$B$52,$A114,Referrals!$G$5:$G$52,"Acknowledged"))</f>
        <v>0</v>
      </c>
      <c r="AA114" s="46">
        <f>IF($A114="","",COUNTIFS(Referrals!$B$5:$B$52,$A114,Referrals!$K$5:$K$52,"Overdue"))</f>
        <v>0</v>
      </c>
      <c r="AB114" s="46" t="str">
        <f>IF($A114="","",IF(AND(J114&gt;0,U114="Yes"),IF(COUNTIFS(Referrals!$B$5:$B$52,$A114,Referrals!$D$5:$D$52,"Nutrition / IYCF")=0,"Referral needed","Referred"),""))</f>
        <v/>
      </c>
      <c r="AC114" s="46" t="str">
        <f>IF($A114="","",IF(N(Needs_Gaps!O114)&gt;0,"Yes",""))</f>
        <v/>
      </c>
      <c r="AD114" s="46" t="str">
        <f>IF($A114="","",IF(COUNTIFS(Maintenance_Log!$C$5:$C$40,$A114,Maintenance_Log!$H$5:$H$40,"&lt;&gt;Resolved")&gt;0,"Yes",""))</f>
        <v/>
      </c>
      <c r="AE114" s="46">
        <f t="shared" si="6"/>
        <v>0</v>
      </c>
      <c r="AF114" s="46">
        <f t="shared" si="7"/>
        <v>0</v>
      </c>
      <c r="AG114" s="46">
        <f>IFERROR(MATCH(ROW()-4,Import_Index!$H$5:$H$304,0),"")</f>
        <v>69</v>
      </c>
    </row>
    <row r="115" spans="1:33" x14ac:dyDescent="0.3">
      <c r="A115" s="46" t="str">
        <f>IF($AG115="","",IFERROR(INDEX(Kobo_Import!$A$2:$CZ$301,$AG115,Field_Map!$B$13)&amp;"",""))</f>
        <v>HH-111</v>
      </c>
      <c r="B115" s="46" t="str">
        <f>IF($AG115="","",IF(IFERROR(INDEX(Kobo_Import!$A$2:$CZ$301,$AG115,Field_Map!$B$9)&amp;"","")="","",IFERROR(INDEX(Lists!$N$5:$N$19,MATCH(INDEX(Kobo_Import!$A$2:$CZ$301,$AG115,Field_Map!$B$9)&amp;"",Lists!$M$5:$M$19,0)),INDEX(Kobo_Import!$A$2:$CZ$301,$AG115,Field_Map!$B$9)&amp;"")))</f>
        <v>Site D – Collective Centre</v>
      </c>
      <c r="C115" s="46" t="str">
        <f>IF($AG115="","",IF(IFERROR(INDEX(Kobo_Import!$A$2:$CZ$301,$AG115,Field_Map!$B$14)&amp;"","")="","",IFERROR(INDEX(Lists!$N$5:$N$19,MATCH(INDEX(Kobo_Import!$A$2:$CZ$301,$AG115,Field_Map!$B$14)&amp;"",Lists!$M$5:$M$19,0)),INDEX(Kobo_Import!$A$2:$CZ$301,$AG115,Field_Map!$B$14)&amp;"")))</f>
        <v>Collective room</v>
      </c>
      <c r="D115" s="46" t="str">
        <f>IF($AG115="","",IF(IFERROR(INDEX(Kobo_Import!$A$2:$CZ$301,$AG115,Field_Map!$B$15)&amp;"","")="","",IFERROR(INDEX(Lists!$N$5:$N$19,MATCH(INDEX(Kobo_Import!$A$2:$CZ$301,$AG115,Field_Map!$B$15)&amp;"",Lists!$M$5:$M$19,0)),INDEX(Kobo_Import!$A$2:$CZ$301,$AG115,Field_Map!$B$15)&amp;"")))</f>
        <v>Adequate</v>
      </c>
      <c r="E115" s="49">
        <f>IF($A115="","",IFERROR(INDEX(Import_Index!$D$5:$D$304,MATCH($A115&amp;"|registration",Import_Index!$I$5:$I$304,0)),F115))</f>
        <v>46011</v>
      </c>
      <c r="F115" s="49">
        <f>IF($AG115="","",INDEX(Import_Index!$D$5:$D$304,$AG115))</f>
        <v>46011</v>
      </c>
      <c r="G115" s="46">
        <f>IF($A115="","",COUNTIFS(Import_Index!$B$5:$B$304,$A115,Import_Index!$C$5:$C$304,"yes"))</f>
        <v>1</v>
      </c>
      <c r="H115" s="46">
        <f>IF($AG115="","",IFERROR(VALUE(INDEX(Kobo_Import!$A$2:$CZ$301,$AG115,Field_Map!$B$16)&amp;""),0))</f>
        <v>7</v>
      </c>
      <c r="I115" s="46" t="str">
        <f>IF($AG115="","",IF(IFERROR(INDEX(Kobo_Import!$A$2:$CZ$301,$AG115,Field_Map!$B$17)&amp;"","")="","",IFERROR(INDEX(Lists!$N$5:$N$19,MATCH(INDEX(Kobo_Import!$A$2:$CZ$301,$AG115,Field_Map!$B$17)&amp;"",Lists!$M$5:$M$19,0)),INDEX(Kobo_Import!$A$2:$CZ$301,$AG115,Field_Map!$B$17)&amp;"")))</f>
        <v>No</v>
      </c>
      <c r="J115" s="46">
        <f>IF($AG115="","",IFERROR(VALUE(INDEX(Kobo_Import!$A$2:$CZ$301,$AG115,Field_Map!$B$18)&amp;""),0))</f>
        <v>1</v>
      </c>
      <c r="K115" s="46">
        <f>IF($AG115="","",IFERROR(VALUE(INDEX(Kobo_Import!$A$2:$CZ$301,$AG115,Field_Map!$B$19)&amp;""),0))</f>
        <v>2</v>
      </c>
      <c r="L115" s="46">
        <f>IF($AG115="","",IFERROR(VALUE(INDEX(Kobo_Import!$A$2:$CZ$301,$AG115,Field_Map!$B$20)&amp;""),0))</f>
        <v>3</v>
      </c>
      <c r="M115" s="46">
        <f>IF($AG115="","",IFERROR(VALUE(INDEX(Kobo_Import!$A$2:$CZ$301,$AG115,Field_Map!$B$21)&amp;""),0))</f>
        <v>1</v>
      </c>
      <c r="N115" s="46">
        <f>IF($AG115="","",IFERROR(VALUE(INDEX(Kobo_Import!$A$2:$CZ$301,$AG115,Field_Map!$B$22)&amp;""),0))</f>
        <v>2</v>
      </c>
      <c r="O115" s="46">
        <f>IF($AG115="","",IFERROR(VALUE(INDEX(Kobo_Import!$A$2:$CZ$301,$AG115,Field_Map!$B$23)&amp;""),0))</f>
        <v>1</v>
      </c>
      <c r="P115" s="46">
        <f>IF($AG115="","",IFERROR(VALUE(INDEX(Kobo_Import!$A$2:$CZ$301,$AG115,Field_Map!$B$24)&amp;""),0))</f>
        <v>0</v>
      </c>
      <c r="Q115" s="46">
        <f>IF($AG115="","",IFERROR(VALUE(INDEX(Kobo_Import!$A$2:$CZ$301,$AG115,Field_Map!$B$25)&amp;""),0))</f>
        <v>1</v>
      </c>
      <c r="R115" s="46">
        <f>IF($AG115="","",IFERROR(VALUE(INDEX(Kobo_Import!$A$2:$CZ$301,$AG115,Field_Map!$B$26)&amp;""),0))</f>
        <v>5</v>
      </c>
      <c r="S115" s="46">
        <f>IF($AG115="","",IFERROR(VALUE(INDEX(Kobo_Import!$A$2:$CZ$301,$AG115,Field_Map!$B$27)&amp;""),0))</f>
        <v>2</v>
      </c>
      <c r="T115" s="46">
        <f>IF($AG115="","",IFERROR(VALUE(INDEX(Kobo_Import!$A$2:$CZ$301,$AG115,Field_Map!$B$28)&amp;""),0))</f>
        <v>2</v>
      </c>
      <c r="U115" s="46" t="str">
        <f>IF($AG115="","",IF(IFERROR(INDEX(Kobo_Import!$A$2:$CZ$301,$AG115,Field_Map!$B$29)&amp;"","")="","",IFERROR(INDEX(Lists!$N$5:$N$19,MATCH(INDEX(Kobo_Import!$A$2:$CZ$301,$AG115,Field_Map!$B$29)&amp;"",Lists!$M$5:$M$19,0)),INDEX(Kobo_Import!$A$2:$CZ$301,$AG115,Field_Map!$B$29)&amp;"")))</f>
        <v>No</v>
      </c>
      <c r="V115" s="50">
        <f>IF($A115="","",Settings!$B$5-F115)</f>
        <v>42</v>
      </c>
      <c r="W115" s="46">
        <f>IF($A115="","",(J115&gt;0)*Settings!$B$22+(P115&gt;0)*Settings!$B$23+(M115&gt;0)*Settings!$B$24+(O115&gt;0)*Settings!$B$25+(I115="Yes")*Settings!$B$26+(D115="Unusable")*Settings!$B$27+(D115="Damaged")*Settings!$B$28+(H115&gt;=Settings!$B$30)*Settings!$B$29)</f>
        <v>4</v>
      </c>
      <c r="X115" s="46" t="str">
        <f>IF($A115="","",IF(W115&gt;=Settings!$B$31,"High",IF(W115&gt;=Settings!$B$32,"Medium","Low")))</f>
        <v>Medium</v>
      </c>
      <c r="Y115" s="46" t="str">
        <f>IF($A115="","",IF(V115&gt;Settings!$B$21,"Yes",""))</f>
        <v>Yes</v>
      </c>
      <c r="Z115" s="46">
        <f>IF($A115="","",COUNTIFS(Referrals!$B$5:$B$52,$A115,Referrals!$G$5:$G$52,"Referred")+COUNTIFS(Referrals!$B$5:$B$52,$A115,Referrals!$G$5:$G$52,"Acknowledged"))</f>
        <v>0</v>
      </c>
      <c r="AA115" s="46">
        <f>IF($A115="","",COUNTIFS(Referrals!$B$5:$B$52,$A115,Referrals!$K$5:$K$52,"Overdue"))</f>
        <v>0</v>
      </c>
      <c r="AB115" s="46" t="str">
        <f>IF($A115="","",IF(AND(J115&gt;0,U115="Yes"),IF(COUNTIFS(Referrals!$B$5:$B$52,$A115,Referrals!$D$5:$D$52,"Nutrition / IYCF")=0,"Referral needed","Referred"),""))</f>
        <v/>
      </c>
      <c r="AC115" s="46" t="str">
        <f>IF($A115="","",IF(N(Needs_Gaps!O115)&gt;0,"Yes",""))</f>
        <v/>
      </c>
      <c r="AD115" s="46" t="str">
        <f>IF($A115="","",IF(COUNTIFS(Maintenance_Log!$C$5:$C$40,$A115,Maintenance_Log!$H$5:$H$40,"&lt;&gt;Resolved")&gt;0,"Yes",""))</f>
        <v/>
      </c>
      <c r="AE115" s="46">
        <f t="shared" si="6"/>
        <v>1</v>
      </c>
      <c r="AF115" s="46">
        <f t="shared" si="7"/>
        <v>104889</v>
      </c>
      <c r="AG115" s="46">
        <f>IFERROR(MATCH(ROW()-4,Import_Index!$H$5:$H$304,0),"")</f>
        <v>15</v>
      </c>
    </row>
    <row r="116" spans="1:33" x14ac:dyDescent="0.3">
      <c r="A116" s="46" t="str">
        <f>IF($AG116="","",IFERROR(INDEX(Kobo_Import!$A$2:$CZ$301,$AG116,Field_Map!$B$13)&amp;"",""))</f>
        <v>HH-112</v>
      </c>
      <c r="B116" s="46" t="str">
        <f>IF($AG116="","",IF(IFERROR(INDEX(Kobo_Import!$A$2:$CZ$301,$AG116,Field_Map!$B$9)&amp;"","")="","",IFERROR(INDEX(Lists!$N$5:$N$19,MATCH(INDEX(Kobo_Import!$A$2:$CZ$301,$AG116,Field_Map!$B$9)&amp;"",Lists!$M$5:$M$19,0)),INDEX(Kobo_Import!$A$2:$CZ$301,$AG116,Field_Map!$B$9)&amp;"")))</f>
        <v>Site D – Collective Centre</v>
      </c>
      <c r="C116" s="46" t="str">
        <f>IF($AG116="","",IF(IFERROR(INDEX(Kobo_Import!$A$2:$CZ$301,$AG116,Field_Map!$B$14)&amp;"","")="","",IFERROR(INDEX(Lists!$N$5:$N$19,MATCH(INDEX(Kobo_Import!$A$2:$CZ$301,$AG116,Field_Map!$B$14)&amp;"",Lists!$M$5:$M$19,0)),INDEX(Kobo_Import!$A$2:$CZ$301,$AG116,Field_Map!$B$14)&amp;"")))</f>
        <v>Collective room</v>
      </c>
      <c r="D116" s="46" t="str">
        <f>IF($AG116="","",IF(IFERROR(INDEX(Kobo_Import!$A$2:$CZ$301,$AG116,Field_Map!$B$15)&amp;"","")="","",IFERROR(INDEX(Lists!$N$5:$N$19,MATCH(INDEX(Kobo_Import!$A$2:$CZ$301,$AG116,Field_Map!$B$15)&amp;"",Lists!$M$5:$M$19,0)),INDEX(Kobo_Import!$A$2:$CZ$301,$AG116,Field_Map!$B$15)&amp;"")))</f>
        <v>Adequate</v>
      </c>
      <c r="E116" s="49">
        <f>IF($A116="","",IFERROR(INDEX(Import_Index!$D$5:$D$304,MATCH($A116&amp;"|registration",Import_Index!$I$5:$I$304,0)),F116))</f>
        <v>46045</v>
      </c>
      <c r="F116" s="49">
        <f>IF($AG116="","",INDEX(Import_Index!$D$5:$D$304,$AG116))</f>
        <v>46045</v>
      </c>
      <c r="G116" s="46">
        <f>IF($A116="","",COUNTIFS(Import_Index!$B$5:$B$304,$A116,Import_Index!$C$5:$C$304,"yes"))</f>
        <v>1</v>
      </c>
      <c r="H116" s="46">
        <f>IF($AG116="","",IFERROR(VALUE(INDEX(Kobo_Import!$A$2:$CZ$301,$AG116,Field_Map!$B$16)&amp;""),0))</f>
        <v>4</v>
      </c>
      <c r="I116" s="46" t="str">
        <f>IF($AG116="","",IF(IFERROR(INDEX(Kobo_Import!$A$2:$CZ$301,$AG116,Field_Map!$B$17)&amp;"","")="","",IFERROR(INDEX(Lists!$N$5:$N$19,MATCH(INDEX(Kobo_Import!$A$2:$CZ$301,$AG116,Field_Map!$B$17)&amp;"",Lists!$M$5:$M$19,0)),INDEX(Kobo_Import!$A$2:$CZ$301,$AG116,Field_Map!$B$17)&amp;"")))</f>
        <v>No</v>
      </c>
      <c r="J116" s="46">
        <f>IF($AG116="","",IFERROR(VALUE(INDEX(Kobo_Import!$A$2:$CZ$301,$AG116,Field_Map!$B$18)&amp;""),0))</f>
        <v>0</v>
      </c>
      <c r="K116" s="46">
        <f>IF($AG116="","",IFERROR(VALUE(INDEX(Kobo_Import!$A$2:$CZ$301,$AG116,Field_Map!$B$19)&amp;""),0))</f>
        <v>1</v>
      </c>
      <c r="L116" s="46">
        <f>IF($AG116="","",IFERROR(VALUE(INDEX(Kobo_Import!$A$2:$CZ$301,$AG116,Field_Map!$B$20)&amp;""),0))</f>
        <v>2</v>
      </c>
      <c r="M116" s="46">
        <f>IF($AG116="","",IFERROR(VALUE(INDEX(Kobo_Import!$A$2:$CZ$301,$AG116,Field_Map!$B$21)&amp;""),0))</f>
        <v>1</v>
      </c>
      <c r="N116" s="46">
        <f>IF($AG116="","",IFERROR(VALUE(INDEX(Kobo_Import!$A$2:$CZ$301,$AG116,Field_Map!$B$22)&amp;""),0))</f>
        <v>1</v>
      </c>
      <c r="O116" s="46">
        <f>IF($AG116="","",IFERROR(VALUE(INDEX(Kobo_Import!$A$2:$CZ$301,$AG116,Field_Map!$B$23)&amp;""),0))</f>
        <v>0</v>
      </c>
      <c r="P116" s="46">
        <f>IF($AG116="","",IFERROR(VALUE(INDEX(Kobo_Import!$A$2:$CZ$301,$AG116,Field_Map!$B$24)&amp;""),0))</f>
        <v>1</v>
      </c>
      <c r="Q116" s="46">
        <f>IF($AG116="","",IFERROR(VALUE(INDEX(Kobo_Import!$A$2:$CZ$301,$AG116,Field_Map!$B$25)&amp;""),0))</f>
        <v>3</v>
      </c>
      <c r="R116" s="46">
        <f>IF($AG116="","",IFERROR(VALUE(INDEX(Kobo_Import!$A$2:$CZ$301,$AG116,Field_Map!$B$26)&amp;""),0))</f>
        <v>0</v>
      </c>
      <c r="S116" s="46">
        <f>IF($AG116="","",IFERROR(VALUE(INDEX(Kobo_Import!$A$2:$CZ$301,$AG116,Field_Map!$B$27)&amp;""),0))</f>
        <v>0</v>
      </c>
      <c r="T116" s="46">
        <f>IF($AG116="","",IFERROR(VALUE(INDEX(Kobo_Import!$A$2:$CZ$301,$AG116,Field_Map!$B$28)&amp;""),0))</f>
        <v>3</v>
      </c>
      <c r="U116" s="46" t="str">
        <f>IF($AG116="","",IF(IFERROR(INDEX(Kobo_Import!$A$2:$CZ$301,$AG116,Field_Map!$B$29)&amp;"","")="","",IFERROR(INDEX(Lists!$N$5:$N$19,MATCH(INDEX(Kobo_Import!$A$2:$CZ$301,$AG116,Field_Map!$B$29)&amp;"",Lists!$M$5:$M$19,0)),INDEX(Kobo_Import!$A$2:$CZ$301,$AG116,Field_Map!$B$29)&amp;"")))</f>
        <v/>
      </c>
      <c r="V116" s="50">
        <f>IF($A116="","",Settings!$B$5-F116)</f>
        <v>8</v>
      </c>
      <c r="W116" s="46">
        <f>IF($A116="","",(J116&gt;0)*Settings!$B$22+(P116&gt;0)*Settings!$B$23+(M116&gt;0)*Settings!$B$24+(O116&gt;0)*Settings!$B$25+(I116="Yes")*Settings!$B$26+(D116="Unusable")*Settings!$B$27+(D116="Damaged")*Settings!$B$28+(H116&gt;=Settings!$B$30)*Settings!$B$29)</f>
        <v>3</v>
      </c>
      <c r="X116" s="46" t="str">
        <f>IF($A116="","",IF(W116&gt;=Settings!$B$31,"High",IF(W116&gt;=Settings!$B$32,"Medium","Low")))</f>
        <v>Medium</v>
      </c>
      <c r="Y116" s="46" t="str">
        <f>IF($A116="","",IF(V116&gt;Settings!$B$21,"Yes",""))</f>
        <v/>
      </c>
      <c r="Z116" s="46">
        <f>IF($A116="","",COUNTIFS(Referrals!$B$5:$B$52,$A116,Referrals!$G$5:$G$52,"Referred")+COUNTIFS(Referrals!$B$5:$B$52,$A116,Referrals!$G$5:$G$52,"Acknowledged"))</f>
        <v>2</v>
      </c>
      <c r="AA116" s="46">
        <f>IF($A116="","",COUNTIFS(Referrals!$B$5:$B$52,$A116,Referrals!$K$5:$K$52,"Overdue"))</f>
        <v>0</v>
      </c>
      <c r="AB116" s="46" t="str">
        <f>IF($A116="","",IF(AND(J116&gt;0,U116="Yes"),IF(COUNTIFS(Referrals!$B$5:$B$52,$A116,Referrals!$D$5:$D$52,"Nutrition / IYCF")=0,"Referral needed","Referred"),""))</f>
        <v/>
      </c>
      <c r="AC116" s="46" t="str">
        <f>IF($A116="","",IF(N(Needs_Gaps!O116)&gt;0,"Yes",""))</f>
        <v/>
      </c>
      <c r="AD116" s="46" t="str">
        <f>IF($A116="","",IF(COUNTIFS(Maintenance_Log!$C$5:$C$40,$A116,Maintenance_Log!$H$5:$H$40,"&lt;&gt;Resolved")&gt;0,"Yes",""))</f>
        <v/>
      </c>
      <c r="AE116" s="46">
        <f t="shared" si="6"/>
        <v>0</v>
      </c>
      <c r="AF116" s="46">
        <f t="shared" si="7"/>
        <v>0</v>
      </c>
      <c r="AG116" s="46">
        <f>IFERROR(MATCH(ROW()-4,Import_Index!$H$5:$H$304,0),"")</f>
        <v>120</v>
      </c>
    </row>
    <row r="117" spans="1:33" x14ac:dyDescent="0.3">
      <c r="A117" s="46" t="str">
        <f>IF($AG117="","",IFERROR(INDEX(Kobo_Import!$A$2:$CZ$301,$AG117,Field_Map!$B$13)&amp;"",""))</f>
        <v>HH-113</v>
      </c>
      <c r="B117" s="46" t="str">
        <f>IF($AG117="","",IF(IFERROR(INDEX(Kobo_Import!$A$2:$CZ$301,$AG117,Field_Map!$B$9)&amp;"","")="","",IFERROR(INDEX(Lists!$N$5:$N$19,MATCH(INDEX(Kobo_Import!$A$2:$CZ$301,$AG117,Field_Map!$B$9)&amp;"",Lists!$M$5:$M$19,0)),INDEX(Kobo_Import!$A$2:$CZ$301,$AG117,Field_Map!$B$9)&amp;"")))</f>
        <v>Site D – Collective Centre</v>
      </c>
      <c r="C117" s="46" t="str">
        <f>IF($AG117="","",IF(IFERROR(INDEX(Kobo_Import!$A$2:$CZ$301,$AG117,Field_Map!$B$14)&amp;"","")="","",IFERROR(INDEX(Lists!$N$5:$N$19,MATCH(INDEX(Kobo_Import!$A$2:$CZ$301,$AG117,Field_Map!$B$14)&amp;"",Lists!$M$5:$M$19,0)),INDEX(Kobo_Import!$A$2:$CZ$301,$AG117,Field_Map!$B$14)&amp;"")))</f>
        <v>Collective room</v>
      </c>
      <c r="D117" s="46" t="str">
        <f>IF($AG117="","",IF(IFERROR(INDEX(Kobo_Import!$A$2:$CZ$301,$AG117,Field_Map!$B$15)&amp;"","")="","",IFERROR(INDEX(Lists!$N$5:$N$19,MATCH(INDEX(Kobo_Import!$A$2:$CZ$301,$AG117,Field_Map!$B$15)&amp;"",Lists!$M$5:$M$19,0)),INDEX(Kobo_Import!$A$2:$CZ$301,$AG117,Field_Map!$B$15)&amp;"")))</f>
        <v>Adequate</v>
      </c>
      <c r="E117" s="49">
        <f>IF($A117="","",IFERROR(INDEX(Import_Index!$D$5:$D$304,MATCH($A117&amp;"|registration",Import_Index!$I$5:$I$304,0)),F117))</f>
        <v>46047</v>
      </c>
      <c r="F117" s="49">
        <f>IF($AG117="","",INDEX(Import_Index!$D$5:$D$304,$AG117))</f>
        <v>46047</v>
      </c>
      <c r="G117" s="46">
        <f>IF($A117="","",COUNTIFS(Import_Index!$B$5:$B$304,$A117,Import_Index!$C$5:$C$304,"yes"))</f>
        <v>1</v>
      </c>
      <c r="H117" s="46">
        <f>IF($AG117="","",IFERROR(VALUE(INDEX(Kobo_Import!$A$2:$CZ$301,$AG117,Field_Map!$B$16)&amp;""),0))</f>
        <v>9</v>
      </c>
      <c r="I117" s="46" t="str">
        <f>IF($AG117="","",IF(IFERROR(INDEX(Kobo_Import!$A$2:$CZ$301,$AG117,Field_Map!$B$17)&amp;"","")="","",IFERROR(INDEX(Lists!$N$5:$N$19,MATCH(INDEX(Kobo_Import!$A$2:$CZ$301,$AG117,Field_Map!$B$17)&amp;"",Lists!$M$5:$M$19,0)),INDEX(Kobo_Import!$A$2:$CZ$301,$AG117,Field_Map!$B$17)&amp;"")))</f>
        <v>No</v>
      </c>
      <c r="J117" s="46">
        <f>IF($AG117="","",IFERROR(VALUE(INDEX(Kobo_Import!$A$2:$CZ$301,$AG117,Field_Map!$B$18)&amp;""),0))</f>
        <v>1</v>
      </c>
      <c r="K117" s="46">
        <f>IF($AG117="","",IFERROR(VALUE(INDEX(Kobo_Import!$A$2:$CZ$301,$AG117,Field_Map!$B$19)&amp;""),0))</f>
        <v>5</v>
      </c>
      <c r="L117" s="46">
        <f>IF($AG117="","",IFERROR(VALUE(INDEX(Kobo_Import!$A$2:$CZ$301,$AG117,Field_Map!$B$20)&amp;""),0))</f>
        <v>2</v>
      </c>
      <c r="M117" s="46">
        <f>IF($AG117="","",IFERROR(VALUE(INDEX(Kobo_Import!$A$2:$CZ$301,$AG117,Field_Map!$B$21)&amp;""),0))</f>
        <v>1</v>
      </c>
      <c r="N117" s="46">
        <f>IF($AG117="","",IFERROR(VALUE(INDEX(Kobo_Import!$A$2:$CZ$301,$AG117,Field_Map!$B$22)&amp;""),0))</f>
        <v>2</v>
      </c>
      <c r="O117" s="46">
        <f>IF($AG117="","",IFERROR(VALUE(INDEX(Kobo_Import!$A$2:$CZ$301,$AG117,Field_Map!$B$23)&amp;""),0))</f>
        <v>1</v>
      </c>
      <c r="P117" s="46">
        <f>IF($AG117="","",IFERROR(VALUE(INDEX(Kobo_Import!$A$2:$CZ$301,$AG117,Field_Map!$B$24)&amp;""),0))</f>
        <v>2</v>
      </c>
      <c r="Q117" s="46">
        <f>IF($AG117="","",IFERROR(VALUE(INDEX(Kobo_Import!$A$2:$CZ$301,$AG117,Field_Map!$B$25)&amp;""),0))</f>
        <v>15</v>
      </c>
      <c r="R117" s="46">
        <f>IF($AG117="","",IFERROR(VALUE(INDEX(Kobo_Import!$A$2:$CZ$301,$AG117,Field_Map!$B$26)&amp;""),0))</f>
        <v>5</v>
      </c>
      <c r="S117" s="46">
        <f>IF($AG117="","",IFERROR(VALUE(INDEX(Kobo_Import!$A$2:$CZ$301,$AG117,Field_Map!$B$27)&amp;""),0))</f>
        <v>1</v>
      </c>
      <c r="T117" s="46">
        <f>IF($AG117="","",IFERROR(VALUE(INDEX(Kobo_Import!$A$2:$CZ$301,$AG117,Field_Map!$B$28)&amp;""),0))</f>
        <v>3</v>
      </c>
      <c r="U117" s="46" t="str">
        <f>IF($AG117="","",IF(IFERROR(INDEX(Kobo_Import!$A$2:$CZ$301,$AG117,Field_Map!$B$29)&amp;"","")="","",IFERROR(INDEX(Lists!$N$5:$N$19,MATCH(INDEX(Kobo_Import!$A$2:$CZ$301,$AG117,Field_Map!$B$29)&amp;"",Lists!$M$5:$M$19,0)),INDEX(Kobo_Import!$A$2:$CZ$301,$AG117,Field_Map!$B$29)&amp;"")))</f>
        <v>Yes</v>
      </c>
      <c r="V117" s="50">
        <f>IF($A117="","",Settings!$B$5-F117)</f>
        <v>6</v>
      </c>
      <c r="W117" s="46">
        <f>IF($A117="","",(J117&gt;0)*Settings!$B$22+(P117&gt;0)*Settings!$B$23+(M117&gt;0)*Settings!$B$24+(O117&gt;0)*Settings!$B$25+(I117="Yes")*Settings!$B$26+(D117="Unusable")*Settings!$B$27+(D117="Damaged")*Settings!$B$28+(H117&gt;=Settings!$B$30)*Settings!$B$29)</f>
        <v>7</v>
      </c>
      <c r="X117" s="46" t="str">
        <f>IF($A117="","",IF(W117&gt;=Settings!$B$31,"High",IF(W117&gt;=Settings!$B$32,"Medium","Low")))</f>
        <v>High</v>
      </c>
      <c r="Y117" s="46" t="str">
        <f>IF($A117="","",IF(V117&gt;Settings!$B$21,"Yes",""))</f>
        <v/>
      </c>
      <c r="Z117" s="46">
        <f>IF($A117="","",COUNTIFS(Referrals!$B$5:$B$52,$A117,Referrals!$G$5:$G$52,"Referred")+COUNTIFS(Referrals!$B$5:$B$52,$A117,Referrals!$G$5:$G$52,"Acknowledged"))</f>
        <v>1</v>
      </c>
      <c r="AA117" s="46">
        <f>IF($A117="","",COUNTIFS(Referrals!$B$5:$B$52,$A117,Referrals!$K$5:$K$52,"Overdue"))</f>
        <v>0</v>
      </c>
      <c r="AB117" s="46" t="str">
        <f>IF($A117="","",IF(AND(J117&gt;0,U117="Yes"),IF(COUNTIFS(Referrals!$B$5:$B$52,$A117,Referrals!$D$5:$D$52,"Nutrition / IYCF")=0,"Referral needed","Referred"),""))</f>
        <v>Referred</v>
      </c>
      <c r="AC117" s="46" t="str">
        <f>IF($A117="","",IF(N(Needs_Gaps!O117)&gt;0,"Yes",""))</f>
        <v/>
      </c>
      <c r="AD117" s="46" t="str">
        <f>IF($A117="","",IF(COUNTIFS(Maintenance_Log!$C$5:$C$40,$A117,Maintenance_Log!$H$5:$H$40,"&lt;&gt;Resolved")&gt;0,"Yes",""))</f>
        <v/>
      </c>
      <c r="AE117" s="46">
        <f t="shared" si="6"/>
        <v>0</v>
      </c>
      <c r="AF117" s="46">
        <f t="shared" si="7"/>
        <v>0</v>
      </c>
      <c r="AG117" s="46">
        <f>IFERROR(MATCH(ROW()-4,Import_Index!$H$5:$H$304,0),"")</f>
        <v>132</v>
      </c>
    </row>
    <row r="118" spans="1:33" x14ac:dyDescent="0.3">
      <c r="A118" s="46" t="str">
        <f>IF($AG118="","",IFERROR(INDEX(Kobo_Import!$A$2:$CZ$301,$AG118,Field_Map!$B$13)&amp;"",""))</f>
        <v>HH-114</v>
      </c>
      <c r="B118" s="46" t="str">
        <f>IF($AG118="","",IF(IFERROR(INDEX(Kobo_Import!$A$2:$CZ$301,$AG118,Field_Map!$B$9)&amp;"","")="","",IFERROR(INDEX(Lists!$N$5:$N$19,MATCH(INDEX(Kobo_Import!$A$2:$CZ$301,$AG118,Field_Map!$B$9)&amp;"",Lists!$M$5:$M$19,0)),INDEX(Kobo_Import!$A$2:$CZ$301,$AG118,Field_Map!$B$9)&amp;"")))</f>
        <v>Site D – Collective Centre</v>
      </c>
      <c r="C118" s="46" t="str">
        <f>IF($AG118="","",IF(IFERROR(INDEX(Kobo_Import!$A$2:$CZ$301,$AG118,Field_Map!$B$14)&amp;"","")="","",IFERROR(INDEX(Lists!$N$5:$N$19,MATCH(INDEX(Kobo_Import!$A$2:$CZ$301,$AG118,Field_Map!$B$14)&amp;"",Lists!$M$5:$M$19,0)),INDEX(Kobo_Import!$A$2:$CZ$301,$AG118,Field_Map!$B$14)&amp;"")))</f>
        <v>Collective room</v>
      </c>
      <c r="D118" s="46" t="str">
        <f>IF($AG118="","",IF(IFERROR(INDEX(Kobo_Import!$A$2:$CZ$301,$AG118,Field_Map!$B$15)&amp;"","")="","",IFERROR(INDEX(Lists!$N$5:$N$19,MATCH(INDEX(Kobo_Import!$A$2:$CZ$301,$AG118,Field_Map!$B$15)&amp;"",Lists!$M$5:$M$19,0)),INDEX(Kobo_Import!$A$2:$CZ$301,$AG118,Field_Map!$B$15)&amp;"")))</f>
        <v>Damaged</v>
      </c>
      <c r="E118" s="49">
        <f>IF($A118="","",IFERROR(INDEX(Import_Index!$D$5:$D$304,MATCH($A118&amp;"|registration",Import_Index!$I$5:$I$304,0)),F118))</f>
        <v>46046</v>
      </c>
      <c r="F118" s="49">
        <f>IF($AG118="","",INDEX(Import_Index!$D$5:$D$304,$AG118))</f>
        <v>46046</v>
      </c>
      <c r="G118" s="46">
        <f>IF($A118="","",COUNTIFS(Import_Index!$B$5:$B$304,$A118,Import_Index!$C$5:$C$304,"yes"))</f>
        <v>1</v>
      </c>
      <c r="H118" s="46">
        <f>IF($AG118="","",IFERROR(VALUE(INDEX(Kobo_Import!$A$2:$CZ$301,$AG118,Field_Map!$B$16)&amp;""),0))</f>
        <v>5</v>
      </c>
      <c r="I118" s="46" t="str">
        <f>IF($AG118="","",IF(IFERROR(INDEX(Kobo_Import!$A$2:$CZ$301,$AG118,Field_Map!$B$17)&amp;"","")="","",IFERROR(INDEX(Lists!$N$5:$N$19,MATCH(INDEX(Kobo_Import!$A$2:$CZ$301,$AG118,Field_Map!$B$17)&amp;"",Lists!$M$5:$M$19,0)),INDEX(Kobo_Import!$A$2:$CZ$301,$AG118,Field_Map!$B$17)&amp;"")))</f>
        <v>No</v>
      </c>
      <c r="J118" s="46">
        <f>IF($AG118="","",IFERROR(VALUE(INDEX(Kobo_Import!$A$2:$CZ$301,$AG118,Field_Map!$B$18)&amp;""),0))</f>
        <v>0</v>
      </c>
      <c r="K118" s="46">
        <f>IF($AG118="","",IFERROR(VALUE(INDEX(Kobo_Import!$A$2:$CZ$301,$AG118,Field_Map!$B$19)&amp;""),0))</f>
        <v>2</v>
      </c>
      <c r="L118" s="46">
        <f>IF($AG118="","",IFERROR(VALUE(INDEX(Kobo_Import!$A$2:$CZ$301,$AG118,Field_Map!$B$20)&amp;""),0))</f>
        <v>2</v>
      </c>
      <c r="M118" s="46">
        <f>IF($AG118="","",IFERROR(VALUE(INDEX(Kobo_Import!$A$2:$CZ$301,$AG118,Field_Map!$B$21)&amp;""),0))</f>
        <v>1</v>
      </c>
      <c r="N118" s="46">
        <f>IF($AG118="","",IFERROR(VALUE(INDEX(Kobo_Import!$A$2:$CZ$301,$AG118,Field_Map!$B$22)&amp;""),0))</f>
        <v>2</v>
      </c>
      <c r="O118" s="46">
        <f>IF($AG118="","",IFERROR(VALUE(INDEX(Kobo_Import!$A$2:$CZ$301,$AG118,Field_Map!$B$23)&amp;""),0))</f>
        <v>0</v>
      </c>
      <c r="P118" s="46">
        <f>IF($AG118="","",IFERROR(VALUE(INDEX(Kobo_Import!$A$2:$CZ$301,$AG118,Field_Map!$B$24)&amp;""),0))</f>
        <v>0</v>
      </c>
      <c r="Q118" s="46">
        <f>IF($AG118="","",IFERROR(VALUE(INDEX(Kobo_Import!$A$2:$CZ$301,$AG118,Field_Map!$B$25)&amp;""),0))</f>
        <v>7</v>
      </c>
      <c r="R118" s="46">
        <f>IF($AG118="","",IFERROR(VALUE(INDEX(Kobo_Import!$A$2:$CZ$301,$AG118,Field_Map!$B$26)&amp;""),0))</f>
        <v>3</v>
      </c>
      <c r="S118" s="46">
        <f>IF($AG118="","",IFERROR(VALUE(INDEX(Kobo_Import!$A$2:$CZ$301,$AG118,Field_Map!$B$27)&amp;""),0))</f>
        <v>0</v>
      </c>
      <c r="T118" s="46">
        <f>IF($AG118="","",IFERROR(VALUE(INDEX(Kobo_Import!$A$2:$CZ$301,$AG118,Field_Map!$B$28)&amp;""),0))</f>
        <v>3</v>
      </c>
      <c r="U118" s="46" t="str">
        <f>IF($AG118="","",IF(IFERROR(INDEX(Kobo_Import!$A$2:$CZ$301,$AG118,Field_Map!$B$29)&amp;"","")="","",IFERROR(INDEX(Lists!$N$5:$N$19,MATCH(INDEX(Kobo_Import!$A$2:$CZ$301,$AG118,Field_Map!$B$29)&amp;"",Lists!$M$5:$M$19,0)),INDEX(Kobo_Import!$A$2:$CZ$301,$AG118,Field_Map!$B$29)&amp;"")))</f>
        <v/>
      </c>
      <c r="V118" s="50">
        <f>IF($A118="","",Settings!$B$5-F118)</f>
        <v>7</v>
      </c>
      <c r="W118" s="46">
        <f>IF($A118="","",(J118&gt;0)*Settings!$B$22+(P118&gt;0)*Settings!$B$23+(M118&gt;0)*Settings!$B$24+(O118&gt;0)*Settings!$B$25+(I118="Yes")*Settings!$B$26+(D118="Unusable")*Settings!$B$27+(D118="Damaged")*Settings!$B$28+(H118&gt;=Settings!$B$30)*Settings!$B$29)</f>
        <v>2</v>
      </c>
      <c r="X118" s="46" t="str">
        <f>IF($A118="","",IF(W118&gt;=Settings!$B$31,"High",IF(W118&gt;=Settings!$B$32,"Medium","Low")))</f>
        <v>Low</v>
      </c>
      <c r="Y118" s="46" t="str">
        <f>IF($A118="","",IF(V118&gt;Settings!$B$21,"Yes",""))</f>
        <v/>
      </c>
      <c r="Z118" s="46">
        <f>IF($A118="","",COUNTIFS(Referrals!$B$5:$B$52,$A118,Referrals!$G$5:$G$52,"Referred")+COUNTIFS(Referrals!$B$5:$B$52,$A118,Referrals!$G$5:$G$52,"Acknowledged"))</f>
        <v>0</v>
      </c>
      <c r="AA118" s="46">
        <f>IF($A118="","",COUNTIFS(Referrals!$B$5:$B$52,$A118,Referrals!$K$5:$K$52,"Overdue"))</f>
        <v>0</v>
      </c>
      <c r="AB118" s="46" t="str">
        <f>IF($A118="","",IF(AND(J118&gt;0,U118="Yes"),IF(COUNTIFS(Referrals!$B$5:$B$52,$A118,Referrals!$D$5:$D$52,"Nutrition / IYCF")=0,"Referral needed","Referred"),""))</f>
        <v/>
      </c>
      <c r="AC118" s="46" t="str">
        <f>IF($A118="","",IF(N(Needs_Gaps!O118)&gt;0,"Yes",""))</f>
        <v/>
      </c>
      <c r="AD118" s="46" t="str">
        <f>IF($A118="","",IF(COUNTIFS(Maintenance_Log!$C$5:$C$40,$A118,Maintenance_Log!$H$5:$H$40,"&lt;&gt;Resolved")&gt;0,"Yes",""))</f>
        <v/>
      </c>
      <c r="AE118" s="46">
        <f t="shared" si="6"/>
        <v>0</v>
      </c>
      <c r="AF118" s="46">
        <f t="shared" si="7"/>
        <v>0</v>
      </c>
      <c r="AG118" s="46">
        <f>IFERROR(MATCH(ROW()-4,Import_Index!$H$5:$H$304,0),"")</f>
        <v>129</v>
      </c>
    </row>
    <row r="119" spans="1:33" x14ac:dyDescent="0.3">
      <c r="A119" s="46" t="str">
        <f>IF($AG119="","",IFERROR(INDEX(Kobo_Import!$A$2:$CZ$301,$AG119,Field_Map!$B$13)&amp;"",""))</f>
        <v>HH-115</v>
      </c>
      <c r="B119" s="46" t="str">
        <f>IF($AG119="","",IF(IFERROR(INDEX(Kobo_Import!$A$2:$CZ$301,$AG119,Field_Map!$B$9)&amp;"","")="","",IFERROR(INDEX(Lists!$N$5:$N$19,MATCH(INDEX(Kobo_Import!$A$2:$CZ$301,$AG119,Field_Map!$B$9)&amp;"",Lists!$M$5:$M$19,0)),INDEX(Kobo_Import!$A$2:$CZ$301,$AG119,Field_Map!$B$9)&amp;"")))</f>
        <v>Site D – Collective Centre</v>
      </c>
      <c r="C119" s="46" t="str">
        <f>IF($AG119="","",IF(IFERROR(INDEX(Kobo_Import!$A$2:$CZ$301,$AG119,Field_Map!$B$14)&amp;"","")="","",IFERROR(INDEX(Lists!$N$5:$N$19,MATCH(INDEX(Kobo_Import!$A$2:$CZ$301,$AG119,Field_Map!$B$14)&amp;"",Lists!$M$5:$M$19,0)),INDEX(Kobo_Import!$A$2:$CZ$301,$AG119,Field_Map!$B$14)&amp;"")))</f>
        <v>Collective room</v>
      </c>
      <c r="D119" s="46" t="str">
        <f>IF($AG119="","",IF(IFERROR(INDEX(Kobo_Import!$A$2:$CZ$301,$AG119,Field_Map!$B$15)&amp;"","")="","",IFERROR(INDEX(Lists!$N$5:$N$19,MATCH(INDEX(Kobo_Import!$A$2:$CZ$301,$AG119,Field_Map!$B$15)&amp;"",Lists!$M$5:$M$19,0)),INDEX(Kobo_Import!$A$2:$CZ$301,$AG119,Field_Map!$B$15)&amp;"")))</f>
        <v>Adequate</v>
      </c>
      <c r="E119" s="49">
        <f>IF($A119="","",IFERROR(INDEX(Import_Index!$D$5:$D$304,MATCH($A119&amp;"|registration",Import_Index!$I$5:$I$304,0)),F119))</f>
        <v>46042</v>
      </c>
      <c r="F119" s="49">
        <f>IF($AG119="","",INDEX(Import_Index!$D$5:$D$304,$AG119))</f>
        <v>46042</v>
      </c>
      <c r="G119" s="46">
        <f>IF($A119="","",COUNTIFS(Import_Index!$B$5:$B$304,$A119,Import_Index!$C$5:$C$304,"yes"))</f>
        <v>1</v>
      </c>
      <c r="H119" s="46">
        <f>IF($AG119="","",IFERROR(VALUE(INDEX(Kobo_Import!$A$2:$CZ$301,$AG119,Field_Map!$B$16)&amp;""),0))</f>
        <v>3</v>
      </c>
      <c r="I119" s="46" t="str">
        <f>IF($AG119="","",IF(IFERROR(INDEX(Kobo_Import!$A$2:$CZ$301,$AG119,Field_Map!$B$17)&amp;"","")="","",IFERROR(INDEX(Lists!$N$5:$N$19,MATCH(INDEX(Kobo_Import!$A$2:$CZ$301,$AG119,Field_Map!$B$17)&amp;"",Lists!$M$5:$M$19,0)),INDEX(Kobo_Import!$A$2:$CZ$301,$AG119,Field_Map!$B$17)&amp;"")))</f>
        <v>No</v>
      </c>
      <c r="J119" s="46">
        <f>IF($AG119="","",IFERROR(VALUE(INDEX(Kobo_Import!$A$2:$CZ$301,$AG119,Field_Map!$B$18)&amp;""),0))</f>
        <v>0</v>
      </c>
      <c r="K119" s="46">
        <f>IF($AG119="","",IFERROR(VALUE(INDEX(Kobo_Import!$A$2:$CZ$301,$AG119,Field_Map!$B$19)&amp;""),0))</f>
        <v>0</v>
      </c>
      <c r="L119" s="46">
        <f>IF($AG119="","",IFERROR(VALUE(INDEX(Kobo_Import!$A$2:$CZ$301,$AG119,Field_Map!$B$20)&amp;""),0))</f>
        <v>3</v>
      </c>
      <c r="M119" s="46">
        <f>IF($AG119="","",IFERROR(VALUE(INDEX(Kobo_Import!$A$2:$CZ$301,$AG119,Field_Map!$B$21)&amp;""),0))</f>
        <v>0</v>
      </c>
      <c r="N119" s="46">
        <f>IF($AG119="","",IFERROR(VALUE(INDEX(Kobo_Import!$A$2:$CZ$301,$AG119,Field_Map!$B$22)&amp;""),0))</f>
        <v>2</v>
      </c>
      <c r="O119" s="46">
        <f>IF($AG119="","",IFERROR(VALUE(INDEX(Kobo_Import!$A$2:$CZ$301,$AG119,Field_Map!$B$23)&amp;""),0))</f>
        <v>0</v>
      </c>
      <c r="P119" s="46">
        <f>IF($AG119="","",IFERROR(VALUE(INDEX(Kobo_Import!$A$2:$CZ$301,$AG119,Field_Map!$B$24)&amp;""),0))</f>
        <v>0</v>
      </c>
      <c r="Q119" s="46">
        <f>IF($AG119="","",IFERROR(VALUE(INDEX(Kobo_Import!$A$2:$CZ$301,$AG119,Field_Map!$B$25)&amp;""),0))</f>
        <v>2</v>
      </c>
      <c r="R119" s="46">
        <f>IF($AG119="","",IFERROR(VALUE(INDEX(Kobo_Import!$A$2:$CZ$301,$AG119,Field_Map!$B$26)&amp;""),0))</f>
        <v>1</v>
      </c>
      <c r="S119" s="46">
        <f>IF($AG119="","",IFERROR(VALUE(INDEX(Kobo_Import!$A$2:$CZ$301,$AG119,Field_Map!$B$27)&amp;""),0))</f>
        <v>0</v>
      </c>
      <c r="T119" s="46">
        <f>IF($AG119="","",IFERROR(VALUE(INDEX(Kobo_Import!$A$2:$CZ$301,$AG119,Field_Map!$B$28)&amp;""),0))</f>
        <v>0</v>
      </c>
      <c r="U119" s="46" t="str">
        <f>IF($AG119="","",IF(IFERROR(INDEX(Kobo_Import!$A$2:$CZ$301,$AG119,Field_Map!$B$29)&amp;"","")="","",IFERROR(INDEX(Lists!$N$5:$N$19,MATCH(INDEX(Kobo_Import!$A$2:$CZ$301,$AG119,Field_Map!$B$29)&amp;"",Lists!$M$5:$M$19,0)),INDEX(Kobo_Import!$A$2:$CZ$301,$AG119,Field_Map!$B$29)&amp;"")))</f>
        <v/>
      </c>
      <c r="V119" s="50">
        <f>IF($A119="","",Settings!$B$5-F119)</f>
        <v>11</v>
      </c>
      <c r="W119" s="46">
        <f>IF($A119="","",(J119&gt;0)*Settings!$B$22+(P119&gt;0)*Settings!$B$23+(M119&gt;0)*Settings!$B$24+(O119&gt;0)*Settings!$B$25+(I119="Yes")*Settings!$B$26+(D119="Unusable")*Settings!$B$27+(D119="Damaged")*Settings!$B$28+(H119&gt;=Settings!$B$30)*Settings!$B$29)</f>
        <v>0</v>
      </c>
      <c r="X119" s="46" t="str">
        <f>IF($A119="","",IF(W119&gt;=Settings!$B$31,"High",IF(W119&gt;=Settings!$B$32,"Medium","Low")))</f>
        <v>Low</v>
      </c>
      <c r="Y119" s="46" t="str">
        <f>IF($A119="","",IF(V119&gt;Settings!$B$21,"Yes",""))</f>
        <v/>
      </c>
      <c r="Z119" s="46">
        <f>IF($A119="","",COUNTIFS(Referrals!$B$5:$B$52,$A119,Referrals!$G$5:$G$52,"Referred")+COUNTIFS(Referrals!$B$5:$B$52,$A119,Referrals!$G$5:$G$52,"Acknowledged"))</f>
        <v>0</v>
      </c>
      <c r="AA119" s="46">
        <f>IF($A119="","",COUNTIFS(Referrals!$B$5:$B$52,$A119,Referrals!$K$5:$K$52,"Overdue"))</f>
        <v>0</v>
      </c>
      <c r="AB119" s="46" t="str">
        <f>IF($A119="","",IF(AND(J119&gt;0,U119="Yes"),IF(COUNTIFS(Referrals!$B$5:$B$52,$A119,Referrals!$D$5:$D$52,"Nutrition / IYCF")=0,"Referral needed","Referred"),""))</f>
        <v/>
      </c>
      <c r="AC119" s="46" t="str">
        <f>IF($A119="","",IF(N(Needs_Gaps!O119)&gt;0,"Yes",""))</f>
        <v/>
      </c>
      <c r="AD119" s="46" t="str">
        <f>IF($A119="","",IF(COUNTIFS(Maintenance_Log!$C$5:$C$40,$A119,Maintenance_Log!$H$5:$H$40,"&lt;&gt;Resolved")&gt;0,"Yes",""))</f>
        <v/>
      </c>
      <c r="AE119" s="46">
        <f t="shared" si="6"/>
        <v>0</v>
      </c>
      <c r="AF119" s="46">
        <f t="shared" si="7"/>
        <v>0</v>
      </c>
      <c r="AG119" s="46">
        <f>IFERROR(MATCH(ROW()-4,Import_Index!$H$5:$H$304,0),"")</f>
        <v>111</v>
      </c>
    </row>
    <row r="120" spans="1:33" x14ac:dyDescent="0.3">
      <c r="A120" s="46" t="str">
        <f>IF($AG120="","",IFERROR(INDEX(Kobo_Import!$A$2:$CZ$301,$AG120,Field_Map!$B$13)&amp;"",""))</f>
        <v>HH-116</v>
      </c>
      <c r="B120" s="46" t="str">
        <f>IF($AG120="","",IF(IFERROR(INDEX(Kobo_Import!$A$2:$CZ$301,$AG120,Field_Map!$B$9)&amp;"","")="","",IFERROR(INDEX(Lists!$N$5:$N$19,MATCH(INDEX(Kobo_Import!$A$2:$CZ$301,$AG120,Field_Map!$B$9)&amp;"",Lists!$M$5:$M$19,0)),INDEX(Kobo_Import!$A$2:$CZ$301,$AG120,Field_Map!$B$9)&amp;"")))</f>
        <v>Site D – Collective Centre</v>
      </c>
      <c r="C120" s="46" t="str">
        <f>IF($AG120="","",IF(IFERROR(INDEX(Kobo_Import!$A$2:$CZ$301,$AG120,Field_Map!$B$14)&amp;"","")="","",IFERROR(INDEX(Lists!$N$5:$N$19,MATCH(INDEX(Kobo_Import!$A$2:$CZ$301,$AG120,Field_Map!$B$14)&amp;"",Lists!$M$5:$M$19,0)),INDEX(Kobo_Import!$A$2:$CZ$301,$AG120,Field_Map!$B$14)&amp;"")))</f>
        <v>Collective room</v>
      </c>
      <c r="D120" s="46" t="str">
        <f>IF($AG120="","",IF(IFERROR(INDEX(Kobo_Import!$A$2:$CZ$301,$AG120,Field_Map!$B$15)&amp;"","")="","",IFERROR(INDEX(Lists!$N$5:$N$19,MATCH(INDEX(Kobo_Import!$A$2:$CZ$301,$AG120,Field_Map!$B$15)&amp;"",Lists!$M$5:$M$19,0)),INDEX(Kobo_Import!$A$2:$CZ$301,$AG120,Field_Map!$B$15)&amp;"")))</f>
        <v>Adequate</v>
      </c>
      <c r="E120" s="49">
        <f>IF($A120="","",IFERROR(INDEX(Import_Index!$D$5:$D$304,MATCH($A120&amp;"|registration",Import_Index!$I$5:$I$304,0)),F120))</f>
        <v>46019</v>
      </c>
      <c r="F120" s="49">
        <f>IF($AG120="","",INDEX(Import_Index!$D$5:$D$304,$AG120))</f>
        <v>46036</v>
      </c>
      <c r="G120" s="46">
        <f>IF($A120="","",COUNTIFS(Import_Index!$B$5:$B$304,$A120,Import_Index!$C$5:$C$304,"yes"))</f>
        <v>2</v>
      </c>
      <c r="H120" s="46">
        <f>IF($AG120="","",IFERROR(VALUE(INDEX(Kobo_Import!$A$2:$CZ$301,$AG120,Field_Map!$B$16)&amp;""),0))</f>
        <v>5</v>
      </c>
      <c r="I120" s="46" t="str">
        <f>IF($AG120="","",IF(IFERROR(INDEX(Kobo_Import!$A$2:$CZ$301,$AG120,Field_Map!$B$17)&amp;"","")="","",IFERROR(INDEX(Lists!$N$5:$N$19,MATCH(INDEX(Kobo_Import!$A$2:$CZ$301,$AG120,Field_Map!$B$17)&amp;"",Lists!$M$5:$M$19,0)),INDEX(Kobo_Import!$A$2:$CZ$301,$AG120,Field_Map!$B$17)&amp;"")))</f>
        <v>No</v>
      </c>
      <c r="J120" s="46">
        <f>IF($AG120="","",IFERROR(VALUE(INDEX(Kobo_Import!$A$2:$CZ$301,$AG120,Field_Map!$B$18)&amp;""),0))</f>
        <v>0</v>
      </c>
      <c r="K120" s="46">
        <f>IF($AG120="","",IFERROR(VALUE(INDEX(Kobo_Import!$A$2:$CZ$301,$AG120,Field_Map!$B$19)&amp;""),0))</f>
        <v>2</v>
      </c>
      <c r="L120" s="46">
        <f>IF($AG120="","",IFERROR(VALUE(INDEX(Kobo_Import!$A$2:$CZ$301,$AG120,Field_Map!$B$20)&amp;""),0))</f>
        <v>3</v>
      </c>
      <c r="M120" s="46">
        <f>IF($AG120="","",IFERROR(VALUE(INDEX(Kobo_Import!$A$2:$CZ$301,$AG120,Field_Map!$B$21)&amp;""),0))</f>
        <v>0</v>
      </c>
      <c r="N120" s="46">
        <f>IF($AG120="","",IFERROR(VALUE(INDEX(Kobo_Import!$A$2:$CZ$301,$AG120,Field_Map!$B$22)&amp;""),0))</f>
        <v>2</v>
      </c>
      <c r="O120" s="46">
        <f>IF($AG120="","",IFERROR(VALUE(INDEX(Kobo_Import!$A$2:$CZ$301,$AG120,Field_Map!$B$23)&amp;""),0))</f>
        <v>0</v>
      </c>
      <c r="P120" s="46">
        <f>IF($AG120="","",IFERROR(VALUE(INDEX(Kobo_Import!$A$2:$CZ$301,$AG120,Field_Map!$B$24)&amp;""),0))</f>
        <v>0</v>
      </c>
      <c r="Q120" s="46">
        <f>IF($AG120="","",IFERROR(VALUE(INDEX(Kobo_Import!$A$2:$CZ$301,$AG120,Field_Map!$B$25)&amp;""),0))</f>
        <v>0</v>
      </c>
      <c r="R120" s="46">
        <f>IF($AG120="","",IFERROR(VALUE(INDEX(Kobo_Import!$A$2:$CZ$301,$AG120,Field_Map!$B$26)&amp;""),0))</f>
        <v>5</v>
      </c>
      <c r="S120" s="46">
        <f>IF($AG120="","",IFERROR(VALUE(INDEX(Kobo_Import!$A$2:$CZ$301,$AG120,Field_Map!$B$27)&amp;""),0))</f>
        <v>0</v>
      </c>
      <c r="T120" s="46">
        <f>IF($AG120="","",IFERROR(VALUE(INDEX(Kobo_Import!$A$2:$CZ$301,$AG120,Field_Map!$B$28)&amp;""),0))</f>
        <v>0</v>
      </c>
      <c r="U120" s="46" t="str">
        <f>IF($AG120="","",IF(IFERROR(INDEX(Kobo_Import!$A$2:$CZ$301,$AG120,Field_Map!$B$29)&amp;"","")="","",IFERROR(INDEX(Lists!$N$5:$N$19,MATCH(INDEX(Kobo_Import!$A$2:$CZ$301,$AG120,Field_Map!$B$29)&amp;"",Lists!$M$5:$M$19,0)),INDEX(Kobo_Import!$A$2:$CZ$301,$AG120,Field_Map!$B$29)&amp;"")))</f>
        <v/>
      </c>
      <c r="V120" s="50">
        <f>IF($A120="","",Settings!$B$5-F120)</f>
        <v>17</v>
      </c>
      <c r="W120" s="46">
        <f>IF($A120="","",(J120&gt;0)*Settings!$B$22+(P120&gt;0)*Settings!$B$23+(M120&gt;0)*Settings!$B$24+(O120&gt;0)*Settings!$B$25+(I120="Yes")*Settings!$B$26+(D120="Unusable")*Settings!$B$27+(D120="Damaged")*Settings!$B$28+(H120&gt;=Settings!$B$30)*Settings!$B$29)</f>
        <v>0</v>
      </c>
      <c r="X120" s="46" t="str">
        <f>IF($A120="","",IF(W120&gt;=Settings!$B$31,"High",IF(W120&gt;=Settings!$B$32,"Medium","Low")))</f>
        <v>Low</v>
      </c>
      <c r="Y120" s="46" t="str">
        <f>IF($A120="","",IF(V120&gt;Settings!$B$21,"Yes",""))</f>
        <v/>
      </c>
      <c r="Z120" s="46">
        <f>IF($A120="","",COUNTIFS(Referrals!$B$5:$B$52,$A120,Referrals!$G$5:$G$52,"Referred")+COUNTIFS(Referrals!$B$5:$B$52,$A120,Referrals!$G$5:$G$52,"Acknowledged"))</f>
        <v>0</v>
      </c>
      <c r="AA120" s="46">
        <f>IF($A120="","",COUNTIFS(Referrals!$B$5:$B$52,$A120,Referrals!$K$5:$K$52,"Overdue"))</f>
        <v>0</v>
      </c>
      <c r="AB120" s="46" t="str">
        <f>IF($A120="","",IF(AND(J120&gt;0,U120="Yes"),IF(COUNTIFS(Referrals!$B$5:$B$52,$A120,Referrals!$D$5:$D$52,"Nutrition / IYCF")=0,"Referral needed","Referred"),""))</f>
        <v/>
      </c>
      <c r="AC120" s="46" t="str">
        <f>IF($A120="","",IF(N(Needs_Gaps!O120)&gt;0,"Yes",""))</f>
        <v/>
      </c>
      <c r="AD120" s="46" t="str">
        <f>IF($A120="","",IF(COUNTIFS(Maintenance_Log!$C$5:$C$40,$A120,Maintenance_Log!$H$5:$H$40,"&lt;&gt;Resolved")&gt;0,"Yes",""))</f>
        <v/>
      </c>
      <c r="AE120" s="46">
        <f t="shared" si="6"/>
        <v>0</v>
      </c>
      <c r="AF120" s="46">
        <f t="shared" si="7"/>
        <v>0</v>
      </c>
      <c r="AG120" s="46">
        <f>IFERROR(MATCH(ROW()-4,Import_Index!$H$5:$H$304,0),"")</f>
        <v>82</v>
      </c>
    </row>
    <row r="121" spans="1:33" x14ac:dyDescent="0.3">
      <c r="A121" s="46" t="str">
        <f>IF($AG121="","",IFERROR(INDEX(Kobo_Import!$A$2:$CZ$301,$AG121,Field_Map!$B$13)&amp;"",""))</f>
        <v>HH-117</v>
      </c>
      <c r="B121" s="46" t="str">
        <f>IF($AG121="","",IF(IFERROR(INDEX(Kobo_Import!$A$2:$CZ$301,$AG121,Field_Map!$B$9)&amp;"","")="","",IFERROR(INDEX(Lists!$N$5:$N$19,MATCH(INDEX(Kobo_Import!$A$2:$CZ$301,$AG121,Field_Map!$B$9)&amp;"",Lists!$M$5:$M$19,0)),INDEX(Kobo_Import!$A$2:$CZ$301,$AG121,Field_Map!$B$9)&amp;"")))</f>
        <v>Site D – Collective Centre</v>
      </c>
      <c r="C121" s="46" t="str">
        <f>IF($AG121="","",IF(IFERROR(INDEX(Kobo_Import!$A$2:$CZ$301,$AG121,Field_Map!$B$14)&amp;"","")="","",IFERROR(INDEX(Lists!$N$5:$N$19,MATCH(INDEX(Kobo_Import!$A$2:$CZ$301,$AG121,Field_Map!$B$14)&amp;"",Lists!$M$5:$M$19,0)),INDEX(Kobo_Import!$A$2:$CZ$301,$AG121,Field_Map!$B$14)&amp;"")))</f>
        <v>Collective room</v>
      </c>
      <c r="D121" s="46" t="str">
        <f>IF($AG121="","",IF(IFERROR(INDEX(Kobo_Import!$A$2:$CZ$301,$AG121,Field_Map!$B$15)&amp;"","")="","",IFERROR(INDEX(Lists!$N$5:$N$19,MATCH(INDEX(Kobo_Import!$A$2:$CZ$301,$AG121,Field_Map!$B$15)&amp;"",Lists!$M$5:$M$19,0)),INDEX(Kobo_Import!$A$2:$CZ$301,$AG121,Field_Map!$B$15)&amp;"")))</f>
        <v>Adequate</v>
      </c>
      <c r="E121" s="49">
        <f>IF($A121="","",IFERROR(INDEX(Import_Index!$D$5:$D$304,MATCH($A121&amp;"|registration",Import_Index!$I$5:$I$304,0)),F121))</f>
        <v>46019</v>
      </c>
      <c r="F121" s="49">
        <f>IF($AG121="","",INDEX(Import_Index!$D$5:$D$304,$AG121))</f>
        <v>46046</v>
      </c>
      <c r="G121" s="46">
        <f>IF($A121="","",COUNTIFS(Import_Index!$B$5:$B$304,$A121,Import_Index!$C$5:$C$304,"yes"))</f>
        <v>2</v>
      </c>
      <c r="H121" s="46">
        <f>IF($AG121="","",IFERROR(VALUE(INDEX(Kobo_Import!$A$2:$CZ$301,$AG121,Field_Map!$B$16)&amp;""),0))</f>
        <v>5</v>
      </c>
      <c r="I121" s="46" t="str">
        <f>IF($AG121="","",IF(IFERROR(INDEX(Kobo_Import!$A$2:$CZ$301,$AG121,Field_Map!$B$17)&amp;"","")="","",IFERROR(INDEX(Lists!$N$5:$N$19,MATCH(INDEX(Kobo_Import!$A$2:$CZ$301,$AG121,Field_Map!$B$17)&amp;"",Lists!$M$5:$M$19,0)),INDEX(Kobo_Import!$A$2:$CZ$301,$AG121,Field_Map!$B$17)&amp;"")))</f>
        <v>No</v>
      </c>
      <c r="J121" s="46">
        <f>IF($AG121="","",IFERROR(VALUE(INDEX(Kobo_Import!$A$2:$CZ$301,$AG121,Field_Map!$B$18)&amp;""),0))</f>
        <v>0</v>
      </c>
      <c r="K121" s="46">
        <f>IF($AG121="","",IFERROR(VALUE(INDEX(Kobo_Import!$A$2:$CZ$301,$AG121,Field_Map!$B$19)&amp;""),0))</f>
        <v>2</v>
      </c>
      <c r="L121" s="46">
        <f>IF($AG121="","",IFERROR(VALUE(INDEX(Kobo_Import!$A$2:$CZ$301,$AG121,Field_Map!$B$20)&amp;""),0))</f>
        <v>2</v>
      </c>
      <c r="M121" s="46">
        <f>IF($AG121="","",IFERROR(VALUE(INDEX(Kobo_Import!$A$2:$CZ$301,$AG121,Field_Map!$B$21)&amp;""),0))</f>
        <v>1</v>
      </c>
      <c r="N121" s="46">
        <f>IF($AG121="","",IFERROR(VALUE(INDEX(Kobo_Import!$A$2:$CZ$301,$AG121,Field_Map!$B$22)&amp;""),0))</f>
        <v>2</v>
      </c>
      <c r="O121" s="46">
        <f>IF($AG121="","",IFERROR(VALUE(INDEX(Kobo_Import!$A$2:$CZ$301,$AG121,Field_Map!$B$23)&amp;""),0))</f>
        <v>0</v>
      </c>
      <c r="P121" s="46">
        <f>IF($AG121="","",IFERROR(VALUE(INDEX(Kobo_Import!$A$2:$CZ$301,$AG121,Field_Map!$B$24)&amp;""),0))</f>
        <v>0</v>
      </c>
      <c r="Q121" s="46">
        <f>IF($AG121="","",IFERROR(VALUE(INDEX(Kobo_Import!$A$2:$CZ$301,$AG121,Field_Map!$B$25)&amp;""),0))</f>
        <v>7</v>
      </c>
      <c r="R121" s="46">
        <f>IF($AG121="","",IFERROR(VALUE(INDEX(Kobo_Import!$A$2:$CZ$301,$AG121,Field_Map!$B$26)&amp;""),0))</f>
        <v>3</v>
      </c>
      <c r="S121" s="46">
        <f>IF($AG121="","",IFERROR(VALUE(INDEX(Kobo_Import!$A$2:$CZ$301,$AG121,Field_Map!$B$27)&amp;""),0))</f>
        <v>2</v>
      </c>
      <c r="T121" s="46">
        <f>IF($AG121="","",IFERROR(VALUE(INDEX(Kobo_Import!$A$2:$CZ$301,$AG121,Field_Map!$B$28)&amp;""),0))</f>
        <v>1</v>
      </c>
      <c r="U121" s="46" t="str">
        <f>IF($AG121="","",IF(IFERROR(INDEX(Kobo_Import!$A$2:$CZ$301,$AG121,Field_Map!$B$29)&amp;"","")="","",IFERROR(INDEX(Lists!$N$5:$N$19,MATCH(INDEX(Kobo_Import!$A$2:$CZ$301,$AG121,Field_Map!$B$29)&amp;"",Lists!$M$5:$M$19,0)),INDEX(Kobo_Import!$A$2:$CZ$301,$AG121,Field_Map!$B$29)&amp;"")))</f>
        <v/>
      </c>
      <c r="V121" s="50">
        <f>IF($A121="","",Settings!$B$5-F121)</f>
        <v>7</v>
      </c>
      <c r="W121" s="46">
        <f>IF($A121="","",(J121&gt;0)*Settings!$B$22+(P121&gt;0)*Settings!$B$23+(M121&gt;0)*Settings!$B$24+(O121&gt;0)*Settings!$B$25+(I121="Yes")*Settings!$B$26+(D121="Unusable")*Settings!$B$27+(D121="Damaged")*Settings!$B$28+(H121&gt;=Settings!$B$30)*Settings!$B$29)</f>
        <v>1</v>
      </c>
      <c r="X121" s="46" t="str">
        <f>IF($A121="","",IF(W121&gt;=Settings!$B$31,"High",IF(W121&gt;=Settings!$B$32,"Medium","Low")))</f>
        <v>Low</v>
      </c>
      <c r="Y121" s="46" t="str">
        <f>IF($A121="","",IF(V121&gt;Settings!$B$21,"Yes",""))</f>
        <v/>
      </c>
      <c r="Z121" s="46">
        <f>IF($A121="","",COUNTIFS(Referrals!$B$5:$B$52,$A121,Referrals!$G$5:$G$52,"Referred")+COUNTIFS(Referrals!$B$5:$B$52,$A121,Referrals!$G$5:$G$52,"Acknowledged"))</f>
        <v>0</v>
      </c>
      <c r="AA121" s="46">
        <f>IF($A121="","",COUNTIFS(Referrals!$B$5:$B$52,$A121,Referrals!$K$5:$K$52,"Overdue"))</f>
        <v>0</v>
      </c>
      <c r="AB121" s="46" t="str">
        <f>IF($A121="","",IF(AND(J121&gt;0,U121="Yes"),IF(COUNTIFS(Referrals!$B$5:$B$52,$A121,Referrals!$D$5:$D$52,"Nutrition / IYCF")=0,"Referral needed","Referred"),""))</f>
        <v/>
      </c>
      <c r="AC121" s="46" t="str">
        <f>IF($A121="","",IF(N(Needs_Gaps!O121)&gt;0,"Yes",""))</f>
        <v/>
      </c>
      <c r="AD121" s="46" t="str">
        <f>IF($A121="","",IF(COUNTIFS(Maintenance_Log!$C$5:$C$40,$A121,Maintenance_Log!$H$5:$H$40,"&lt;&gt;Resolved")&gt;0,"Yes",""))</f>
        <v/>
      </c>
      <c r="AE121" s="46">
        <f t="shared" si="6"/>
        <v>0</v>
      </c>
      <c r="AF121" s="46">
        <f t="shared" si="7"/>
        <v>0</v>
      </c>
      <c r="AG121" s="46">
        <f>IFERROR(MATCH(ROW()-4,Import_Index!$H$5:$H$304,0),"")</f>
        <v>128</v>
      </c>
    </row>
    <row r="122" spans="1:33" x14ac:dyDescent="0.3">
      <c r="A122" s="46" t="str">
        <f>IF($AG122="","",IFERROR(INDEX(Kobo_Import!$A$2:$CZ$301,$AG122,Field_Map!$B$13)&amp;"",""))</f>
        <v>HH-118</v>
      </c>
      <c r="B122" s="46" t="str">
        <f>IF($AG122="","",IF(IFERROR(INDEX(Kobo_Import!$A$2:$CZ$301,$AG122,Field_Map!$B$9)&amp;"","")="","",IFERROR(INDEX(Lists!$N$5:$N$19,MATCH(INDEX(Kobo_Import!$A$2:$CZ$301,$AG122,Field_Map!$B$9)&amp;"",Lists!$M$5:$M$19,0)),INDEX(Kobo_Import!$A$2:$CZ$301,$AG122,Field_Map!$B$9)&amp;"")))</f>
        <v>Site D – Collective Centre</v>
      </c>
      <c r="C122" s="46" t="str">
        <f>IF($AG122="","",IF(IFERROR(INDEX(Kobo_Import!$A$2:$CZ$301,$AG122,Field_Map!$B$14)&amp;"","")="","",IFERROR(INDEX(Lists!$N$5:$N$19,MATCH(INDEX(Kobo_Import!$A$2:$CZ$301,$AG122,Field_Map!$B$14)&amp;"",Lists!$M$5:$M$19,0)),INDEX(Kobo_Import!$A$2:$CZ$301,$AG122,Field_Map!$B$14)&amp;"")))</f>
        <v>Collective room</v>
      </c>
      <c r="D122" s="46" t="str">
        <f>IF($AG122="","",IF(IFERROR(INDEX(Kobo_Import!$A$2:$CZ$301,$AG122,Field_Map!$B$15)&amp;"","")="","",IFERROR(INDEX(Lists!$N$5:$N$19,MATCH(INDEX(Kobo_Import!$A$2:$CZ$301,$AG122,Field_Map!$B$15)&amp;"",Lists!$M$5:$M$19,0)),INDEX(Kobo_Import!$A$2:$CZ$301,$AG122,Field_Map!$B$15)&amp;"")))</f>
        <v>Adequate</v>
      </c>
      <c r="E122" s="49">
        <f>IF($A122="","",IFERROR(INDEX(Import_Index!$D$5:$D$304,MATCH($A122&amp;"|registration",Import_Index!$I$5:$I$304,0)),F122))</f>
        <v>46048</v>
      </c>
      <c r="F122" s="49">
        <f>IF($AG122="","",INDEX(Import_Index!$D$5:$D$304,$AG122))</f>
        <v>46048</v>
      </c>
      <c r="G122" s="46">
        <f>IF($A122="","",COUNTIFS(Import_Index!$B$5:$B$304,$A122,Import_Index!$C$5:$C$304,"yes"))</f>
        <v>1</v>
      </c>
      <c r="H122" s="46">
        <f>IF($AG122="","",IFERROR(VALUE(INDEX(Kobo_Import!$A$2:$CZ$301,$AG122,Field_Map!$B$16)&amp;""),0))</f>
        <v>7</v>
      </c>
      <c r="I122" s="46" t="str">
        <f>IF($AG122="","",IF(IFERROR(INDEX(Kobo_Import!$A$2:$CZ$301,$AG122,Field_Map!$B$17)&amp;"","")="","",IFERROR(INDEX(Lists!$N$5:$N$19,MATCH(INDEX(Kobo_Import!$A$2:$CZ$301,$AG122,Field_Map!$B$17)&amp;"",Lists!$M$5:$M$19,0)),INDEX(Kobo_Import!$A$2:$CZ$301,$AG122,Field_Map!$B$17)&amp;"")))</f>
        <v>No</v>
      </c>
      <c r="J122" s="46">
        <f>IF($AG122="","",IFERROR(VALUE(INDEX(Kobo_Import!$A$2:$CZ$301,$AG122,Field_Map!$B$18)&amp;""),0))</f>
        <v>1</v>
      </c>
      <c r="K122" s="46">
        <f>IF($AG122="","",IFERROR(VALUE(INDEX(Kobo_Import!$A$2:$CZ$301,$AG122,Field_Map!$B$19)&amp;""),0))</f>
        <v>4</v>
      </c>
      <c r="L122" s="46">
        <f>IF($AG122="","",IFERROR(VALUE(INDEX(Kobo_Import!$A$2:$CZ$301,$AG122,Field_Map!$B$20)&amp;""),0))</f>
        <v>2</v>
      </c>
      <c r="M122" s="46">
        <f>IF($AG122="","",IFERROR(VALUE(INDEX(Kobo_Import!$A$2:$CZ$301,$AG122,Field_Map!$B$21)&amp;""),0))</f>
        <v>0</v>
      </c>
      <c r="N122" s="46">
        <f>IF($AG122="","",IFERROR(VALUE(INDEX(Kobo_Import!$A$2:$CZ$301,$AG122,Field_Map!$B$22)&amp;""),0))</f>
        <v>2</v>
      </c>
      <c r="O122" s="46">
        <f>IF($AG122="","",IFERROR(VALUE(INDEX(Kobo_Import!$A$2:$CZ$301,$AG122,Field_Map!$B$23)&amp;""),0))</f>
        <v>1</v>
      </c>
      <c r="P122" s="46">
        <f>IF($AG122="","",IFERROR(VALUE(INDEX(Kobo_Import!$A$2:$CZ$301,$AG122,Field_Map!$B$24)&amp;""),0))</f>
        <v>0</v>
      </c>
      <c r="Q122" s="46">
        <f>IF($AG122="","",IFERROR(VALUE(INDEX(Kobo_Import!$A$2:$CZ$301,$AG122,Field_Map!$B$25)&amp;""),0))</f>
        <v>9</v>
      </c>
      <c r="R122" s="46">
        <f>IF($AG122="","",IFERROR(VALUE(INDEX(Kobo_Import!$A$2:$CZ$301,$AG122,Field_Map!$B$26)&amp;""),0))</f>
        <v>6</v>
      </c>
      <c r="S122" s="46">
        <f>IF($AG122="","",IFERROR(VALUE(INDEX(Kobo_Import!$A$2:$CZ$301,$AG122,Field_Map!$B$27)&amp;""),0))</f>
        <v>5</v>
      </c>
      <c r="T122" s="46">
        <f>IF($AG122="","",IFERROR(VALUE(INDEX(Kobo_Import!$A$2:$CZ$301,$AG122,Field_Map!$B$28)&amp;""),0))</f>
        <v>2</v>
      </c>
      <c r="U122" s="46" t="str">
        <f>IF($AG122="","",IF(IFERROR(INDEX(Kobo_Import!$A$2:$CZ$301,$AG122,Field_Map!$B$29)&amp;"","")="","",IFERROR(INDEX(Lists!$N$5:$N$19,MATCH(INDEX(Kobo_Import!$A$2:$CZ$301,$AG122,Field_Map!$B$29)&amp;"",Lists!$M$5:$M$19,0)),INDEX(Kobo_Import!$A$2:$CZ$301,$AG122,Field_Map!$B$29)&amp;"")))</f>
        <v>No</v>
      </c>
      <c r="V122" s="50">
        <f>IF($A122="","",Settings!$B$5-F122)</f>
        <v>5</v>
      </c>
      <c r="W122" s="46">
        <f>IF($A122="","",(J122&gt;0)*Settings!$B$22+(P122&gt;0)*Settings!$B$23+(M122&gt;0)*Settings!$B$24+(O122&gt;0)*Settings!$B$25+(I122="Yes")*Settings!$B$26+(D122="Unusable")*Settings!$B$27+(D122="Damaged")*Settings!$B$28+(H122&gt;=Settings!$B$30)*Settings!$B$29)</f>
        <v>3</v>
      </c>
      <c r="X122" s="46" t="str">
        <f>IF($A122="","",IF(W122&gt;=Settings!$B$31,"High",IF(W122&gt;=Settings!$B$32,"Medium","Low")))</f>
        <v>Medium</v>
      </c>
      <c r="Y122" s="46" t="str">
        <f>IF($A122="","",IF(V122&gt;Settings!$B$21,"Yes",""))</f>
        <v/>
      </c>
      <c r="Z122" s="46">
        <f>IF($A122="","",COUNTIFS(Referrals!$B$5:$B$52,$A122,Referrals!$G$5:$G$52,"Referred")+COUNTIFS(Referrals!$B$5:$B$52,$A122,Referrals!$G$5:$G$52,"Acknowledged"))</f>
        <v>0</v>
      </c>
      <c r="AA122" s="46">
        <f>IF($A122="","",COUNTIFS(Referrals!$B$5:$B$52,$A122,Referrals!$K$5:$K$52,"Overdue"))</f>
        <v>0</v>
      </c>
      <c r="AB122" s="46" t="str">
        <f>IF($A122="","",IF(AND(J122&gt;0,U122="Yes"),IF(COUNTIFS(Referrals!$B$5:$B$52,$A122,Referrals!$D$5:$D$52,"Nutrition / IYCF")=0,"Referral needed","Referred"),""))</f>
        <v/>
      </c>
      <c r="AC122" s="46" t="str">
        <f>IF($A122="","",IF(N(Needs_Gaps!O122)&gt;0,"Yes",""))</f>
        <v/>
      </c>
      <c r="AD122" s="46" t="str">
        <f>IF($A122="","",IF(COUNTIFS(Maintenance_Log!$C$5:$C$40,$A122,Maintenance_Log!$H$5:$H$40,"&lt;&gt;Resolved")&gt;0,"Yes",""))</f>
        <v/>
      </c>
      <c r="AE122" s="46">
        <f t="shared" si="6"/>
        <v>0</v>
      </c>
      <c r="AF122" s="46">
        <f t="shared" si="7"/>
        <v>0</v>
      </c>
      <c r="AG122" s="46">
        <f>IFERROR(MATCH(ROW()-4,Import_Index!$H$5:$H$304,0),"")</f>
        <v>135</v>
      </c>
    </row>
    <row r="123" spans="1:33" x14ac:dyDescent="0.3">
      <c r="A123" s="46" t="str">
        <f>IF($AG123="","",IFERROR(INDEX(Kobo_Import!$A$2:$CZ$301,$AG123,Field_Map!$B$13)&amp;"",""))</f>
        <v>HH-119</v>
      </c>
      <c r="B123" s="46" t="str">
        <f>IF($AG123="","",IF(IFERROR(INDEX(Kobo_Import!$A$2:$CZ$301,$AG123,Field_Map!$B$9)&amp;"","")="","",IFERROR(INDEX(Lists!$N$5:$N$19,MATCH(INDEX(Kobo_Import!$A$2:$CZ$301,$AG123,Field_Map!$B$9)&amp;"",Lists!$M$5:$M$19,0)),INDEX(Kobo_Import!$A$2:$CZ$301,$AG123,Field_Map!$B$9)&amp;"")))</f>
        <v>Site D – Collective Centre</v>
      </c>
      <c r="C123" s="46" t="str">
        <f>IF($AG123="","",IF(IFERROR(INDEX(Kobo_Import!$A$2:$CZ$301,$AG123,Field_Map!$B$14)&amp;"","")="","",IFERROR(INDEX(Lists!$N$5:$N$19,MATCH(INDEX(Kobo_Import!$A$2:$CZ$301,$AG123,Field_Map!$B$14)&amp;"",Lists!$M$5:$M$19,0)),INDEX(Kobo_Import!$A$2:$CZ$301,$AG123,Field_Map!$B$14)&amp;"")))</f>
        <v>Collective room</v>
      </c>
      <c r="D123" s="46" t="str">
        <f>IF($AG123="","",IF(IFERROR(INDEX(Kobo_Import!$A$2:$CZ$301,$AG123,Field_Map!$B$15)&amp;"","")="","",IFERROR(INDEX(Lists!$N$5:$N$19,MATCH(INDEX(Kobo_Import!$A$2:$CZ$301,$AG123,Field_Map!$B$15)&amp;"",Lists!$M$5:$M$19,0)),INDEX(Kobo_Import!$A$2:$CZ$301,$AG123,Field_Map!$B$15)&amp;"")))</f>
        <v>Adequate</v>
      </c>
      <c r="E123" s="49">
        <f>IF($A123="","",IFERROR(INDEX(Import_Index!$D$5:$D$304,MATCH($A123&amp;"|registration",Import_Index!$I$5:$I$304,0)),F123))</f>
        <v>46045</v>
      </c>
      <c r="F123" s="49">
        <f>IF($AG123="","",INDEX(Import_Index!$D$5:$D$304,$AG123))</f>
        <v>46045</v>
      </c>
      <c r="G123" s="46">
        <f>IF($A123="","",COUNTIFS(Import_Index!$B$5:$B$304,$A123,Import_Index!$C$5:$C$304,"yes"))</f>
        <v>1</v>
      </c>
      <c r="H123" s="46">
        <f>IF($AG123="","",IFERROR(VALUE(INDEX(Kobo_Import!$A$2:$CZ$301,$AG123,Field_Map!$B$16)&amp;""),0))</f>
        <v>5</v>
      </c>
      <c r="I123" s="46" t="str">
        <f>IF($AG123="","",IF(IFERROR(INDEX(Kobo_Import!$A$2:$CZ$301,$AG123,Field_Map!$B$17)&amp;"","")="","",IFERROR(INDEX(Lists!$N$5:$N$19,MATCH(INDEX(Kobo_Import!$A$2:$CZ$301,$AG123,Field_Map!$B$17)&amp;"",Lists!$M$5:$M$19,0)),INDEX(Kobo_Import!$A$2:$CZ$301,$AG123,Field_Map!$B$17)&amp;"")))</f>
        <v>No</v>
      </c>
      <c r="J123" s="46">
        <f>IF($AG123="","",IFERROR(VALUE(INDEX(Kobo_Import!$A$2:$CZ$301,$AG123,Field_Map!$B$18)&amp;""),0))</f>
        <v>1</v>
      </c>
      <c r="K123" s="46">
        <f>IF($AG123="","",IFERROR(VALUE(INDEX(Kobo_Import!$A$2:$CZ$301,$AG123,Field_Map!$B$19)&amp;""),0))</f>
        <v>1</v>
      </c>
      <c r="L123" s="46">
        <f>IF($AG123="","",IFERROR(VALUE(INDEX(Kobo_Import!$A$2:$CZ$301,$AG123,Field_Map!$B$20)&amp;""),0))</f>
        <v>2</v>
      </c>
      <c r="M123" s="46">
        <f>IF($AG123="","",IFERROR(VALUE(INDEX(Kobo_Import!$A$2:$CZ$301,$AG123,Field_Map!$B$21)&amp;""),0))</f>
        <v>1</v>
      </c>
      <c r="N123" s="46">
        <f>IF($AG123="","",IFERROR(VALUE(INDEX(Kobo_Import!$A$2:$CZ$301,$AG123,Field_Map!$B$22)&amp;""),0))</f>
        <v>1</v>
      </c>
      <c r="O123" s="46">
        <f>IF($AG123="","",IFERROR(VALUE(INDEX(Kobo_Import!$A$2:$CZ$301,$AG123,Field_Map!$B$23)&amp;""),0))</f>
        <v>0</v>
      </c>
      <c r="P123" s="46">
        <f>IF($AG123="","",IFERROR(VALUE(INDEX(Kobo_Import!$A$2:$CZ$301,$AG123,Field_Map!$B$24)&amp;""),0))</f>
        <v>0</v>
      </c>
      <c r="Q123" s="46">
        <f>IF($AG123="","",IFERROR(VALUE(INDEX(Kobo_Import!$A$2:$CZ$301,$AG123,Field_Map!$B$25)&amp;""),0))</f>
        <v>6</v>
      </c>
      <c r="R123" s="46">
        <f>IF($AG123="","",IFERROR(VALUE(INDEX(Kobo_Import!$A$2:$CZ$301,$AG123,Field_Map!$B$26)&amp;""),0))</f>
        <v>2</v>
      </c>
      <c r="S123" s="46">
        <f>IF($AG123="","",IFERROR(VALUE(INDEX(Kobo_Import!$A$2:$CZ$301,$AG123,Field_Map!$B$27)&amp;""),0))</f>
        <v>0</v>
      </c>
      <c r="T123" s="46">
        <f>IF($AG123="","",IFERROR(VALUE(INDEX(Kobo_Import!$A$2:$CZ$301,$AG123,Field_Map!$B$28)&amp;""),0))</f>
        <v>2</v>
      </c>
      <c r="U123" s="46" t="str">
        <f>IF($AG123="","",IF(IFERROR(INDEX(Kobo_Import!$A$2:$CZ$301,$AG123,Field_Map!$B$29)&amp;"","")="","",IFERROR(INDEX(Lists!$N$5:$N$19,MATCH(INDEX(Kobo_Import!$A$2:$CZ$301,$AG123,Field_Map!$B$29)&amp;"",Lists!$M$5:$M$19,0)),INDEX(Kobo_Import!$A$2:$CZ$301,$AG123,Field_Map!$B$29)&amp;"")))</f>
        <v>Yes</v>
      </c>
      <c r="V123" s="50">
        <f>IF($A123="","",Settings!$B$5-F123)</f>
        <v>8</v>
      </c>
      <c r="W123" s="46">
        <f>IF($A123="","",(J123&gt;0)*Settings!$B$22+(P123&gt;0)*Settings!$B$23+(M123&gt;0)*Settings!$B$24+(O123&gt;0)*Settings!$B$25+(I123="Yes")*Settings!$B$26+(D123="Unusable")*Settings!$B$27+(D123="Damaged")*Settings!$B$28+(H123&gt;=Settings!$B$30)*Settings!$B$29)</f>
        <v>3</v>
      </c>
      <c r="X123" s="46" t="str">
        <f>IF($A123="","",IF(W123&gt;=Settings!$B$31,"High",IF(W123&gt;=Settings!$B$32,"Medium","Low")))</f>
        <v>Medium</v>
      </c>
      <c r="Y123" s="46" t="str">
        <f>IF($A123="","",IF(V123&gt;Settings!$B$21,"Yes",""))</f>
        <v/>
      </c>
      <c r="Z123" s="46">
        <f>IF($A123="","",COUNTIFS(Referrals!$B$5:$B$52,$A123,Referrals!$G$5:$G$52,"Referred")+COUNTIFS(Referrals!$B$5:$B$52,$A123,Referrals!$G$5:$G$52,"Acknowledged"))</f>
        <v>1</v>
      </c>
      <c r="AA123" s="46">
        <f>IF($A123="","",COUNTIFS(Referrals!$B$5:$B$52,$A123,Referrals!$K$5:$K$52,"Overdue"))</f>
        <v>0</v>
      </c>
      <c r="AB123" s="46" t="str">
        <f>IF($A123="","",IF(AND(J123&gt;0,U123="Yes"),IF(COUNTIFS(Referrals!$B$5:$B$52,$A123,Referrals!$D$5:$D$52,"Nutrition / IYCF")=0,"Referral needed","Referred"),""))</f>
        <v>Referred</v>
      </c>
      <c r="AC123" s="46" t="str">
        <f>IF($A123="","",IF(N(Needs_Gaps!O123)&gt;0,"Yes",""))</f>
        <v/>
      </c>
      <c r="AD123" s="46" t="str">
        <f>IF($A123="","",IF(COUNTIFS(Maintenance_Log!$C$5:$C$40,$A123,Maintenance_Log!$H$5:$H$40,"&lt;&gt;Resolved")&gt;0,"Yes",""))</f>
        <v/>
      </c>
      <c r="AE123" s="46">
        <f t="shared" si="6"/>
        <v>0</v>
      </c>
      <c r="AF123" s="46">
        <f t="shared" si="7"/>
        <v>0</v>
      </c>
      <c r="AG123" s="46">
        <f>IFERROR(MATCH(ROW()-4,Import_Index!$H$5:$H$304,0),"")</f>
        <v>125</v>
      </c>
    </row>
    <row r="124" spans="1:33" x14ac:dyDescent="0.3">
      <c r="A124" s="46" t="str">
        <f>IF($AG124="","",IFERROR(INDEX(Kobo_Import!$A$2:$CZ$301,$AG124,Field_Map!$B$13)&amp;"",""))</f>
        <v>HH-120</v>
      </c>
      <c r="B124" s="46" t="str">
        <f>IF($AG124="","",IF(IFERROR(INDEX(Kobo_Import!$A$2:$CZ$301,$AG124,Field_Map!$B$9)&amp;"","")="","",IFERROR(INDEX(Lists!$N$5:$N$19,MATCH(INDEX(Kobo_Import!$A$2:$CZ$301,$AG124,Field_Map!$B$9)&amp;"",Lists!$M$5:$M$19,0)),INDEX(Kobo_Import!$A$2:$CZ$301,$AG124,Field_Map!$B$9)&amp;"")))</f>
        <v>Site D – Collective Centre</v>
      </c>
      <c r="C124" s="46" t="str">
        <f>IF($AG124="","",IF(IFERROR(INDEX(Kobo_Import!$A$2:$CZ$301,$AG124,Field_Map!$B$14)&amp;"","")="","",IFERROR(INDEX(Lists!$N$5:$N$19,MATCH(INDEX(Kobo_Import!$A$2:$CZ$301,$AG124,Field_Map!$B$14)&amp;"",Lists!$M$5:$M$19,0)),INDEX(Kobo_Import!$A$2:$CZ$301,$AG124,Field_Map!$B$14)&amp;"")))</f>
        <v>Collective room</v>
      </c>
      <c r="D124" s="46" t="str">
        <f>IF($AG124="","",IF(IFERROR(INDEX(Kobo_Import!$A$2:$CZ$301,$AG124,Field_Map!$B$15)&amp;"","")="","",IFERROR(INDEX(Lists!$N$5:$N$19,MATCH(INDEX(Kobo_Import!$A$2:$CZ$301,$AG124,Field_Map!$B$15)&amp;"",Lists!$M$5:$M$19,0)),INDEX(Kobo_Import!$A$2:$CZ$301,$AG124,Field_Map!$B$15)&amp;"")))</f>
        <v>Adequate</v>
      </c>
      <c r="E124" s="49">
        <f>IF($A124="","",IFERROR(INDEX(Import_Index!$D$5:$D$304,MATCH($A124&amp;"|registration",Import_Index!$I$5:$I$304,0)),F124))</f>
        <v>46016</v>
      </c>
      <c r="F124" s="49">
        <f>IF($AG124="","",INDEX(Import_Index!$D$5:$D$304,$AG124))</f>
        <v>46016</v>
      </c>
      <c r="G124" s="46">
        <f>IF($A124="","",COUNTIFS(Import_Index!$B$5:$B$304,$A124,Import_Index!$C$5:$C$304,"yes"))</f>
        <v>1</v>
      </c>
      <c r="H124" s="46">
        <f>IF($AG124="","",IFERROR(VALUE(INDEX(Kobo_Import!$A$2:$CZ$301,$AG124,Field_Map!$B$16)&amp;""),0))</f>
        <v>6</v>
      </c>
      <c r="I124" s="46" t="str">
        <f>IF($AG124="","",IF(IFERROR(INDEX(Kobo_Import!$A$2:$CZ$301,$AG124,Field_Map!$B$17)&amp;"","")="","",IFERROR(INDEX(Lists!$N$5:$N$19,MATCH(INDEX(Kobo_Import!$A$2:$CZ$301,$AG124,Field_Map!$B$17)&amp;"",Lists!$M$5:$M$19,0)),INDEX(Kobo_Import!$A$2:$CZ$301,$AG124,Field_Map!$B$17)&amp;"")))</f>
        <v>No</v>
      </c>
      <c r="J124" s="46">
        <f>IF($AG124="","",IFERROR(VALUE(INDEX(Kobo_Import!$A$2:$CZ$301,$AG124,Field_Map!$B$18)&amp;""),0))</f>
        <v>0</v>
      </c>
      <c r="K124" s="46">
        <f>IF($AG124="","",IFERROR(VALUE(INDEX(Kobo_Import!$A$2:$CZ$301,$AG124,Field_Map!$B$19)&amp;""),0))</f>
        <v>3</v>
      </c>
      <c r="L124" s="46">
        <f>IF($AG124="","",IFERROR(VALUE(INDEX(Kobo_Import!$A$2:$CZ$301,$AG124,Field_Map!$B$20)&amp;""),0))</f>
        <v>3</v>
      </c>
      <c r="M124" s="46">
        <f>IF($AG124="","",IFERROR(VALUE(INDEX(Kobo_Import!$A$2:$CZ$301,$AG124,Field_Map!$B$21)&amp;""),0))</f>
        <v>0</v>
      </c>
      <c r="N124" s="46">
        <f>IF($AG124="","",IFERROR(VALUE(INDEX(Kobo_Import!$A$2:$CZ$301,$AG124,Field_Map!$B$22)&amp;""),0))</f>
        <v>2</v>
      </c>
      <c r="O124" s="46">
        <f>IF($AG124="","",IFERROR(VALUE(INDEX(Kobo_Import!$A$2:$CZ$301,$AG124,Field_Map!$B$23)&amp;""),0))</f>
        <v>0</v>
      </c>
      <c r="P124" s="46">
        <f>IF($AG124="","",IFERROR(VALUE(INDEX(Kobo_Import!$A$2:$CZ$301,$AG124,Field_Map!$B$24)&amp;""),0))</f>
        <v>0</v>
      </c>
      <c r="Q124" s="46">
        <f>IF($AG124="","",IFERROR(VALUE(INDEX(Kobo_Import!$A$2:$CZ$301,$AG124,Field_Map!$B$25)&amp;""),0))</f>
        <v>4</v>
      </c>
      <c r="R124" s="46">
        <f>IF($AG124="","",IFERROR(VALUE(INDEX(Kobo_Import!$A$2:$CZ$301,$AG124,Field_Map!$B$26)&amp;""),0))</f>
        <v>0</v>
      </c>
      <c r="S124" s="46">
        <f>IF($AG124="","",IFERROR(VALUE(INDEX(Kobo_Import!$A$2:$CZ$301,$AG124,Field_Map!$B$27)&amp;""),0))</f>
        <v>1</v>
      </c>
      <c r="T124" s="46">
        <f>IF($AG124="","",IFERROR(VALUE(INDEX(Kobo_Import!$A$2:$CZ$301,$AG124,Field_Map!$B$28)&amp;""),0))</f>
        <v>1</v>
      </c>
      <c r="U124" s="46" t="str">
        <f>IF($AG124="","",IF(IFERROR(INDEX(Kobo_Import!$A$2:$CZ$301,$AG124,Field_Map!$B$29)&amp;"","")="","",IFERROR(INDEX(Lists!$N$5:$N$19,MATCH(INDEX(Kobo_Import!$A$2:$CZ$301,$AG124,Field_Map!$B$29)&amp;"",Lists!$M$5:$M$19,0)),INDEX(Kobo_Import!$A$2:$CZ$301,$AG124,Field_Map!$B$29)&amp;"")))</f>
        <v/>
      </c>
      <c r="V124" s="50">
        <f>IF($A124="","",Settings!$B$5-F124)</f>
        <v>37</v>
      </c>
      <c r="W124" s="46">
        <f>IF($A124="","",(J124&gt;0)*Settings!$B$22+(P124&gt;0)*Settings!$B$23+(M124&gt;0)*Settings!$B$24+(O124&gt;0)*Settings!$B$25+(I124="Yes")*Settings!$B$26+(D124="Unusable")*Settings!$B$27+(D124="Damaged")*Settings!$B$28+(H124&gt;=Settings!$B$30)*Settings!$B$29)</f>
        <v>0</v>
      </c>
      <c r="X124" s="46" t="str">
        <f>IF($A124="","",IF(W124&gt;=Settings!$B$31,"High",IF(W124&gt;=Settings!$B$32,"Medium","Low")))</f>
        <v>Low</v>
      </c>
      <c r="Y124" s="46" t="str">
        <f>IF($A124="","",IF(V124&gt;Settings!$B$21,"Yes",""))</f>
        <v>Yes</v>
      </c>
      <c r="Z124" s="46">
        <f>IF($A124="","",COUNTIFS(Referrals!$B$5:$B$52,$A124,Referrals!$G$5:$G$52,"Referred")+COUNTIFS(Referrals!$B$5:$B$52,$A124,Referrals!$G$5:$G$52,"Acknowledged"))</f>
        <v>0</v>
      </c>
      <c r="AA124" s="46">
        <f>IF($A124="","",COUNTIFS(Referrals!$B$5:$B$52,$A124,Referrals!$K$5:$K$52,"Overdue"))</f>
        <v>0</v>
      </c>
      <c r="AB124" s="46" t="str">
        <f>IF($A124="","",IF(AND(J124&gt;0,U124="Yes"),IF(COUNTIFS(Referrals!$B$5:$B$52,$A124,Referrals!$D$5:$D$52,"Nutrition / IYCF")=0,"Referral needed","Referred"),""))</f>
        <v/>
      </c>
      <c r="AC124" s="46" t="str">
        <f>IF($A124="","",IF(N(Needs_Gaps!O124)&gt;0,"Yes",""))</f>
        <v/>
      </c>
      <c r="AD124" s="46" t="str">
        <f>IF($A124="","",IF(COUNTIFS(Maintenance_Log!$C$5:$C$40,$A124,Maintenance_Log!$H$5:$H$40,"&lt;&gt;Resolved")&gt;0,"Yes",""))</f>
        <v/>
      </c>
      <c r="AE124" s="46">
        <f t="shared" si="6"/>
        <v>1</v>
      </c>
      <c r="AF124" s="46">
        <f t="shared" si="7"/>
        <v>100880</v>
      </c>
      <c r="AG124" s="46">
        <f>IFERROR(MATCH(ROW()-4,Import_Index!$H$5:$H$304,0),"")</f>
        <v>28</v>
      </c>
    </row>
    <row r="125" spans="1:33" x14ac:dyDescent="0.3">
      <c r="A125" s="46" t="str">
        <f>IF($AG125="","",IFERROR(INDEX(Kobo_Import!$A$2:$CZ$301,$AG125,Field_Map!$B$13)&amp;"",""))</f>
        <v/>
      </c>
      <c r="B125" s="46" t="str">
        <f>IF($AG125="","",IF(IFERROR(INDEX(Kobo_Import!$A$2:$CZ$301,$AG125,Field_Map!$B$9)&amp;"","")="","",IFERROR(INDEX(Lists!$N$5:$N$19,MATCH(INDEX(Kobo_Import!$A$2:$CZ$301,$AG125,Field_Map!$B$9)&amp;"",Lists!$M$5:$M$19,0)),INDEX(Kobo_Import!$A$2:$CZ$301,$AG125,Field_Map!$B$9)&amp;"")))</f>
        <v/>
      </c>
      <c r="C125" s="46" t="str">
        <f>IF($AG125="","",IF(IFERROR(INDEX(Kobo_Import!$A$2:$CZ$301,$AG125,Field_Map!$B$14)&amp;"","")="","",IFERROR(INDEX(Lists!$N$5:$N$19,MATCH(INDEX(Kobo_Import!$A$2:$CZ$301,$AG125,Field_Map!$B$14)&amp;"",Lists!$M$5:$M$19,0)),INDEX(Kobo_Import!$A$2:$CZ$301,$AG125,Field_Map!$B$14)&amp;"")))</f>
        <v/>
      </c>
      <c r="D125" s="46" t="str">
        <f>IF($AG125="","",IF(IFERROR(INDEX(Kobo_Import!$A$2:$CZ$301,$AG125,Field_Map!$B$15)&amp;"","")="","",IFERROR(INDEX(Lists!$N$5:$N$19,MATCH(INDEX(Kobo_Import!$A$2:$CZ$301,$AG125,Field_Map!$B$15)&amp;"",Lists!$M$5:$M$19,0)),INDEX(Kobo_Import!$A$2:$CZ$301,$AG125,Field_Map!$B$15)&amp;"")))</f>
        <v/>
      </c>
      <c r="E125" s="49" t="str">
        <f>IF($A125="","",IFERROR(INDEX(Import_Index!$D$5:$D$304,MATCH($A125&amp;"|registration",Import_Index!$I$5:$I$304,0)),F125))</f>
        <v/>
      </c>
      <c r="F125" s="49" t="str">
        <f>IF($AG125="","",INDEX(Import_Index!$D$5:$D$304,$AG125))</f>
        <v/>
      </c>
      <c r="G125" s="46" t="str">
        <f>IF($A125="","",COUNTIFS(Import_Index!$B$5:$B$304,$A125,Import_Index!$C$5:$C$304,"yes"))</f>
        <v/>
      </c>
      <c r="H125" s="46" t="str">
        <f>IF($AG125="","",IFERROR(VALUE(INDEX(Kobo_Import!$A$2:$CZ$301,$AG125,Field_Map!$B$16)&amp;""),0))</f>
        <v/>
      </c>
      <c r="I125" s="46" t="str">
        <f>IF($AG125="","",IF(IFERROR(INDEX(Kobo_Import!$A$2:$CZ$301,$AG125,Field_Map!$B$17)&amp;"","")="","",IFERROR(INDEX(Lists!$N$5:$N$19,MATCH(INDEX(Kobo_Import!$A$2:$CZ$301,$AG125,Field_Map!$B$17)&amp;"",Lists!$M$5:$M$19,0)),INDEX(Kobo_Import!$A$2:$CZ$301,$AG125,Field_Map!$B$17)&amp;"")))</f>
        <v/>
      </c>
      <c r="J125" s="46" t="str">
        <f>IF($AG125="","",IFERROR(VALUE(INDEX(Kobo_Import!$A$2:$CZ$301,$AG125,Field_Map!$B$18)&amp;""),0))</f>
        <v/>
      </c>
      <c r="K125" s="46" t="str">
        <f>IF($AG125="","",IFERROR(VALUE(INDEX(Kobo_Import!$A$2:$CZ$301,$AG125,Field_Map!$B$19)&amp;""),0))</f>
        <v/>
      </c>
      <c r="L125" s="46" t="str">
        <f>IF($AG125="","",IFERROR(VALUE(INDEX(Kobo_Import!$A$2:$CZ$301,$AG125,Field_Map!$B$20)&amp;""),0))</f>
        <v/>
      </c>
      <c r="M125" s="46" t="str">
        <f>IF($AG125="","",IFERROR(VALUE(INDEX(Kobo_Import!$A$2:$CZ$301,$AG125,Field_Map!$B$21)&amp;""),0))</f>
        <v/>
      </c>
      <c r="N125" s="46" t="str">
        <f>IF($AG125="","",IFERROR(VALUE(INDEX(Kobo_Import!$A$2:$CZ$301,$AG125,Field_Map!$B$22)&amp;""),0))</f>
        <v/>
      </c>
      <c r="O125" s="46" t="str">
        <f>IF($AG125="","",IFERROR(VALUE(INDEX(Kobo_Import!$A$2:$CZ$301,$AG125,Field_Map!$B$23)&amp;""),0))</f>
        <v/>
      </c>
      <c r="P125" s="46" t="str">
        <f>IF($AG125="","",IFERROR(VALUE(INDEX(Kobo_Import!$A$2:$CZ$301,$AG125,Field_Map!$B$24)&amp;""),0))</f>
        <v/>
      </c>
      <c r="Q125" s="46" t="str">
        <f>IF($AG125="","",IFERROR(VALUE(INDEX(Kobo_Import!$A$2:$CZ$301,$AG125,Field_Map!$B$25)&amp;""),0))</f>
        <v/>
      </c>
      <c r="R125" s="46" t="str">
        <f>IF($AG125="","",IFERROR(VALUE(INDEX(Kobo_Import!$A$2:$CZ$301,$AG125,Field_Map!$B$26)&amp;""),0))</f>
        <v/>
      </c>
      <c r="S125" s="46" t="str">
        <f>IF($AG125="","",IFERROR(VALUE(INDEX(Kobo_Import!$A$2:$CZ$301,$AG125,Field_Map!$B$27)&amp;""),0))</f>
        <v/>
      </c>
      <c r="T125" s="46" t="str">
        <f>IF($AG125="","",IFERROR(VALUE(INDEX(Kobo_Import!$A$2:$CZ$301,$AG125,Field_Map!$B$28)&amp;""),0))</f>
        <v/>
      </c>
      <c r="U125" s="46" t="str">
        <f>IF($AG125="","",IF(IFERROR(INDEX(Kobo_Import!$A$2:$CZ$301,$AG125,Field_Map!$B$29)&amp;"","")="","",IFERROR(INDEX(Lists!$N$5:$N$19,MATCH(INDEX(Kobo_Import!$A$2:$CZ$301,$AG125,Field_Map!$B$29)&amp;"",Lists!$M$5:$M$19,0)),INDEX(Kobo_Import!$A$2:$CZ$301,$AG125,Field_Map!$B$29)&amp;"")))</f>
        <v/>
      </c>
      <c r="V125" s="50" t="str">
        <f>IF($A125="","",Settings!$B$5-F125)</f>
        <v/>
      </c>
      <c r="W125" s="46" t="str">
        <f>IF($A125="","",(J125&gt;0)*Settings!$B$22+(P125&gt;0)*Settings!$B$23+(M125&gt;0)*Settings!$B$24+(O125&gt;0)*Settings!$B$25+(I125="Yes")*Settings!$B$26+(D125="Unusable")*Settings!$B$27+(D125="Damaged")*Settings!$B$28+(H125&gt;=Settings!$B$30)*Settings!$B$29)</f>
        <v/>
      </c>
      <c r="X125" s="46" t="str">
        <f>IF($A125="","",IF(W125&gt;=Settings!$B$31,"High",IF(W125&gt;=Settings!$B$32,"Medium","Low")))</f>
        <v/>
      </c>
      <c r="Y125" s="46" t="str">
        <f>IF($A125="","",IF(V125&gt;Settings!$B$21,"Yes",""))</f>
        <v/>
      </c>
      <c r="Z125" s="46" t="str">
        <f>IF($A125="","",COUNTIFS(Referrals!$B$5:$B$52,$A125,Referrals!$G$5:$G$52,"Referred")+COUNTIFS(Referrals!$B$5:$B$52,$A125,Referrals!$G$5:$G$52,"Acknowledged"))</f>
        <v/>
      </c>
      <c r="AA125" s="46" t="str">
        <f>IF($A125="","",COUNTIFS(Referrals!$B$5:$B$52,$A125,Referrals!$K$5:$K$52,"Overdue"))</f>
        <v/>
      </c>
      <c r="AB125" s="46" t="str">
        <f>IF($A125="","",IF(AND(J125&gt;0,U125="Yes"),IF(COUNTIFS(Referrals!$B$5:$B$52,$A125,Referrals!$D$5:$D$52,"Nutrition / IYCF")=0,"Referral needed","Referred"),""))</f>
        <v/>
      </c>
      <c r="AC125" s="46" t="str">
        <f>IF($A125="","",IF(N(Needs_Gaps!O125)&gt;0,"Yes",""))</f>
        <v/>
      </c>
      <c r="AD125" s="46" t="str">
        <f>IF($A125="","",IF(COUNTIFS(Maintenance_Log!$C$5:$C$40,$A125,Maintenance_Log!$H$5:$H$40,"&lt;&gt;Resolved")&gt;0,"Yes",""))</f>
        <v/>
      </c>
      <c r="AE125" s="46" t="str">
        <f t="shared" si="6"/>
        <v/>
      </c>
      <c r="AF125" s="46">
        <f t="shared" si="7"/>
        <v>0</v>
      </c>
      <c r="AG125" s="46" t="str">
        <f>IFERROR(MATCH(ROW()-4,Import_Index!$H$5:$H$304,0),"")</f>
        <v/>
      </c>
    </row>
    <row r="126" spans="1:33" x14ac:dyDescent="0.3">
      <c r="A126" s="46" t="str">
        <f>IF($AG126="","",IFERROR(INDEX(Kobo_Import!$A$2:$CZ$301,$AG126,Field_Map!$B$13)&amp;"",""))</f>
        <v/>
      </c>
      <c r="B126" s="46" t="str">
        <f>IF($AG126="","",IF(IFERROR(INDEX(Kobo_Import!$A$2:$CZ$301,$AG126,Field_Map!$B$9)&amp;"","")="","",IFERROR(INDEX(Lists!$N$5:$N$19,MATCH(INDEX(Kobo_Import!$A$2:$CZ$301,$AG126,Field_Map!$B$9)&amp;"",Lists!$M$5:$M$19,0)),INDEX(Kobo_Import!$A$2:$CZ$301,$AG126,Field_Map!$B$9)&amp;"")))</f>
        <v/>
      </c>
      <c r="C126" s="46" t="str">
        <f>IF($AG126="","",IF(IFERROR(INDEX(Kobo_Import!$A$2:$CZ$301,$AG126,Field_Map!$B$14)&amp;"","")="","",IFERROR(INDEX(Lists!$N$5:$N$19,MATCH(INDEX(Kobo_Import!$A$2:$CZ$301,$AG126,Field_Map!$B$14)&amp;"",Lists!$M$5:$M$19,0)),INDEX(Kobo_Import!$A$2:$CZ$301,$AG126,Field_Map!$B$14)&amp;"")))</f>
        <v/>
      </c>
      <c r="D126" s="46" t="str">
        <f>IF($AG126="","",IF(IFERROR(INDEX(Kobo_Import!$A$2:$CZ$301,$AG126,Field_Map!$B$15)&amp;"","")="","",IFERROR(INDEX(Lists!$N$5:$N$19,MATCH(INDEX(Kobo_Import!$A$2:$CZ$301,$AG126,Field_Map!$B$15)&amp;"",Lists!$M$5:$M$19,0)),INDEX(Kobo_Import!$A$2:$CZ$301,$AG126,Field_Map!$B$15)&amp;"")))</f>
        <v/>
      </c>
      <c r="E126" s="49" t="str">
        <f>IF($A126="","",IFERROR(INDEX(Import_Index!$D$5:$D$304,MATCH($A126&amp;"|registration",Import_Index!$I$5:$I$304,0)),F126))</f>
        <v/>
      </c>
      <c r="F126" s="49" t="str">
        <f>IF($AG126="","",INDEX(Import_Index!$D$5:$D$304,$AG126))</f>
        <v/>
      </c>
      <c r="G126" s="46" t="str">
        <f>IF($A126="","",COUNTIFS(Import_Index!$B$5:$B$304,$A126,Import_Index!$C$5:$C$304,"yes"))</f>
        <v/>
      </c>
      <c r="H126" s="46" t="str">
        <f>IF($AG126="","",IFERROR(VALUE(INDEX(Kobo_Import!$A$2:$CZ$301,$AG126,Field_Map!$B$16)&amp;""),0))</f>
        <v/>
      </c>
      <c r="I126" s="46" t="str">
        <f>IF($AG126="","",IF(IFERROR(INDEX(Kobo_Import!$A$2:$CZ$301,$AG126,Field_Map!$B$17)&amp;"","")="","",IFERROR(INDEX(Lists!$N$5:$N$19,MATCH(INDEX(Kobo_Import!$A$2:$CZ$301,$AG126,Field_Map!$B$17)&amp;"",Lists!$M$5:$M$19,0)),INDEX(Kobo_Import!$A$2:$CZ$301,$AG126,Field_Map!$B$17)&amp;"")))</f>
        <v/>
      </c>
      <c r="J126" s="46" t="str">
        <f>IF($AG126="","",IFERROR(VALUE(INDEX(Kobo_Import!$A$2:$CZ$301,$AG126,Field_Map!$B$18)&amp;""),0))</f>
        <v/>
      </c>
      <c r="K126" s="46" t="str">
        <f>IF($AG126="","",IFERROR(VALUE(INDEX(Kobo_Import!$A$2:$CZ$301,$AG126,Field_Map!$B$19)&amp;""),0))</f>
        <v/>
      </c>
      <c r="L126" s="46" t="str">
        <f>IF($AG126="","",IFERROR(VALUE(INDEX(Kobo_Import!$A$2:$CZ$301,$AG126,Field_Map!$B$20)&amp;""),0))</f>
        <v/>
      </c>
      <c r="M126" s="46" t="str">
        <f>IF($AG126="","",IFERROR(VALUE(INDEX(Kobo_Import!$A$2:$CZ$301,$AG126,Field_Map!$B$21)&amp;""),0))</f>
        <v/>
      </c>
      <c r="N126" s="46" t="str">
        <f>IF($AG126="","",IFERROR(VALUE(INDEX(Kobo_Import!$A$2:$CZ$301,$AG126,Field_Map!$B$22)&amp;""),0))</f>
        <v/>
      </c>
      <c r="O126" s="46" t="str">
        <f>IF($AG126="","",IFERROR(VALUE(INDEX(Kobo_Import!$A$2:$CZ$301,$AG126,Field_Map!$B$23)&amp;""),0))</f>
        <v/>
      </c>
      <c r="P126" s="46" t="str">
        <f>IF($AG126="","",IFERROR(VALUE(INDEX(Kobo_Import!$A$2:$CZ$301,$AG126,Field_Map!$B$24)&amp;""),0))</f>
        <v/>
      </c>
      <c r="Q126" s="46" t="str">
        <f>IF($AG126="","",IFERROR(VALUE(INDEX(Kobo_Import!$A$2:$CZ$301,$AG126,Field_Map!$B$25)&amp;""),0))</f>
        <v/>
      </c>
      <c r="R126" s="46" t="str">
        <f>IF($AG126="","",IFERROR(VALUE(INDEX(Kobo_Import!$A$2:$CZ$301,$AG126,Field_Map!$B$26)&amp;""),0))</f>
        <v/>
      </c>
      <c r="S126" s="46" t="str">
        <f>IF($AG126="","",IFERROR(VALUE(INDEX(Kobo_Import!$A$2:$CZ$301,$AG126,Field_Map!$B$27)&amp;""),0))</f>
        <v/>
      </c>
      <c r="T126" s="46" t="str">
        <f>IF($AG126="","",IFERROR(VALUE(INDEX(Kobo_Import!$A$2:$CZ$301,$AG126,Field_Map!$B$28)&amp;""),0))</f>
        <v/>
      </c>
      <c r="U126" s="46" t="str">
        <f>IF($AG126="","",IF(IFERROR(INDEX(Kobo_Import!$A$2:$CZ$301,$AG126,Field_Map!$B$29)&amp;"","")="","",IFERROR(INDEX(Lists!$N$5:$N$19,MATCH(INDEX(Kobo_Import!$A$2:$CZ$301,$AG126,Field_Map!$B$29)&amp;"",Lists!$M$5:$M$19,0)),INDEX(Kobo_Import!$A$2:$CZ$301,$AG126,Field_Map!$B$29)&amp;"")))</f>
        <v/>
      </c>
      <c r="V126" s="50" t="str">
        <f>IF($A126="","",Settings!$B$5-F126)</f>
        <v/>
      </c>
      <c r="W126" s="46" t="str">
        <f>IF($A126="","",(J126&gt;0)*Settings!$B$22+(P126&gt;0)*Settings!$B$23+(M126&gt;0)*Settings!$B$24+(O126&gt;0)*Settings!$B$25+(I126="Yes")*Settings!$B$26+(D126="Unusable")*Settings!$B$27+(D126="Damaged")*Settings!$B$28+(H126&gt;=Settings!$B$30)*Settings!$B$29)</f>
        <v/>
      </c>
      <c r="X126" s="46" t="str">
        <f>IF($A126="","",IF(W126&gt;=Settings!$B$31,"High",IF(W126&gt;=Settings!$B$32,"Medium","Low")))</f>
        <v/>
      </c>
      <c r="Y126" s="46" t="str">
        <f>IF($A126="","",IF(V126&gt;Settings!$B$21,"Yes",""))</f>
        <v/>
      </c>
      <c r="Z126" s="46" t="str">
        <f>IF($A126="","",COUNTIFS(Referrals!$B$5:$B$52,$A126,Referrals!$G$5:$G$52,"Referred")+COUNTIFS(Referrals!$B$5:$B$52,$A126,Referrals!$G$5:$G$52,"Acknowledged"))</f>
        <v/>
      </c>
      <c r="AA126" s="46" t="str">
        <f>IF($A126="","",COUNTIFS(Referrals!$B$5:$B$52,$A126,Referrals!$K$5:$K$52,"Overdue"))</f>
        <v/>
      </c>
      <c r="AB126" s="46" t="str">
        <f>IF($A126="","",IF(AND(J126&gt;0,U126="Yes"),IF(COUNTIFS(Referrals!$B$5:$B$52,$A126,Referrals!$D$5:$D$52,"Nutrition / IYCF")=0,"Referral needed","Referred"),""))</f>
        <v/>
      </c>
      <c r="AC126" s="46" t="str">
        <f>IF($A126="","",IF(N(Needs_Gaps!O126)&gt;0,"Yes",""))</f>
        <v/>
      </c>
      <c r="AD126" s="46" t="str">
        <f>IF($A126="","",IF(COUNTIFS(Maintenance_Log!$C$5:$C$40,$A126,Maintenance_Log!$H$5:$H$40,"&lt;&gt;Resolved")&gt;0,"Yes",""))</f>
        <v/>
      </c>
      <c r="AE126" s="46" t="str">
        <f t="shared" si="6"/>
        <v/>
      </c>
      <c r="AF126" s="46">
        <f t="shared" si="7"/>
        <v>0</v>
      </c>
      <c r="AG126" s="46" t="str">
        <f>IFERROR(MATCH(ROW()-4,Import_Index!$H$5:$H$304,0),"")</f>
        <v/>
      </c>
    </row>
    <row r="127" spans="1:33" x14ac:dyDescent="0.3">
      <c r="A127" s="46" t="str">
        <f>IF($AG127="","",IFERROR(INDEX(Kobo_Import!$A$2:$CZ$301,$AG127,Field_Map!$B$13)&amp;"",""))</f>
        <v/>
      </c>
      <c r="B127" s="46" t="str">
        <f>IF($AG127="","",IF(IFERROR(INDEX(Kobo_Import!$A$2:$CZ$301,$AG127,Field_Map!$B$9)&amp;"","")="","",IFERROR(INDEX(Lists!$N$5:$N$19,MATCH(INDEX(Kobo_Import!$A$2:$CZ$301,$AG127,Field_Map!$B$9)&amp;"",Lists!$M$5:$M$19,0)),INDEX(Kobo_Import!$A$2:$CZ$301,$AG127,Field_Map!$B$9)&amp;"")))</f>
        <v/>
      </c>
      <c r="C127" s="46" t="str">
        <f>IF($AG127="","",IF(IFERROR(INDEX(Kobo_Import!$A$2:$CZ$301,$AG127,Field_Map!$B$14)&amp;"","")="","",IFERROR(INDEX(Lists!$N$5:$N$19,MATCH(INDEX(Kobo_Import!$A$2:$CZ$301,$AG127,Field_Map!$B$14)&amp;"",Lists!$M$5:$M$19,0)),INDEX(Kobo_Import!$A$2:$CZ$301,$AG127,Field_Map!$B$14)&amp;"")))</f>
        <v/>
      </c>
      <c r="D127" s="46" t="str">
        <f>IF($AG127="","",IF(IFERROR(INDEX(Kobo_Import!$A$2:$CZ$301,$AG127,Field_Map!$B$15)&amp;"","")="","",IFERROR(INDEX(Lists!$N$5:$N$19,MATCH(INDEX(Kobo_Import!$A$2:$CZ$301,$AG127,Field_Map!$B$15)&amp;"",Lists!$M$5:$M$19,0)),INDEX(Kobo_Import!$A$2:$CZ$301,$AG127,Field_Map!$B$15)&amp;"")))</f>
        <v/>
      </c>
      <c r="E127" s="49" t="str">
        <f>IF($A127="","",IFERROR(INDEX(Import_Index!$D$5:$D$304,MATCH($A127&amp;"|registration",Import_Index!$I$5:$I$304,0)),F127))</f>
        <v/>
      </c>
      <c r="F127" s="49" t="str">
        <f>IF($AG127="","",INDEX(Import_Index!$D$5:$D$304,$AG127))</f>
        <v/>
      </c>
      <c r="G127" s="46" t="str">
        <f>IF($A127="","",COUNTIFS(Import_Index!$B$5:$B$304,$A127,Import_Index!$C$5:$C$304,"yes"))</f>
        <v/>
      </c>
      <c r="H127" s="46" t="str">
        <f>IF($AG127="","",IFERROR(VALUE(INDEX(Kobo_Import!$A$2:$CZ$301,$AG127,Field_Map!$B$16)&amp;""),0))</f>
        <v/>
      </c>
      <c r="I127" s="46" t="str">
        <f>IF($AG127="","",IF(IFERROR(INDEX(Kobo_Import!$A$2:$CZ$301,$AG127,Field_Map!$B$17)&amp;"","")="","",IFERROR(INDEX(Lists!$N$5:$N$19,MATCH(INDEX(Kobo_Import!$A$2:$CZ$301,$AG127,Field_Map!$B$17)&amp;"",Lists!$M$5:$M$19,0)),INDEX(Kobo_Import!$A$2:$CZ$301,$AG127,Field_Map!$B$17)&amp;"")))</f>
        <v/>
      </c>
      <c r="J127" s="46" t="str">
        <f>IF($AG127="","",IFERROR(VALUE(INDEX(Kobo_Import!$A$2:$CZ$301,$AG127,Field_Map!$B$18)&amp;""),0))</f>
        <v/>
      </c>
      <c r="K127" s="46" t="str">
        <f>IF($AG127="","",IFERROR(VALUE(INDEX(Kobo_Import!$A$2:$CZ$301,$AG127,Field_Map!$B$19)&amp;""),0))</f>
        <v/>
      </c>
      <c r="L127" s="46" t="str">
        <f>IF($AG127="","",IFERROR(VALUE(INDEX(Kobo_Import!$A$2:$CZ$301,$AG127,Field_Map!$B$20)&amp;""),0))</f>
        <v/>
      </c>
      <c r="M127" s="46" t="str">
        <f>IF($AG127="","",IFERROR(VALUE(INDEX(Kobo_Import!$A$2:$CZ$301,$AG127,Field_Map!$B$21)&amp;""),0))</f>
        <v/>
      </c>
      <c r="N127" s="46" t="str">
        <f>IF($AG127="","",IFERROR(VALUE(INDEX(Kobo_Import!$A$2:$CZ$301,$AG127,Field_Map!$B$22)&amp;""),0))</f>
        <v/>
      </c>
      <c r="O127" s="46" t="str">
        <f>IF($AG127="","",IFERROR(VALUE(INDEX(Kobo_Import!$A$2:$CZ$301,$AG127,Field_Map!$B$23)&amp;""),0))</f>
        <v/>
      </c>
      <c r="P127" s="46" t="str">
        <f>IF($AG127="","",IFERROR(VALUE(INDEX(Kobo_Import!$A$2:$CZ$301,$AG127,Field_Map!$B$24)&amp;""),0))</f>
        <v/>
      </c>
      <c r="Q127" s="46" t="str">
        <f>IF($AG127="","",IFERROR(VALUE(INDEX(Kobo_Import!$A$2:$CZ$301,$AG127,Field_Map!$B$25)&amp;""),0))</f>
        <v/>
      </c>
      <c r="R127" s="46" t="str">
        <f>IF($AG127="","",IFERROR(VALUE(INDEX(Kobo_Import!$A$2:$CZ$301,$AG127,Field_Map!$B$26)&amp;""),0))</f>
        <v/>
      </c>
      <c r="S127" s="46" t="str">
        <f>IF($AG127="","",IFERROR(VALUE(INDEX(Kobo_Import!$A$2:$CZ$301,$AG127,Field_Map!$B$27)&amp;""),0))</f>
        <v/>
      </c>
      <c r="T127" s="46" t="str">
        <f>IF($AG127="","",IFERROR(VALUE(INDEX(Kobo_Import!$A$2:$CZ$301,$AG127,Field_Map!$B$28)&amp;""),0))</f>
        <v/>
      </c>
      <c r="U127" s="46" t="str">
        <f>IF($AG127="","",IF(IFERROR(INDEX(Kobo_Import!$A$2:$CZ$301,$AG127,Field_Map!$B$29)&amp;"","")="","",IFERROR(INDEX(Lists!$N$5:$N$19,MATCH(INDEX(Kobo_Import!$A$2:$CZ$301,$AG127,Field_Map!$B$29)&amp;"",Lists!$M$5:$M$19,0)),INDEX(Kobo_Import!$A$2:$CZ$301,$AG127,Field_Map!$B$29)&amp;"")))</f>
        <v/>
      </c>
      <c r="V127" s="50" t="str">
        <f>IF($A127="","",Settings!$B$5-F127)</f>
        <v/>
      </c>
      <c r="W127" s="46" t="str">
        <f>IF($A127="","",(J127&gt;0)*Settings!$B$22+(P127&gt;0)*Settings!$B$23+(M127&gt;0)*Settings!$B$24+(O127&gt;0)*Settings!$B$25+(I127="Yes")*Settings!$B$26+(D127="Unusable")*Settings!$B$27+(D127="Damaged")*Settings!$B$28+(H127&gt;=Settings!$B$30)*Settings!$B$29)</f>
        <v/>
      </c>
      <c r="X127" s="46" t="str">
        <f>IF($A127="","",IF(W127&gt;=Settings!$B$31,"High",IF(W127&gt;=Settings!$B$32,"Medium","Low")))</f>
        <v/>
      </c>
      <c r="Y127" s="46" t="str">
        <f>IF($A127="","",IF(V127&gt;Settings!$B$21,"Yes",""))</f>
        <v/>
      </c>
      <c r="Z127" s="46" t="str">
        <f>IF($A127="","",COUNTIFS(Referrals!$B$5:$B$52,$A127,Referrals!$G$5:$G$52,"Referred")+COUNTIFS(Referrals!$B$5:$B$52,$A127,Referrals!$G$5:$G$52,"Acknowledged"))</f>
        <v/>
      </c>
      <c r="AA127" s="46" t="str">
        <f>IF($A127="","",COUNTIFS(Referrals!$B$5:$B$52,$A127,Referrals!$K$5:$K$52,"Overdue"))</f>
        <v/>
      </c>
      <c r="AB127" s="46" t="str">
        <f>IF($A127="","",IF(AND(J127&gt;0,U127="Yes"),IF(COUNTIFS(Referrals!$B$5:$B$52,$A127,Referrals!$D$5:$D$52,"Nutrition / IYCF")=0,"Referral needed","Referred"),""))</f>
        <v/>
      </c>
      <c r="AC127" s="46" t="str">
        <f>IF($A127="","",IF(N(Needs_Gaps!O127)&gt;0,"Yes",""))</f>
        <v/>
      </c>
      <c r="AD127" s="46" t="str">
        <f>IF($A127="","",IF(COUNTIFS(Maintenance_Log!$C$5:$C$40,$A127,Maintenance_Log!$H$5:$H$40,"&lt;&gt;Resolved")&gt;0,"Yes",""))</f>
        <v/>
      </c>
      <c r="AE127" s="46" t="str">
        <f t="shared" si="6"/>
        <v/>
      </c>
      <c r="AF127" s="46">
        <f t="shared" si="7"/>
        <v>0</v>
      </c>
      <c r="AG127" s="46" t="str">
        <f>IFERROR(MATCH(ROW()-4,Import_Index!$H$5:$H$304,0),"")</f>
        <v/>
      </c>
    </row>
    <row r="128" spans="1:33" x14ac:dyDescent="0.3">
      <c r="A128" s="46" t="str">
        <f>IF($AG128="","",IFERROR(INDEX(Kobo_Import!$A$2:$CZ$301,$AG128,Field_Map!$B$13)&amp;"",""))</f>
        <v/>
      </c>
      <c r="B128" s="46" t="str">
        <f>IF($AG128="","",IF(IFERROR(INDEX(Kobo_Import!$A$2:$CZ$301,$AG128,Field_Map!$B$9)&amp;"","")="","",IFERROR(INDEX(Lists!$N$5:$N$19,MATCH(INDEX(Kobo_Import!$A$2:$CZ$301,$AG128,Field_Map!$B$9)&amp;"",Lists!$M$5:$M$19,0)),INDEX(Kobo_Import!$A$2:$CZ$301,$AG128,Field_Map!$B$9)&amp;"")))</f>
        <v/>
      </c>
      <c r="C128" s="46" t="str">
        <f>IF($AG128="","",IF(IFERROR(INDEX(Kobo_Import!$A$2:$CZ$301,$AG128,Field_Map!$B$14)&amp;"","")="","",IFERROR(INDEX(Lists!$N$5:$N$19,MATCH(INDEX(Kobo_Import!$A$2:$CZ$301,$AG128,Field_Map!$B$14)&amp;"",Lists!$M$5:$M$19,0)),INDEX(Kobo_Import!$A$2:$CZ$301,$AG128,Field_Map!$B$14)&amp;"")))</f>
        <v/>
      </c>
      <c r="D128" s="46" t="str">
        <f>IF($AG128="","",IF(IFERROR(INDEX(Kobo_Import!$A$2:$CZ$301,$AG128,Field_Map!$B$15)&amp;"","")="","",IFERROR(INDEX(Lists!$N$5:$N$19,MATCH(INDEX(Kobo_Import!$A$2:$CZ$301,$AG128,Field_Map!$B$15)&amp;"",Lists!$M$5:$M$19,0)),INDEX(Kobo_Import!$A$2:$CZ$301,$AG128,Field_Map!$B$15)&amp;"")))</f>
        <v/>
      </c>
      <c r="E128" s="49" t="str">
        <f>IF($A128="","",IFERROR(INDEX(Import_Index!$D$5:$D$304,MATCH($A128&amp;"|registration",Import_Index!$I$5:$I$304,0)),F128))</f>
        <v/>
      </c>
      <c r="F128" s="49" t="str">
        <f>IF($AG128="","",INDEX(Import_Index!$D$5:$D$304,$AG128))</f>
        <v/>
      </c>
      <c r="G128" s="46" t="str">
        <f>IF($A128="","",COUNTIFS(Import_Index!$B$5:$B$304,$A128,Import_Index!$C$5:$C$304,"yes"))</f>
        <v/>
      </c>
      <c r="H128" s="46" t="str">
        <f>IF($AG128="","",IFERROR(VALUE(INDEX(Kobo_Import!$A$2:$CZ$301,$AG128,Field_Map!$B$16)&amp;""),0))</f>
        <v/>
      </c>
      <c r="I128" s="46" t="str">
        <f>IF($AG128="","",IF(IFERROR(INDEX(Kobo_Import!$A$2:$CZ$301,$AG128,Field_Map!$B$17)&amp;"","")="","",IFERROR(INDEX(Lists!$N$5:$N$19,MATCH(INDEX(Kobo_Import!$A$2:$CZ$301,$AG128,Field_Map!$B$17)&amp;"",Lists!$M$5:$M$19,0)),INDEX(Kobo_Import!$A$2:$CZ$301,$AG128,Field_Map!$B$17)&amp;"")))</f>
        <v/>
      </c>
      <c r="J128" s="46" t="str">
        <f>IF($AG128="","",IFERROR(VALUE(INDEX(Kobo_Import!$A$2:$CZ$301,$AG128,Field_Map!$B$18)&amp;""),0))</f>
        <v/>
      </c>
      <c r="K128" s="46" t="str">
        <f>IF($AG128="","",IFERROR(VALUE(INDEX(Kobo_Import!$A$2:$CZ$301,$AG128,Field_Map!$B$19)&amp;""),0))</f>
        <v/>
      </c>
      <c r="L128" s="46" t="str">
        <f>IF($AG128="","",IFERROR(VALUE(INDEX(Kobo_Import!$A$2:$CZ$301,$AG128,Field_Map!$B$20)&amp;""),0))</f>
        <v/>
      </c>
      <c r="M128" s="46" t="str">
        <f>IF($AG128="","",IFERROR(VALUE(INDEX(Kobo_Import!$A$2:$CZ$301,$AG128,Field_Map!$B$21)&amp;""),0))</f>
        <v/>
      </c>
      <c r="N128" s="46" t="str">
        <f>IF($AG128="","",IFERROR(VALUE(INDEX(Kobo_Import!$A$2:$CZ$301,$AG128,Field_Map!$B$22)&amp;""),0))</f>
        <v/>
      </c>
      <c r="O128" s="46" t="str">
        <f>IF($AG128="","",IFERROR(VALUE(INDEX(Kobo_Import!$A$2:$CZ$301,$AG128,Field_Map!$B$23)&amp;""),0))</f>
        <v/>
      </c>
      <c r="P128" s="46" t="str">
        <f>IF($AG128="","",IFERROR(VALUE(INDEX(Kobo_Import!$A$2:$CZ$301,$AG128,Field_Map!$B$24)&amp;""),0))</f>
        <v/>
      </c>
      <c r="Q128" s="46" t="str">
        <f>IF($AG128="","",IFERROR(VALUE(INDEX(Kobo_Import!$A$2:$CZ$301,$AG128,Field_Map!$B$25)&amp;""),0))</f>
        <v/>
      </c>
      <c r="R128" s="46" t="str">
        <f>IF($AG128="","",IFERROR(VALUE(INDEX(Kobo_Import!$A$2:$CZ$301,$AG128,Field_Map!$B$26)&amp;""),0))</f>
        <v/>
      </c>
      <c r="S128" s="46" t="str">
        <f>IF($AG128="","",IFERROR(VALUE(INDEX(Kobo_Import!$A$2:$CZ$301,$AG128,Field_Map!$B$27)&amp;""),0))</f>
        <v/>
      </c>
      <c r="T128" s="46" t="str">
        <f>IF($AG128="","",IFERROR(VALUE(INDEX(Kobo_Import!$A$2:$CZ$301,$AG128,Field_Map!$B$28)&amp;""),0))</f>
        <v/>
      </c>
      <c r="U128" s="46" t="str">
        <f>IF($AG128="","",IF(IFERROR(INDEX(Kobo_Import!$A$2:$CZ$301,$AG128,Field_Map!$B$29)&amp;"","")="","",IFERROR(INDEX(Lists!$N$5:$N$19,MATCH(INDEX(Kobo_Import!$A$2:$CZ$301,$AG128,Field_Map!$B$29)&amp;"",Lists!$M$5:$M$19,0)),INDEX(Kobo_Import!$A$2:$CZ$301,$AG128,Field_Map!$B$29)&amp;"")))</f>
        <v/>
      </c>
      <c r="V128" s="50" t="str">
        <f>IF($A128="","",Settings!$B$5-F128)</f>
        <v/>
      </c>
      <c r="W128" s="46" t="str">
        <f>IF($A128="","",(J128&gt;0)*Settings!$B$22+(P128&gt;0)*Settings!$B$23+(M128&gt;0)*Settings!$B$24+(O128&gt;0)*Settings!$B$25+(I128="Yes")*Settings!$B$26+(D128="Unusable")*Settings!$B$27+(D128="Damaged")*Settings!$B$28+(H128&gt;=Settings!$B$30)*Settings!$B$29)</f>
        <v/>
      </c>
      <c r="X128" s="46" t="str">
        <f>IF($A128="","",IF(W128&gt;=Settings!$B$31,"High",IF(W128&gt;=Settings!$B$32,"Medium","Low")))</f>
        <v/>
      </c>
      <c r="Y128" s="46" t="str">
        <f>IF($A128="","",IF(V128&gt;Settings!$B$21,"Yes",""))</f>
        <v/>
      </c>
      <c r="Z128" s="46" t="str">
        <f>IF($A128="","",COUNTIFS(Referrals!$B$5:$B$52,$A128,Referrals!$G$5:$G$52,"Referred")+COUNTIFS(Referrals!$B$5:$B$52,$A128,Referrals!$G$5:$G$52,"Acknowledged"))</f>
        <v/>
      </c>
      <c r="AA128" s="46" t="str">
        <f>IF($A128="","",COUNTIFS(Referrals!$B$5:$B$52,$A128,Referrals!$K$5:$K$52,"Overdue"))</f>
        <v/>
      </c>
      <c r="AB128" s="46" t="str">
        <f>IF($A128="","",IF(AND(J128&gt;0,U128="Yes"),IF(COUNTIFS(Referrals!$B$5:$B$52,$A128,Referrals!$D$5:$D$52,"Nutrition / IYCF")=0,"Referral needed","Referred"),""))</f>
        <v/>
      </c>
      <c r="AC128" s="46" t="str">
        <f>IF($A128="","",IF(N(Needs_Gaps!O128)&gt;0,"Yes",""))</f>
        <v/>
      </c>
      <c r="AD128" s="46" t="str">
        <f>IF($A128="","",IF(COUNTIFS(Maintenance_Log!$C$5:$C$40,$A128,Maintenance_Log!$H$5:$H$40,"&lt;&gt;Resolved")&gt;0,"Yes",""))</f>
        <v/>
      </c>
      <c r="AE128" s="46" t="str">
        <f t="shared" si="6"/>
        <v/>
      </c>
      <c r="AF128" s="46">
        <f t="shared" si="7"/>
        <v>0</v>
      </c>
      <c r="AG128" s="46" t="str">
        <f>IFERROR(MATCH(ROW()-4,Import_Index!$H$5:$H$304,0),"")</f>
        <v/>
      </c>
    </row>
    <row r="129" spans="1:33" x14ac:dyDescent="0.3">
      <c r="A129" s="46" t="str">
        <f>IF($AG129="","",IFERROR(INDEX(Kobo_Import!$A$2:$CZ$301,$AG129,Field_Map!$B$13)&amp;"",""))</f>
        <v/>
      </c>
      <c r="B129" s="46" t="str">
        <f>IF($AG129="","",IF(IFERROR(INDEX(Kobo_Import!$A$2:$CZ$301,$AG129,Field_Map!$B$9)&amp;"","")="","",IFERROR(INDEX(Lists!$N$5:$N$19,MATCH(INDEX(Kobo_Import!$A$2:$CZ$301,$AG129,Field_Map!$B$9)&amp;"",Lists!$M$5:$M$19,0)),INDEX(Kobo_Import!$A$2:$CZ$301,$AG129,Field_Map!$B$9)&amp;"")))</f>
        <v/>
      </c>
      <c r="C129" s="46" t="str">
        <f>IF($AG129="","",IF(IFERROR(INDEX(Kobo_Import!$A$2:$CZ$301,$AG129,Field_Map!$B$14)&amp;"","")="","",IFERROR(INDEX(Lists!$N$5:$N$19,MATCH(INDEX(Kobo_Import!$A$2:$CZ$301,$AG129,Field_Map!$B$14)&amp;"",Lists!$M$5:$M$19,0)),INDEX(Kobo_Import!$A$2:$CZ$301,$AG129,Field_Map!$B$14)&amp;"")))</f>
        <v/>
      </c>
      <c r="D129" s="46" t="str">
        <f>IF($AG129="","",IF(IFERROR(INDEX(Kobo_Import!$A$2:$CZ$301,$AG129,Field_Map!$B$15)&amp;"","")="","",IFERROR(INDEX(Lists!$N$5:$N$19,MATCH(INDEX(Kobo_Import!$A$2:$CZ$301,$AG129,Field_Map!$B$15)&amp;"",Lists!$M$5:$M$19,0)),INDEX(Kobo_Import!$A$2:$CZ$301,$AG129,Field_Map!$B$15)&amp;"")))</f>
        <v/>
      </c>
      <c r="E129" s="49" t="str">
        <f>IF($A129="","",IFERROR(INDEX(Import_Index!$D$5:$D$304,MATCH($A129&amp;"|registration",Import_Index!$I$5:$I$304,0)),F129))</f>
        <v/>
      </c>
      <c r="F129" s="49" t="str">
        <f>IF($AG129="","",INDEX(Import_Index!$D$5:$D$304,$AG129))</f>
        <v/>
      </c>
      <c r="G129" s="46" t="str">
        <f>IF($A129="","",COUNTIFS(Import_Index!$B$5:$B$304,$A129,Import_Index!$C$5:$C$304,"yes"))</f>
        <v/>
      </c>
      <c r="H129" s="46" t="str">
        <f>IF($AG129="","",IFERROR(VALUE(INDEX(Kobo_Import!$A$2:$CZ$301,$AG129,Field_Map!$B$16)&amp;""),0))</f>
        <v/>
      </c>
      <c r="I129" s="46" t="str">
        <f>IF($AG129="","",IF(IFERROR(INDEX(Kobo_Import!$A$2:$CZ$301,$AG129,Field_Map!$B$17)&amp;"","")="","",IFERROR(INDEX(Lists!$N$5:$N$19,MATCH(INDEX(Kobo_Import!$A$2:$CZ$301,$AG129,Field_Map!$B$17)&amp;"",Lists!$M$5:$M$19,0)),INDEX(Kobo_Import!$A$2:$CZ$301,$AG129,Field_Map!$B$17)&amp;"")))</f>
        <v/>
      </c>
      <c r="J129" s="46" t="str">
        <f>IF($AG129="","",IFERROR(VALUE(INDEX(Kobo_Import!$A$2:$CZ$301,$AG129,Field_Map!$B$18)&amp;""),0))</f>
        <v/>
      </c>
      <c r="K129" s="46" t="str">
        <f>IF($AG129="","",IFERROR(VALUE(INDEX(Kobo_Import!$A$2:$CZ$301,$AG129,Field_Map!$B$19)&amp;""),0))</f>
        <v/>
      </c>
      <c r="L129" s="46" t="str">
        <f>IF($AG129="","",IFERROR(VALUE(INDEX(Kobo_Import!$A$2:$CZ$301,$AG129,Field_Map!$B$20)&amp;""),0))</f>
        <v/>
      </c>
      <c r="M129" s="46" t="str">
        <f>IF($AG129="","",IFERROR(VALUE(INDEX(Kobo_Import!$A$2:$CZ$301,$AG129,Field_Map!$B$21)&amp;""),0))</f>
        <v/>
      </c>
      <c r="N129" s="46" t="str">
        <f>IF($AG129="","",IFERROR(VALUE(INDEX(Kobo_Import!$A$2:$CZ$301,$AG129,Field_Map!$B$22)&amp;""),0))</f>
        <v/>
      </c>
      <c r="O129" s="46" t="str">
        <f>IF($AG129="","",IFERROR(VALUE(INDEX(Kobo_Import!$A$2:$CZ$301,$AG129,Field_Map!$B$23)&amp;""),0))</f>
        <v/>
      </c>
      <c r="P129" s="46" t="str">
        <f>IF($AG129="","",IFERROR(VALUE(INDEX(Kobo_Import!$A$2:$CZ$301,$AG129,Field_Map!$B$24)&amp;""),0))</f>
        <v/>
      </c>
      <c r="Q129" s="46" t="str">
        <f>IF($AG129="","",IFERROR(VALUE(INDEX(Kobo_Import!$A$2:$CZ$301,$AG129,Field_Map!$B$25)&amp;""),0))</f>
        <v/>
      </c>
      <c r="R129" s="46" t="str">
        <f>IF($AG129="","",IFERROR(VALUE(INDEX(Kobo_Import!$A$2:$CZ$301,$AG129,Field_Map!$B$26)&amp;""),0))</f>
        <v/>
      </c>
      <c r="S129" s="46" t="str">
        <f>IF($AG129="","",IFERROR(VALUE(INDEX(Kobo_Import!$A$2:$CZ$301,$AG129,Field_Map!$B$27)&amp;""),0))</f>
        <v/>
      </c>
      <c r="T129" s="46" t="str">
        <f>IF($AG129="","",IFERROR(VALUE(INDEX(Kobo_Import!$A$2:$CZ$301,$AG129,Field_Map!$B$28)&amp;""),0))</f>
        <v/>
      </c>
      <c r="U129" s="46" t="str">
        <f>IF($AG129="","",IF(IFERROR(INDEX(Kobo_Import!$A$2:$CZ$301,$AG129,Field_Map!$B$29)&amp;"","")="","",IFERROR(INDEX(Lists!$N$5:$N$19,MATCH(INDEX(Kobo_Import!$A$2:$CZ$301,$AG129,Field_Map!$B$29)&amp;"",Lists!$M$5:$M$19,0)),INDEX(Kobo_Import!$A$2:$CZ$301,$AG129,Field_Map!$B$29)&amp;"")))</f>
        <v/>
      </c>
      <c r="V129" s="50" t="str">
        <f>IF($A129="","",Settings!$B$5-F129)</f>
        <v/>
      </c>
      <c r="W129" s="46" t="str">
        <f>IF($A129="","",(J129&gt;0)*Settings!$B$22+(P129&gt;0)*Settings!$B$23+(M129&gt;0)*Settings!$B$24+(O129&gt;0)*Settings!$B$25+(I129="Yes")*Settings!$B$26+(D129="Unusable")*Settings!$B$27+(D129="Damaged")*Settings!$B$28+(H129&gt;=Settings!$B$30)*Settings!$B$29)</f>
        <v/>
      </c>
      <c r="X129" s="46" t="str">
        <f>IF($A129="","",IF(W129&gt;=Settings!$B$31,"High",IF(W129&gt;=Settings!$B$32,"Medium","Low")))</f>
        <v/>
      </c>
      <c r="Y129" s="46" t="str">
        <f>IF($A129="","",IF(V129&gt;Settings!$B$21,"Yes",""))</f>
        <v/>
      </c>
      <c r="Z129" s="46" t="str">
        <f>IF($A129="","",COUNTIFS(Referrals!$B$5:$B$52,$A129,Referrals!$G$5:$G$52,"Referred")+COUNTIFS(Referrals!$B$5:$B$52,$A129,Referrals!$G$5:$G$52,"Acknowledged"))</f>
        <v/>
      </c>
      <c r="AA129" s="46" t="str">
        <f>IF($A129="","",COUNTIFS(Referrals!$B$5:$B$52,$A129,Referrals!$K$5:$K$52,"Overdue"))</f>
        <v/>
      </c>
      <c r="AB129" s="46" t="str">
        <f>IF($A129="","",IF(AND(J129&gt;0,U129="Yes"),IF(COUNTIFS(Referrals!$B$5:$B$52,$A129,Referrals!$D$5:$D$52,"Nutrition / IYCF")=0,"Referral needed","Referred"),""))</f>
        <v/>
      </c>
      <c r="AC129" s="46" t="str">
        <f>IF($A129="","",IF(N(Needs_Gaps!O129)&gt;0,"Yes",""))</f>
        <v/>
      </c>
      <c r="AD129" s="46" t="str">
        <f>IF($A129="","",IF(COUNTIFS(Maintenance_Log!$C$5:$C$40,$A129,Maintenance_Log!$H$5:$H$40,"&lt;&gt;Resolved")&gt;0,"Yes",""))</f>
        <v/>
      </c>
      <c r="AE129" s="46" t="str">
        <f t="shared" si="6"/>
        <v/>
      </c>
      <c r="AF129" s="46">
        <f t="shared" si="7"/>
        <v>0</v>
      </c>
      <c r="AG129" s="46" t="str">
        <f>IFERROR(MATCH(ROW()-4,Import_Index!$H$5:$H$304,0),"")</f>
        <v/>
      </c>
    </row>
    <row r="130" spans="1:33" x14ac:dyDescent="0.3">
      <c r="A130" s="46" t="str">
        <f>IF($AG130="","",IFERROR(INDEX(Kobo_Import!$A$2:$CZ$301,$AG130,Field_Map!$B$13)&amp;"",""))</f>
        <v/>
      </c>
      <c r="B130" s="46" t="str">
        <f>IF($AG130="","",IF(IFERROR(INDEX(Kobo_Import!$A$2:$CZ$301,$AG130,Field_Map!$B$9)&amp;"","")="","",IFERROR(INDEX(Lists!$N$5:$N$19,MATCH(INDEX(Kobo_Import!$A$2:$CZ$301,$AG130,Field_Map!$B$9)&amp;"",Lists!$M$5:$M$19,0)),INDEX(Kobo_Import!$A$2:$CZ$301,$AG130,Field_Map!$B$9)&amp;"")))</f>
        <v/>
      </c>
      <c r="C130" s="46" t="str">
        <f>IF($AG130="","",IF(IFERROR(INDEX(Kobo_Import!$A$2:$CZ$301,$AG130,Field_Map!$B$14)&amp;"","")="","",IFERROR(INDEX(Lists!$N$5:$N$19,MATCH(INDEX(Kobo_Import!$A$2:$CZ$301,$AG130,Field_Map!$B$14)&amp;"",Lists!$M$5:$M$19,0)),INDEX(Kobo_Import!$A$2:$CZ$301,$AG130,Field_Map!$B$14)&amp;"")))</f>
        <v/>
      </c>
      <c r="D130" s="46" t="str">
        <f>IF($AG130="","",IF(IFERROR(INDEX(Kobo_Import!$A$2:$CZ$301,$AG130,Field_Map!$B$15)&amp;"","")="","",IFERROR(INDEX(Lists!$N$5:$N$19,MATCH(INDEX(Kobo_Import!$A$2:$CZ$301,$AG130,Field_Map!$B$15)&amp;"",Lists!$M$5:$M$19,0)),INDEX(Kobo_Import!$A$2:$CZ$301,$AG130,Field_Map!$B$15)&amp;"")))</f>
        <v/>
      </c>
      <c r="E130" s="49" t="str">
        <f>IF($A130="","",IFERROR(INDEX(Import_Index!$D$5:$D$304,MATCH($A130&amp;"|registration",Import_Index!$I$5:$I$304,0)),F130))</f>
        <v/>
      </c>
      <c r="F130" s="49" t="str">
        <f>IF($AG130="","",INDEX(Import_Index!$D$5:$D$304,$AG130))</f>
        <v/>
      </c>
      <c r="G130" s="46" t="str">
        <f>IF($A130="","",COUNTIFS(Import_Index!$B$5:$B$304,$A130,Import_Index!$C$5:$C$304,"yes"))</f>
        <v/>
      </c>
      <c r="H130" s="46" t="str">
        <f>IF($AG130="","",IFERROR(VALUE(INDEX(Kobo_Import!$A$2:$CZ$301,$AG130,Field_Map!$B$16)&amp;""),0))</f>
        <v/>
      </c>
      <c r="I130" s="46" t="str">
        <f>IF($AG130="","",IF(IFERROR(INDEX(Kobo_Import!$A$2:$CZ$301,$AG130,Field_Map!$B$17)&amp;"","")="","",IFERROR(INDEX(Lists!$N$5:$N$19,MATCH(INDEX(Kobo_Import!$A$2:$CZ$301,$AG130,Field_Map!$B$17)&amp;"",Lists!$M$5:$M$19,0)),INDEX(Kobo_Import!$A$2:$CZ$301,$AG130,Field_Map!$B$17)&amp;"")))</f>
        <v/>
      </c>
      <c r="J130" s="46" t="str">
        <f>IF($AG130="","",IFERROR(VALUE(INDEX(Kobo_Import!$A$2:$CZ$301,$AG130,Field_Map!$B$18)&amp;""),0))</f>
        <v/>
      </c>
      <c r="K130" s="46" t="str">
        <f>IF($AG130="","",IFERROR(VALUE(INDEX(Kobo_Import!$A$2:$CZ$301,$AG130,Field_Map!$B$19)&amp;""),0))</f>
        <v/>
      </c>
      <c r="L130" s="46" t="str">
        <f>IF($AG130="","",IFERROR(VALUE(INDEX(Kobo_Import!$A$2:$CZ$301,$AG130,Field_Map!$B$20)&amp;""),0))</f>
        <v/>
      </c>
      <c r="M130" s="46" t="str">
        <f>IF($AG130="","",IFERROR(VALUE(INDEX(Kobo_Import!$A$2:$CZ$301,$AG130,Field_Map!$B$21)&amp;""),0))</f>
        <v/>
      </c>
      <c r="N130" s="46" t="str">
        <f>IF($AG130="","",IFERROR(VALUE(INDEX(Kobo_Import!$A$2:$CZ$301,$AG130,Field_Map!$B$22)&amp;""),0))</f>
        <v/>
      </c>
      <c r="O130" s="46" t="str">
        <f>IF($AG130="","",IFERROR(VALUE(INDEX(Kobo_Import!$A$2:$CZ$301,$AG130,Field_Map!$B$23)&amp;""),0))</f>
        <v/>
      </c>
      <c r="P130" s="46" t="str">
        <f>IF($AG130="","",IFERROR(VALUE(INDEX(Kobo_Import!$A$2:$CZ$301,$AG130,Field_Map!$B$24)&amp;""),0))</f>
        <v/>
      </c>
      <c r="Q130" s="46" t="str">
        <f>IF($AG130="","",IFERROR(VALUE(INDEX(Kobo_Import!$A$2:$CZ$301,$AG130,Field_Map!$B$25)&amp;""),0))</f>
        <v/>
      </c>
      <c r="R130" s="46" t="str">
        <f>IF($AG130="","",IFERROR(VALUE(INDEX(Kobo_Import!$A$2:$CZ$301,$AG130,Field_Map!$B$26)&amp;""),0))</f>
        <v/>
      </c>
      <c r="S130" s="46" t="str">
        <f>IF($AG130="","",IFERROR(VALUE(INDEX(Kobo_Import!$A$2:$CZ$301,$AG130,Field_Map!$B$27)&amp;""),0))</f>
        <v/>
      </c>
      <c r="T130" s="46" t="str">
        <f>IF($AG130="","",IFERROR(VALUE(INDEX(Kobo_Import!$A$2:$CZ$301,$AG130,Field_Map!$B$28)&amp;""),0))</f>
        <v/>
      </c>
      <c r="U130" s="46" t="str">
        <f>IF($AG130="","",IF(IFERROR(INDEX(Kobo_Import!$A$2:$CZ$301,$AG130,Field_Map!$B$29)&amp;"","")="","",IFERROR(INDEX(Lists!$N$5:$N$19,MATCH(INDEX(Kobo_Import!$A$2:$CZ$301,$AG130,Field_Map!$B$29)&amp;"",Lists!$M$5:$M$19,0)),INDEX(Kobo_Import!$A$2:$CZ$301,$AG130,Field_Map!$B$29)&amp;"")))</f>
        <v/>
      </c>
      <c r="V130" s="50" t="str">
        <f>IF($A130="","",Settings!$B$5-F130)</f>
        <v/>
      </c>
      <c r="W130" s="46" t="str">
        <f>IF($A130="","",(J130&gt;0)*Settings!$B$22+(P130&gt;0)*Settings!$B$23+(M130&gt;0)*Settings!$B$24+(O130&gt;0)*Settings!$B$25+(I130="Yes")*Settings!$B$26+(D130="Unusable")*Settings!$B$27+(D130="Damaged")*Settings!$B$28+(H130&gt;=Settings!$B$30)*Settings!$B$29)</f>
        <v/>
      </c>
      <c r="X130" s="46" t="str">
        <f>IF($A130="","",IF(W130&gt;=Settings!$B$31,"High",IF(W130&gt;=Settings!$B$32,"Medium","Low")))</f>
        <v/>
      </c>
      <c r="Y130" s="46" t="str">
        <f>IF($A130="","",IF(V130&gt;Settings!$B$21,"Yes",""))</f>
        <v/>
      </c>
      <c r="Z130" s="46" t="str">
        <f>IF($A130="","",COUNTIFS(Referrals!$B$5:$B$52,$A130,Referrals!$G$5:$G$52,"Referred")+COUNTIFS(Referrals!$B$5:$B$52,$A130,Referrals!$G$5:$G$52,"Acknowledged"))</f>
        <v/>
      </c>
      <c r="AA130" s="46" t="str">
        <f>IF($A130="","",COUNTIFS(Referrals!$B$5:$B$52,$A130,Referrals!$K$5:$K$52,"Overdue"))</f>
        <v/>
      </c>
      <c r="AB130" s="46" t="str">
        <f>IF($A130="","",IF(AND(J130&gt;0,U130="Yes"),IF(COUNTIFS(Referrals!$B$5:$B$52,$A130,Referrals!$D$5:$D$52,"Nutrition / IYCF")=0,"Referral needed","Referred"),""))</f>
        <v/>
      </c>
      <c r="AC130" s="46" t="str">
        <f>IF($A130="","",IF(N(Needs_Gaps!O130)&gt;0,"Yes",""))</f>
        <v/>
      </c>
      <c r="AD130" s="46" t="str">
        <f>IF($A130="","",IF(COUNTIFS(Maintenance_Log!$C$5:$C$40,$A130,Maintenance_Log!$H$5:$H$40,"&lt;&gt;Resolved")&gt;0,"Yes",""))</f>
        <v/>
      </c>
      <c r="AE130" s="46" t="str">
        <f t="shared" si="6"/>
        <v/>
      </c>
      <c r="AF130" s="46">
        <f t="shared" si="7"/>
        <v>0</v>
      </c>
      <c r="AG130" s="46" t="str">
        <f>IFERROR(MATCH(ROW()-4,Import_Index!$H$5:$H$304,0),"")</f>
        <v/>
      </c>
    </row>
    <row r="131" spans="1:33" x14ac:dyDescent="0.3">
      <c r="A131" s="46" t="str">
        <f>IF($AG131="","",IFERROR(INDEX(Kobo_Import!$A$2:$CZ$301,$AG131,Field_Map!$B$13)&amp;"",""))</f>
        <v/>
      </c>
      <c r="B131" s="46" t="str">
        <f>IF($AG131="","",IF(IFERROR(INDEX(Kobo_Import!$A$2:$CZ$301,$AG131,Field_Map!$B$9)&amp;"","")="","",IFERROR(INDEX(Lists!$N$5:$N$19,MATCH(INDEX(Kobo_Import!$A$2:$CZ$301,$AG131,Field_Map!$B$9)&amp;"",Lists!$M$5:$M$19,0)),INDEX(Kobo_Import!$A$2:$CZ$301,$AG131,Field_Map!$B$9)&amp;"")))</f>
        <v/>
      </c>
      <c r="C131" s="46" t="str">
        <f>IF($AG131="","",IF(IFERROR(INDEX(Kobo_Import!$A$2:$CZ$301,$AG131,Field_Map!$B$14)&amp;"","")="","",IFERROR(INDEX(Lists!$N$5:$N$19,MATCH(INDEX(Kobo_Import!$A$2:$CZ$301,$AG131,Field_Map!$B$14)&amp;"",Lists!$M$5:$M$19,0)),INDEX(Kobo_Import!$A$2:$CZ$301,$AG131,Field_Map!$B$14)&amp;"")))</f>
        <v/>
      </c>
      <c r="D131" s="46" t="str">
        <f>IF($AG131="","",IF(IFERROR(INDEX(Kobo_Import!$A$2:$CZ$301,$AG131,Field_Map!$B$15)&amp;"","")="","",IFERROR(INDEX(Lists!$N$5:$N$19,MATCH(INDEX(Kobo_Import!$A$2:$CZ$301,$AG131,Field_Map!$B$15)&amp;"",Lists!$M$5:$M$19,0)),INDEX(Kobo_Import!$A$2:$CZ$301,$AG131,Field_Map!$B$15)&amp;"")))</f>
        <v/>
      </c>
      <c r="E131" s="49" t="str">
        <f>IF($A131="","",IFERROR(INDEX(Import_Index!$D$5:$D$304,MATCH($A131&amp;"|registration",Import_Index!$I$5:$I$304,0)),F131))</f>
        <v/>
      </c>
      <c r="F131" s="49" t="str">
        <f>IF($AG131="","",INDEX(Import_Index!$D$5:$D$304,$AG131))</f>
        <v/>
      </c>
      <c r="G131" s="46" t="str">
        <f>IF($A131="","",COUNTIFS(Import_Index!$B$5:$B$304,$A131,Import_Index!$C$5:$C$304,"yes"))</f>
        <v/>
      </c>
      <c r="H131" s="46" t="str">
        <f>IF($AG131="","",IFERROR(VALUE(INDEX(Kobo_Import!$A$2:$CZ$301,$AG131,Field_Map!$B$16)&amp;""),0))</f>
        <v/>
      </c>
      <c r="I131" s="46" t="str">
        <f>IF($AG131="","",IF(IFERROR(INDEX(Kobo_Import!$A$2:$CZ$301,$AG131,Field_Map!$B$17)&amp;"","")="","",IFERROR(INDEX(Lists!$N$5:$N$19,MATCH(INDEX(Kobo_Import!$A$2:$CZ$301,$AG131,Field_Map!$B$17)&amp;"",Lists!$M$5:$M$19,0)),INDEX(Kobo_Import!$A$2:$CZ$301,$AG131,Field_Map!$B$17)&amp;"")))</f>
        <v/>
      </c>
      <c r="J131" s="46" t="str">
        <f>IF($AG131="","",IFERROR(VALUE(INDEX(Kobo_Import!$A$2:$CZ$301,$AG131,Field_Map!$B$18)&amp;""),0))</f>
        <v/>
      </c>
      <c r="K131" s="46" t="str">
        <f>IF($AG131="","",IFERROR(VALUE(INDEX(Kobo_Import!$A$2:$CZ$301,$AG131,Field_Map!$B$19)&amp;""),0))</f>
        <v/>
      </c>
      <c r="L131" s="46" t="str">
        <f>IF($AG131="","",IFERROR(VALUE(INDEX(Kobo_Import!$A$2:$CZ$301,$AG131,Field_Map!$B$20)&amp;""),0))</f>
        <v/>
      </c>
      <c r="M131" s="46" t="str">
        <f>IF($AG131="","",IFERROR(VALUE(INDEX(Kobo_Import!$A$2:$CZ$301,$AG131,Field_Map!$B$21)&amp;""),0))</f>
        <v/>
      </c>
      <c r="N131" s="46" t="str">
        <f>IF($AG131="","",IFERROR(VALUE(INDEX(Kobo_Import!$A$2:$CZ$301,$AG131,Field_Map!$B$22)&amp;""),0))</f>
        <v/>
      </c>
      <c r="O131" s="46" t="str">
        <f>IF($AG131="","",IFERROR(VALUE(INDEX(Kobo_Import!$A$2:$CZ$301,$AG131,Field_Map!$B$23)&amp;""),0))</f>
        <v/>
      </c>
      <c r="P131" s="46" t="str">
        <f>IF($AG131="","",IFERROR(VALUE(INDEX(Kobo_Import!$A$2:$CZ$301,$AG131,Field_Map!$B$24)&amp;""),0))</f>
        <v/>
      </c>
      <c r="Q131" s="46" t="str">
        <f>IF($AG131="","",IFERROR(VALUE(INDEX(Kobo_Import!$A$2:$CZ$301,$AG131,Field_Map!$B$25)&amp;""),0))</f>
        <v/>
      </c>
      <c r="R131" s="46" t="str">
        <f>IF($AG131="","",IFERROR(VALUE(INDEX(Kobo_Import!$A$2:$CZ$301,$AG131,Field_Map!$B$26)&amp;""),0))</f>
        <v/>
      </c>
      <c r="S131" s="46" t="str">
        <f>IF($AG131="","",IFERROR(VALUE(INDEX(Kobo_Import!$A$2:$CZ$301,$AG131,Field_Map!$B$27)&amp;""),0))</f>
        <v/>
      </c>
      <c r="T131" s="46" t="str">
        <f>IF($AG131="","",IFERROR(VALUE(INDEX(Kobo_Import!$A$2:$CZ$301,$AG131,Field_Map!$B$28)&amp;""),0))</f>
        <v/>
      </c>
      <c r="U131" s="46" t="str">
        <f>IF($AG131="","",IF(IFERROR(INDEX(Kobo_Import!$A$2:$CZ$301,$AG131,Field_Map!$B$29)&amp;"","")="","",IFERROR(INDEX(Lists!$N$5:$N$19,MATCH(INDEX(Kobo_Import!$A$2:$CZ$301,$AG131,Field_Map!$B$29)&amp;"",Lists!$M$5:$M$19,0)),INDEX(Kobo_Import!$A$2:$CZ$301,$AG131,Field_Map!$B$29)&amp;"")))</f>
        <v/>
      </c>
      <c r="V131" s="50" t="str">
        <f>IF($A131="","",Settings!$B$5-F131)</f>
        <v/>
      </c>
      <c r="W131" s="46" t="str">
        <f>IF($A131="","",(J131&gt;0)*Settings!$B$22+(P131&gt;0)*Settings!$B$23+(M131&gt;0)*Settings!$B$24+(O131&gt;0)*Settings!$B$25+(I131="Yes")*Settings!$B$26+(D131="Unusable")*Settings!$B$27+(D131="Damaged")*Settings!$B$28+(H131&gt;=Settings!$B$30)*Settings!$B$29)</f>
        <v/>
      </c>
      <c r="X131" s="46" t="str">
        <f>IF($A131="","",IF(W131&gt;=Settings!$B$31,"High",IF(W131&gt;=Settings!$B$32,"Medium","Low")))</f>
        <v/>
      </c>
      <c r="Y131" s="46" t="str">
        <f>IF($A131="","",IF(V131&gt;Settings!$B$21,"Yes",""))</f>
        <v/>
      </c>
      <c r="Z131" s="46" t="str">
        <f>IF($A131="","",COUNTIFS(Referrals!$B$5:$B$52,$A131,Referrals!$G$5:$G$52,"Referred")+COUNTIFS(Referrals!$B$5:$B$52,$A131,Referrals!$G$5:$G$52,"Acknowledged"))</f>
        <v/>
      </c>
      <c r="AA131" s="46" t="str">
        <f>IF($A131="","",COUNTIFS(Referrals!$B$5:$B$52,$A131,Referrals!$K$5:$K$52,"Overdue"))</f>
        <v/>
      </c>
      <c r="AB131" s="46" t="str">
        <f>IF($A131="","",IF(AND(J131&gt;0,U131="Yes"),IF(COUNTIFS(Referrals!$B$5:$B$52,$A131,Referrals!$D$5:$D$52,"Nutrition / IYCF")=0,"Referral needed","Referred"),""))</f>
        <v/>
      </c>
      <c r="AC131" s="46" t="str">
        <f>IF($A131="","",IF(N(Needs_Gaps!O131)&gt;0,"Yes",""))</f>
        <v/>
      </c>
      <c r="AD131" s="46" t="str">
        <f>IF($A131="","",IF(COUNTIFS(Maintenance_Log!$C$5:$C$40,$A131,Maintenance_Log!$H$5:$H$40,"&lt;&gt;Resolved")&gt;0,"Yes",""))</f>
        <v/>
      </c>
      <c r="AE131" s="46" t="str">
        <f t="shared" si="6"/>
        <v/>
      </c>
      <c r="AF131" s="46">
        <f t="shared" si="7"/>
        <v>0</v>
      </c>
      <c r="AG131" s="46" t="str">
        <f>IFERROR(MATCH(ROW()-4,Import_Index!$H$5:$H$304,0),"")</f>
        <v/>
      </c>
    </row>
    <row r="132" spans="1:33" x14ac:dyDescent="0.3">
      <c r="A132" s="46" t="str">
        <f>IF($AG132="","",IFERROR(INDEX(Kobo_Import!$A$2:$CZ$301,$AG132,Field_Map!$B$13)&amp;"",""))</f>
        <v/>
      </c>
      <c r="B132" s="46" t="str">
        <f>IF($AG132="","",IF(IFERROR(INDEX(Kobo_Import!$A$2:$CZ$301,$AG132,Field_Map!$B$9)&amp;"","")="","",IFERROR(INDEX(Lists!$N$5:$N$19,MATCH(INDEX(Kobo_Import!$A$2:$CZ$301,$AG132,Field_Map!$B$9)&amp;"",Lists!$M$5:$M$19,0)),INDEX(Kobo_Import!$A$2:$CZ$301,$AG132,Field_Map!$B$9)&amp;"")))</f>
        <v/>
      </c>
      <c r="C132" s="46" t="str">
        <f>IF($AG132="","",IF(IFERROR(INDEX(Kobo_Import!$A$2:$CZ$301,$AG132,Field_Map!$B$14)&amp;"","")="","",IFERROR(INDEX(Lists!$N$5:$N$19,MATCH(INDEX(Kobo_Import!$A$2:$CZ$301,$AG132,Field_Map!$B$14)&amp;"",Lists!$M$5:$M$19,0)),INDEX(Kobo_Import!$A$2:$CZ$301,$AG132,Field_Map!$B$14)&amp;"")))</f>
        <v/>
      </c>
      <c r="D132" s="46" t="str">
        <f>IF($AG132="","",IF(IFERROR(INDEX(Kobo_Import!$A$2:$CZ$301,$AG132,Field_Map!$B$15)&amp;"","")="","",IFERROR(INDEX(Lists!$N$5:$N$19,MATCH(INDEX(Kobo_Import!$A$2:$CZ$301,$AG132,Field_Map!$B$15)&amp;"",Lists!$M$5:$M$19,0)),INDEX(Kobo_Import!$A$2:$CZ$301,$AG132,Field_Map!$B$15)&amp;"")))</f>
        <v/>
      </c>
      <c r="E132" s="49" t="str">
        <f>IF($A132="","",IFERROR(INDEX(Import_Index!$D$5:$D$304,MATCH($A132&amp;"|registration",Import_Index!$I$5:$I$304,0)),F132))</f>
        <v/>
      </c>
      <c r="F132" s="49" t="str">
        <f>IF($AG132="","",INDEX(Import_Index!$D$5:$D$304,$AG132))</f>
        <v/>
      </c>
      <c r="G132" s="46" t="str">
        <f>IF($A132="","",COUNTIFS(Import_Index!$B$5:$B$304,$A132,Import_Index!$C$5:$C$304,"yes"))</f>
        <v/>
      </c>
      <c r="H132" s="46" t="str">
        <f>IF($AG132="","",IFERROR(VALUE(INDEX(Kobo_Import!$A$2:$CZ$301,$AG132,Field_Map!$B$16)&amp;""),0))</f>
        <v/>
      </c>
      <c r="I132" s="46" t="str">
        <f>IF($AG132="","",IF(IFERROR(INDEX(Kobo_Import!$A$2:$CZ$301,$AG132,Field_Map!$B$17)&amp;"","")="","",IFERROR(INDEX(Lists!$N$5:$N$19,MATCH(INDEX(Kobo_Import!$A$2:$CZ$301,$AG132,Field_Map!$B$17)&amp;"",Lists!$M$5:$M$19,0)),INDEX(Kobo_Import!$A$2:$CZ$301,$AG132,Field_Map!$B$17)&amp;"")))</f>
        <v/>
      </c>
      <c r="J132" s="46" t="str">
        <f>IF($AG132="","",IFERROR(VALUE(INDEX(Kobo_Import!$A$2:$CZ$301,$AG132,Field_Map!$B$18)&amp;""),0))</f>
        <v/>
      </c>
      <c r="K132" s="46" t="str">
        <f>IF($AG132="","",IFERROR(VALUE(INDEX(Kobo_Import!$A$2:$CZ$301,$AG132,Field_Map!$B$19)&amp;""),0))</f>
        <v/>
      </c>
      <c r="L132" s="46" t="str">
        <f>IF($AG132="","",IFERROR(VALUE(INDEX(Kobo_Import!$A$2:$CZ$301,$AG132,Field_Map!$B$20)&amp;""),0))</f>
        <v/>
      </c>
      <c r="M132" s="46" t="str">
        <f>IF($AG132="","",IFERROR(VALUE(INDEX(Kobo_Import!$A$2:$CZ$301,$AG132,Field_Map!$B$21)&amp;""),0))</f>
        <v/>
      </c>
      <c r="N132" s="46" t="str">
        <f>IF($AG132="","",IFERROR(VALUE(INDEX(Kobo_Import!$A$2:$CZ$301,$AG132,Field_Map!$B$22)&amp;""),0))</f>
        <v/>
      </c>
      <c r="O132" s="46" t="str">
        <f>IF($AG132="","",IFERROR(VALUE(INDEX(Kobo_Import!$A$2:$CZ$301,$AG132,Field_Map!$B$23)&amp;""),0))</f>
        <v/>
      </c>
      <c r="P132" s="46" t="str">
        <f>IF($AG132="","",IFERROR(VALUE(INDEX(Kobo_Import!$A$2:$CZ$301,$AG132,Field_Map!$B$24)&amp;""),0))</f>
        <v/>
      </c>
      <c r="Q132" s="46" t="str">
        <f>IF($AG132="","",IFERROR(VALUE(INDEX(Kobo_Import!$A$2:$CZ$301,$AG132,Field_Map!$B$25)&amp;""),0))</f>
        <v/>
      </c>
      <c r="R132" s="46" t="str">
        <f>IF($AG132="","",IFERROR(VALUE(INDEX(Kobo_Import!$A$2:$CZ$301,$AG132,Field_Map!$B$26)&amp;""),0))</f>
        <v/>
      </c>
      <c r="S132" s="46" t="str">
        <f>IF($AG132="","",IFERROR(VALUE(INDEX(Kobo_Import!$A$2:$CZ$301,$AG132,Field_Map!$B$27)&amp;""),0))</f>
        <v/>
      </c>
      <c r="T132" s="46" t="str">
        <f>IF($AG132="","",IFERROR(VALUE(INDEX(Kobo_Import!$A$2:$CZ$301,$AG132,Field_Map!$B$28)&amp;""),0))</f>
        <v/>
      </c>
      <c r="U132" s="46" t="str">
        <f>IF($AG132="","",IF(IFERROR(INDEX(Kobo_Import!$A$2:$CZ$301,$AG132,Field_Map!$B$29)&amp;"","")="","",IFERROR(INDEX(Lists!$N$5:$N$19,MATCH(INDEX(Kobo_Import!$A$2:$CZ$301,$AG132,Field_Map!$B$29)&amp;"",Lists!$M$5:$M$19,0)),INDEX(Kobo_Import!$A$2:$CZ$301,$AG132,Field_Map!$B$29)&amp;"")))</f>
        <v/>
      </c>
      <c r="V132" s="50" t="str">
        <f>IF($A132="","",Settings!$B$5-F132)</f>
        <v/>
      </c>
      <c r="W132" s="46" t="str">
        <f>IF($A132="","",(J132&gt;0)*Settings!$B$22+(P132&gt;0)*Settings!$B$23+(M132&gt;0)*Settings!$B$24+(O132&gt;0)*Settings!$B$25+(I132="Yes")*Settings!$B$26+(D132="Unusable")*Settings!$B$27+(D132="Damaged")*Settings!$B$28+(H132&gt;=Settings!$B$30)*Settings!$B$29)</f>
        <v/>
      </c>
      <c r="X132" s="46" t="str">
        <f>IF($A132="","",IF(W132&gt;=Settings!$B$31,"High",IF(W132&gt;=Settings!$B$32,"Medium","Low")))</f>
        <v/>
      </c>
      <c r="Y132" s="46" t="str">
        <f>IF($A132="","",IF(V132&gt;Settings!$B$21,"Yes",""))</f>
        <v/>
      </c>
      <c r="Z132" s="46" t="str">
        <f>IF($A132="","",COUNTIFS(Referrals!$B$5:$B$52,$A132,Referrals!$G$5:$G$52,"Referred")+COUNTIFS(Referrals!$B$5:$B$52,$A132,Referrals!$G$5:$G$52,"Acknowledged"))</f>
        <v/>
      </c>
      <c r="AA132" s="46" t="str">
        <f>IF($A132="","",COUNTIFS(Referrals!$B$5:$B$52,$A132,Referrals!$K$5:$K$52,"Overdue"))</f>
        <v/>
      </c>
      <c r="AB132" s="46" t="str">
        <f>IF($A132="","",IF(AND(J132&gt;0,U132="Yes"),IF(COUNTIFS(Referrals!$B$5:$B$52,$A132,Referrals!$D$5:$D$52,"Nutrition / IYCF")=0,"Referral needed","Referred"),""))</f>
        <v/>
      </c>
      <c r="AC132" s="46" t="str">
        <f>IF($A132="","",IF(N(Needs_Gaps!O132)&gt;0,"Yes",""))</f>
        <v/>
      </c>
      <c r="AD132" s="46" t="str">
        <f>IF($A132="","",IF(COUNTIFS(Maintenance_Log!$C$5:$C$40,$A132,Maintenance_Log!$H$5:$H$40,"&lt;&gt;Resolved")&gt;0,"Yes",""))</f>
        <v/>
      </c>
      <c r="AE132" s="46" t="str">
        <f t="shared" si="6"/>
        <v/>
      </c>
      <c r="AF132" s="46">
        <f t="shared" si="7"/>
        <v>0</v>
      </c>
      <c r="AG132" s="46" t="str">
        <f>IFERROR(MATCH(ROW()-4,Import_Index!$H$5:$H$304,0),"")</f>
        <v/>
      </c>
    </row>
    <row r="133" spans="1:33" x14ac:dyDescent="0.3">
      <c r="A133" s="46" t="str">
        <f>IF($AG133="","",IFERROR(INDEX(Kobo_Import!$A$2:$CZ$301,$AG133,Field_Map!$B$13)&amp;"",""))</f>
        <v/>
      </c>
      <c r="B133" s="46" t="str">
        <f>IF($AG133="","",IF(IFERROR(INDEX(Kobo_Import!$A$2:$CZ$301,$AG133,Field_Map!$B$9)&amp;"","")="","",IFERROR(INDEX(Lists!$N$5:$N$19,MATCH(INDEX(Kobo_Import!$A$2:$CZ$301,$AG133,Field_Map!$B$9)&amp;"",Lists!$M$5:$M$19,0)),INDEX(Kobo_Import!$A$2:$CZ$301,$AG133,Field_Map!$B$9)&amp;"")))</f>
        <v/>
      </c>
      <c r="C133" s="46" t="str">
        <f>IF($AG133="","",IF(IFERROR(INDEX(Kobo_Import!$A$2:$CZ$301,$AG133,Field_Map!$B$14)&amp;"","")="","",IFERROR(INDEX(Lists!$N$5:$N$19,MATCH(INDEX(Kobo_Import!$A$2:$CZ$301,$AG133,Field_Map!$B$14)&amp;"",Lists!$M$5:$M$19,0)),INDEX(Kobo_Import!$A$2:$CZ$301,$AG133,Field_Map!$B$14)&amp;"")))</f>
        <v/>
      </c>
      <c r="D133" s="46" t="str">
        <f>IF($AG133="","",IF(IFERROR(INDEX(Kobo_Import!$A$2:$CZ$301,$AG133,Field_Map!$B$15)&amp;"","")="","",IFERROR(INDEX(Lists!$N$5:$N$19,MATCH(INDEX(Kobo_Import!$A$2:$CZ$301,$AG133,Field_Map!$B$15)&amp;"",Lists!$M$5:$M$19,0)),INDEX(Kobo_Import!$A$2:$CZ$301,$AG133,Field_Map!$B$15)&amp;"")))</f>
        <v/>
      </c>
      <c r="E133" s="49" t="str">
        <f>IF($A133="","",IFERROR(INDEX(Import_Index!$D$5:$D$304,MATCH($A133&amp;"|registration",Import_Index!$I$5:$I$304,0)),F133))</f>
        <v/>
      </c>
      <c r="F133" s="49" t="str">
        <f>IF($AG133="","",INDEX(Import_Index!$D$5:$D$304,$AG133))</f>
        <v/>
      </c>
      <c r="G133" s="46" t="str">
        <f>IF($A133="","",COUNTIFS(Import_Index!$B$5:$B$304,$A133,Import_Index!$C$5:$C$304,"yes"))</f>
        <v/>
      </c>
      <c r="H133" s="46" t="str">
        <f>IF($AG133="","",IFERROR(VALUE(INDEX(Kobo_Import!$A$2:$CZ$301,$AG133,Field_Map!$B$16)&amp;""),0))</f>
        <v/>
      </c>
      <c r="I133" s="46" t="str">
        <f>IF($AG133="","",IF(IFERROR(INDEX(Kobo_Import!$A$2:$CZ$301,$AG133,Field_Map!$B$17)&amp;"","")="","",IFERROR(INDEX(Lists!$N$5:$N$19,MATCH(INDEX(Kobo_Import!$A$2:$CZ$301,$AG133,Field_Map!$B$17)&amp;"",Lists!$M$5:$M$19,0)),INDEX(Kobo_Import!$A$2:$CZ$301,$AG133,Field_Map!$B$17)&amp;"")))</f>
        <v/>
      </c>
      <c r="J133" s="46" t="str">
        <f>IF($AG133="","",IFERROR(VALUE(INDEX(Kobo_Import!$A$2:$CZ$301,$AG133,Field_Map!$B$18)&amp;""),0))</f>
        <v/>
      </c>
      <c r="K133" s="46" t="str">
        <f>IF($AG133="","",IFERROR(VALUE(INDEX(Kobo_Import!$A$2:$CZ$301,$AG133,Field_Map!$B$19)&amp;""),0))</f>
        <v/>
      </c>
      <c r="L133" s="46" t="str">
        <f>IF($AG133="","",IFERROR(VALUE(INDEX(Kobo_Import!$A$2:$CZ$301,$AG133,Field_Map!$B$20)&amp;""),0))</f>
        <v/>
      </c>
      <c r="M133" s="46" t="str">
        <f>IF($AG133="","",IFERROR(VALUE(INDEX(Kobo_Import!$A$2:$CZ$301,$AG133,Field_Map!$B$21)&amp;""),0))</f>
        <v/>
      </c>
      <c r="N133" s="46" t="str">
        <f>IF($AG133="","",IFERROR(VALUE(INDEX(Kobo_Import!$A$2:$CZ$301,$AG133,Field_Map!$B$22)&amp;""),0))</f>
        <v/>
      </c>
      <c r="O133" s="46" t="str">
        <f>IF($AG133="","",IFERROR(VALUE(INDEX(Kobo_Import!$A$2:$CZ$301,$AG133,Field_Map!$B$23)&amp;""),0))</f>
        <v/>
      </c>
      <c r="P133" s="46" t="str">
        <f>IF($AG133="","",IFERROR(VALUE(INDEX(Kobo_Import!$A$2:$CZ$301,$AG133,Field_Map!$B$24)&amp;""),0))</f>
        <v/>
      </c>
      <c r="Q133" s="46" t="str">
        <f>IF($AG133="","",IFERROR(VALUE(INDEX(Kobo_Import!$A$2:$CZ$301,$AG133,Field_Map!$B$25)&amp;""),0))</f>
        <v/>
      </c>
      <c r="R133" s="46" t="str">
        <f>IF($AG133="","",IFERROR(VALUE(INDEX(Kobo_Import!$A$2:$CZ$301,$AG133,Field_Map!$B$26)&amp;""),0))</f>
        <v/>
      </c>
      <c r="S133" s="46" t="str">
        <f>IF($AG133="","",IFERROR(VALUE(INDEX(Kobo_Import!$A$2:$CZ$301,$AG133,Field_Map!$B$27)&amp;""),0))</f>
        <v/>
      </c>
      <c r="T133" s="46" t="str">
        <f>IF($AG133="","",IFERROR(VALUE(INDEX(Kobo_Import!$A$2:$CZ$301,$AG133,Field_Map!$B$28)&amp;""),0))</f>
        <v/>
      </c>
      <c r="U133" s="46" t="str">
        <f>IF($AG133="","",IF(IFERROR(INDEX(Kobo_Import!$A$2:$CZ$301,$AG133,Field_Map!$B$29)&amp;"","")="","",IFERROR(INDEX(Lists!$N$5:$N$19,MATCH(INDEX(Kobo_Import!$A$2:$CZ$301,$AG133,Field_Map!$B$29)&amp;"",Lists!$M$5:$M$19,0)),INDEX(Kobo_Import!$A$2:$CZ$301,$AG133,Field_Map!$B$29)&amp;"")))</f>
        <v/>
      </c>
      <c r="V133" s="50" t="str">
        <f>IF($A133="","",Settings!$B$5-F133)</f>
        <v/>
      </c>
      <c r="W133" s="46" t="str">
        <f>IF($A133="","",(J133&gt;0)*Settings!$B$22+(P133&gt;0)*Settings!$B$23+(M133&gt;0)*Settings!$B$24+(O133&gt;0)*Settings!$B$25+(I133="Yes")*Settings!$B$26+(D133="Unusable")*Settings!$B$27+(D133="Damaged")*Settings!$B$28+(H133&gt;=Settings!$B$30)*Settings!$B$29)</f>
        <v/>
      </c>
      <c r="X133" s="46" t="str">
        <f>IF($A133="","",IF(W133&gt;=Settings!$B$31,"High",IF(W133&gt;=Settings!$B$32,"Medium","Low")))</f>
        <v/>
      </c>
      <c r="Y133" s="46" t="str">
        <f>IF($A133="","",IF(V133&gt;Settings!$B$21,"Yes",""))</f>
        <v/>
      </c>
      <c r="Z133" s="46" t="str">
        <f>IF($A133="","",COUNTIFS(Referrals!$B$5:$B$52,$A133,Referrals!$G$5:$G$52,"Referred")+COUNTIFS(Referrals!$B$5:$B$52,$A133,Referrals!$G$5:$G$52,"Acknowledged"))</f>
        <v/>
      </c>
      <c r="AA133" s="46" t="str">
        <f>IF($A133="","",COUNTIFS(Referrals!$B$5:$B$52,$A133,Referrals!$K$5:$K$52,"Overdue"))</f>
        <v/>
      </c>
      <c r="AB133" s="46" t="str">
        <f>IF($A133="","",IF(AND(J133&gt;0,U133="Yes"),IF(COUNTIFS(Referrals!$B$5:$B$52,$A133,Referrals!$D$5:$D$52,"Nutrition / IYCF")=0,"Referral needed","Referred"),""))</f>
        <v/>
      </c>
      <c r="AC133" s="46" t="str">
        <f>IF($A133="","",IF(N(Needs_Gaps!O133)&gt;0,"Yes",""))</f>
        <v/>
      </c>
      <c r="AD133" s="46" t="str">
        <f>IF($A133="","",IF(COUNTIFS(Maintenance_Log!$C$5:$C$40,$A133,Maintenance_Log!$H$5:$H$40,"&lt;&gt;Resolved")&gt;0,"Yes",""))</f>
        <v/>
      </c>
      <c r="AE133" s="46" t="str">
        <f t="shared" ref="AE133:AE164" si="8">IF($A133="","",(Y133="Yes")+(AA133&gt;0)+(AB133="Referral needed")+(AC133="Yes")+(AD133="Yes"))</f>
        <v/>
      </c>
      <c r="AF133" s="46">
        <f t="shared" ref="AF133:AF164" si="9">IF($A133="",0,IF(AE133&gt;0,AE133*100000+W133*1000+(1000-(ROW()-4)),0))</f>
        <v>0</v>
      </c>
      <c r="AG133" s="46" t="str">
        <f>IFERROR(MATCH(ROW()-4,Import_Index!$H$5:$H$304,0),"")</f>
        <v/>
      </c>
    </row>
    <row r="134" spans="1:33" x14ac:dyDescent="0.3">
      <c r="A134" s="46" t="str">
        <f>IF($AG134="","",IFERROR(INDEX(Kobo_Import!$A$2:$CZ$301,$AG134,Field_Map!$B$13)&amp;"",""))</f>
        <v/>
      </c>
      <c r="B134" s="46" t="str">
        <f>IF($AG134="","",IF(IFERROR(INDEX(Kobo_Import!$A$2:$CZ$301,$AG134,Field_Map!$B$9)&amp;"","")="","",IFERROR(INDEX(Lists!$N$5:$N$19,MATCH(INDEX(Kobo_Import!$A$2:$CZ$301,$AG134,Field_Map!$B$9)&amp;"",Lists!$M$5:$M$19,0)),INDEX(Kobo_Import!$A$2:$CZ$301,$AG134,Field_Map!$B$9)&amp;"")))</f>
        <v/>
      </c>
      <c r="C134" s="46" t="str">
        <f>IF($AG134="","",IF(IFERROR(INDEX(Kobo_Import!$A$2:$CZ$301,$AG134,Field_Map!$B$14)&amp;"","")="","",IFERROR(INDEX(Lists!$N$5:$N$19,MATCH(INDEX(Kobo_Import!$A$2:$CZ$301,$AG134,Field_Map!$B$14)&amp;"",Lists!$M$5:$M$19,0)),INDEX(Kobo_Import!$A$2:$CZ$301,$AG134,Field_Map!$B$14)&amp;"")))</f>
        <v/>
      </c>
      <c r="D134" s="46" t="str">
        <f>IF($AG134="","",IF(IFERROR(INDEX(Kobo_Import!$A$2:$CZ$301,$AG134,Field_Map!$B$15)&amp;"","")="","",IFERROR(INDEX(Lists!$N$5:$N$19,MATCH(INDEX(Kobo_Import!$A$2:$CZ$301,$AG134,Field_Map!$B$15)&amp;"",Lists!$M$5:$M$19,0)),INDEX(Kobo_Import!$A$2:$CZ$301,$AG134,Field_Map!$B$15)&amp;"")))</f>
        <v/>
      </c>
      <c r="E134" s="49" t="str">
        <f>IF($A134="","",IFERROR(INDEX(Import_Index!$D$5:$D$304,MATCH($A134&amp;"|registration",Import_Index!$I$5:$I$304,0)),F134))</f>
        <v/>
      </c>
      <c r="F134" s="49" t="str">
        <f>IF($AG134="","",INDEX(Import_Index!$D$5:$D$304,$AG134))</f>
        <v/>
      </c>
      <c r="G134" s="46" t="str">
        <f>IF($A134="","",COUNTIFS(Import_Index!$B$5:$B$304,$A134,Import_Index!$C$5:$C$304,"yes"))</f>
        <v/>
      </c>
      <c r="H134" s="46" t="str">
        <f>IF($AG134="","",IFERROR(VALUE(INDEX(Kobo_Import!$A$2:$CZ$301,$AG134,Field_Map!$B$16)&amp;""),0))</f>
        <v/>
      </c>
      <c r="I134" s="46" t="str">
        <f>IF($AG134="","",IF(IFERROR(INDEX(Kobo_Import!$A$2:$CZ$301,$AG134,Field_Map!$B$17)&amp;"","")="","",IFERROR(INDEX(Lists!$N$5:$N$19,MATCH(INDEX(Kobo_Import!$A$2:$CZ$301,$AG134,Field_Map!$B$17)&amp;"",Lists!$M$5:$M$19,0)),INDEX(Kobo_Import!$A$2:$CZ$301,$AG134,Field_Map!$B$17)&amp;"")))</f>
        <v/>
      </c>
      <c r="J134" s="46" t="str">
        <f>IF($AG134="","",IFERROR(VALUE(INDEX(Kobo_Import!$A$2:$CZ$301,$AG134,Field_Map!$B$18)&amp;""),0))</f>
        <v/>
      </c>
      <c r="K134" s="46" t="str">
        <f>IF($AG134="","",IFERROR(VALUE(INDEX(Kobo_Import!$A$2:$CZ$301,$AG134,Field_Map!$B$19)&amp;""),0))</f>
        <v/>
      </c>
      <c r="L134" s="46" t="str">
        <f>IF($AG134="","",IFERROR(VALUE(INDEX(Kobo_Import!$A$2:$CZ$301,$AG134,Field_Map!$B$20)&amp;""),0))</f>
        <v/>
      </c>
      <c r="M134" s="46" t="str">
        <f>IF($AG134="","",IFERROR(VALUE(INDEX(Kobo_Import!$A$2:$CZ$301,$AG134,Field_Map!$B$21)&amp;""),0))</f>
        <v/>
      </c>
      <c r="N134" s="46" t="str">
        <f>IF($AG134="","",IFERROR(VALUE(INDEX(Kobo_Import!$A$2:$CZ$301,$AG134,Field_Map!$B$22)&amp;""),0))</f>
        <v/>
      </c>
      <c r="O134" s="46" t="str">
        <f>IF($AG134="","",IFERROR(VALUE(INDEX(Kobo_Import!$A$2:$CZ$301,$AG134,Field_Map!$B$23)&amp;""),0))</f>
        <v/>
      </c>
      <c r="P134" s="46" t="str">
        <f>IF($AG134="","",IFERROR(VALUE(INDEX(Kobo_Import!$A$2:$CZ$301,$AG134,Field_Map!$B$24)&amp;""),0))</f>
        <v/>
      </c>
      <c r="Q134" s="46" t="str">
        <f>IF($AG134="","",IFERROR(VALUE(INDEX(Kobo_Import!$A$2:$CZ$301,$AG134,Field_Map!$B$25)&amp;""),0))</f>
        <v/>
      </c>
      <c r="R134" s="46" t="str">
        <f>IF($AG134="","",IFERROR(VALUE(INDEX(Kobo_Import!$A$2:$CZ$301,$AG134,Field_Map!$B$26)&amp;""),0))</f>
        <v/>
      </c>
      <c r="S134" s="46" t="str">
        <f>IF($AG134="","",IFERROR(VALUE(INDEX(Kobo_Import!$A$2:$CZ$301,$AG134,Field_Map!$B$27)&amp;""),0))</f>
        <v/>
      </c>
      <c r="T134" s="46" t="str">
        <f>IF($AG134="","",IFERROR(VALUE(INDEX(Kobo_Import!$A$2:$CZ$301,$AG134,Field_Map!$B$28)&amp;""),0))</f>
        <v/>
      </c>
      <c r="U134" s="46" t="str">
        <f>IF($AG134="","",IF(IFERROR(INDEX(Kobo_Import!$A$2:$CZ$301,$AG134,Field_Map!$B$29)&amp;"","")="","",IFERROR(INDEX(Lists!$N$5:$N$19,MATCH(INDEX(Kobo_Import!$A$2:$CZ$301,$AG134,Field_Map!$B$29)&amp;"",Lists!$M$5:$M$19,0)),INDEX(Kobo_Import!$A$2:$CZ$301,$AG134,Field_Map!$B$29)&amp;"")))</f>
        <v/>
      </c>
      <c r="V134" s="50" t="str">
        <f>IF($A134="","",Settings!$B$5-F134)</f>
        <v/>
      </c>
      <c r="W134" s="46" t="str">
        <f>IF($A134="","",(J134&gt;0)*Settings!$B$22+(P134&gt;0)*Settings!$B$23+(M134&gt;0)*Settings!$B$24+(O134&gt;0)*Settings!$B$25+(I134="Yes")*Settings!$B$26+(D134="Unusable")*Settings!$B$27+(D134="Damaged")*Settings!$B$28+(H134&gt;=Settings!$B$30)*Settings!$B$29)</f>
        <v/>
      </c>
      <c r="X134" s="46" t="str">
        <f>IF($A134="","",IF(W134&gt;=Settings!$B$31,"High",IF(W134&gt;=Settings!$B$32,"Medium","Low")))</f>
        <v/>
      </c>
      <c r="Y134" s="46" t="str">
        <f>IF($A134="","",IF(V134&gt;Settings!$B$21,"Yes",""))</f>
        <v/>
      </c>
      <c r="Z134" s="46" t="str">
        <f>IF($A134="","",COUNTIFS(Referrals!$B$5:$B$52,$A134,Referrals!$G$5:$G$52,"Referred")+COUNTIFS(Referrals!$B$5:$B$52,$A134,Referrals!$G$5:$G$52,"Acknowledged"))</f>
        <v/>
      </c>
      <c r="AA134" s="46" t="str">
        <f>IF($A134="","",COUNTIFS(Referrals!$B$5:$B$52,$A134,Referrals!$K$5:$K$52,"Overdue"))</f>
        <v/>
      </c>
      <c r="AB134" s="46" t="str">
        <f>IF($A134="","",IF(AND(J134&gt;0,U134="Yes"),IF(COUNTIFS(Referrals!$B$5:$B$52,$A134,Referrals!$D$5:$D$52,"Nutrition / IYCF")=0,"Referral needed","Referred"),""))</f>
        <v/>
      </c>
      <c r="AC134" s="46" t="str">
        <f>IF($A134="","",IF(N(Needs_Gaps!O134)&gt;0,"Yes",""))</f>
        <v/>
      </c>
      <c r="AD134" s="46" t="str">
        <f>IF($A134="","",IF(COUNTIFS(Maintenance_Log!$C$5:$C$40,$A134,Maintenance_Log!$H$5:$H$40,"&lt;&gt;Resolved")&gt;0,"Yes",""))</f>
        <v/>
      </c>
      <c r="AE134" s="46" t="str">
        <f t="shared" si="8"/>
        <v/>
      </c>
      <c r="AF134" s="46">
        <f t="shared" si="9"/>
        <v>0</v>
      </c>
      <c r="AG134" s="46" t="str">
        <f>IFERROR(MATCH(ROW()-4,Import_Index!$H$5:$H$304,0),"")</f>
        <v/>
      </c>
    </row>
    <row r="135" spans="1:33" x14ac:dyDescent="0.3">
      <c r="A135" s="46" t="str">
        <f>IF($AG135="","",IFERROR(INDEX(Kobo_Import!$A$2:$CZ$301,$AG135,Field_Map!$B$13)&amp;"",""))</f>
        <v/>
      </c>
      <c r="B135" s="46" t="str">
        <f>IF($AG135="","",IF(IFERROR(INDEX(Kobo_Import!$A$2:$CZ$301,$AG135,Field_Map!$B$9)&amp;"","")="","",IFERROR(INDEX(Lists!$N$5:$N$19,MATCH(INDEX(Kobo_Import!$A$2:$CZ$301,$AG135,Field_Map!$B$9)&amp;"",Lists!$M$5:$M$19,0)),INDEX(Kobo_Import!$A$2:$CZ$301,$AG135,Field_Map!$B$9)&amp;"")))</f>
        <v/>
      </c>
      <c r="C135" s="46" t="str">
        <f>IF($AG135="","",IF(IFERROR(INDEX(Kobo_Import!$A$2:$CZ$301,$AG135,Field_Map!$B$14)&amp;"","")="","",IFERROR(INDEX(Lists!$N$5:$N$19,MATCH(INDEX(Kobo_Import!$A$2:$CZ$301,$AG135,Field_Map!$B$14)&amp;"",Lists!$M$5:$M$19,0)),INDEX(Kobo_Import!$A$2:$CZ$301,$AG135,Field_Map!$B$14)&amp;"")))</f>
        <v/>
      </c>
      <c r="D135" s="46" t="str">
        <f>IF($AG135="","",IF(IFERROR(INDEX(Kobo_Import!$A$2:$CZ$301,$AG135,Field_Map!$B$15)&amp;"","")="","",IFERROR(INDEX(Lists!$N$5:$N$19,MATCH(INDEX(Kobo_Import!$A$2:$CZ$301,$AG135,Field_Map!$B$15)&amp;"",Lists!$M$5:$M$19,0)),INDEX(Kobo_Import!$A$2:$CZ$301,$AG135,Field_Map!$B$15)&amp;"")))</f>
        <v/>
      </c>
      <c r="E135" s="49" t="str">
        <f>IF($A135="","",IFERROR(INDEX(Import_Index!$D$5:$D$304,MATCH($A135&amp;"|registration",Import_Index!$I$5:$I$304,0)),F135))</f>
        <v/>
      </c>
      <c r="F135" s="49" t="str">
        <f>IF($AG135="","",INDEX(Import_Index!$D$5:$D$304,$AG135))</f>
        <v/>
      </c>
      <c r="G135" s="46" t="str">
        <f>IF($A135="","",COUNTIFS(Import_Index!$B$5:$B$304,$A135,Import_Index!$C$5:$C$304,"yes"))</f>
        <v/>
      </c>
      <c r="H135" s="46" t="str">
        <f>IF($AG135="","",IFERROR(VALUE(INDEX(Kobo_Import!$A$2:$CZ$301,$AG135,Field_Map!$B$16)&amp;""),0))</f>
        <v/>
      </c>
      <c r="I135" s="46" t="str">
        <f>IF($AG135="","",IF(IFERROR(INDEX(Kobo_Import!$A$2:$CZ$301,$AG135,Field_Map!$B$17)&amp;"","")="","",IFERROR(INDEX(Lists!$N$5:$N$19,MATCH(INDEX(Kobo_Import!$A$2:$CZ$301,$AG135,Field_Map!$B$17)&amp;"",Lists!$M$5:$M$19,0)),INDEX(Kobo_Import!$A$2:$CZ$301,$AG135,Field_Map!$B$17)&amp;"")))</f>
        <v/>
      </c>
      <c r="J135" s="46" t="str">
        <f>IF($AG135="","",IFERROR(VALUE(INDEX(Kobo_Import!$A$2:$CZ$301,$AG135,Field_Map!$B$18)&amp;""),0))</f>
        <v/>
      </c>
      <c r="K135" s="46" t="str">
        <f>IF($AG135="","",IFERROR(VALUE(INDEX(Kobo_Import!$A$2:$CZ$301,$AG135,Field_Map!$B$19)&amp;""),0))</f>
        <v/>
      </c>
      <c r="L135" s="46" t="str">
        <f>IF($AG135="","",IFERROR(VALUE(INDEX(Kobo_Import!$A$2:$CZ$301,$AG135,Field_Map!$B$20)&amp;""),0))</f>
        <v/>
      </c>
      <c r="M135" s="46" t="str">
        <f>IF($AG135="","",IFERROR(VALUE(INDEX(Kobo_Import!$A$2:$CZ$301,$AG135,Field_Map!$B$21)&amp;""),0))</f>
        <v/>
      </c>
      <c r="N135" s="46" t="str">
        <f>IF($AG135="","",IFERROR(VALUE(INDEX(Kobo_Import!$A$2:$CZ$301,$AG135,Field_Map!$B$22)&amp;""),0))</f>
        <v/>
      </c>
      <c r="O135" s="46" t="str">
        <f>IF($AG135="","",IFERROR(VALUE(INDEX(Kobo_Import!$A$2:$CZ$301,$AG135,Field_Map!$B$23)&amp;""),0))</f>
        <v/>
      </c>
      <c r="P135" s="46" t="str">
        <f>IF($AG135="","",IFERROR(VALUE(INDEX(Kobo_Import!$A$2:$CZ$301,$AG135,Field_Map!$B$24)&amp;""),0))</f>
        <v/>
      </c>
      <c r="Q135" s="46" t="str">
        <f>IF($AG135="","",IFERROR(VALUE(INDEX(Kobo_Import!$A$2:$CZ$301,$AG135,Field_Map!$B$25)&amp;""),0))</f>
        <v/>
      </c>
      <c r="R135" s="46" t="str">
        <f>IF($AG135="","",IFERROR(VALUE(INDEX(Kobo_Import!$A$2:$CZ$301,$AG135,Field_Map!$B$26)&amp;""),0))</f>
        <v/>
      </c>
      <c r="S135" s="46" t="str">
        <f>IF($AG135="","",IFERROR(VALUE(INDEX(Kobo_Import!$A$2:$CZ$301,$AG135,Field_Map!$B$27)&amp;""),0))</f>
        <v/>
      </c>
      <c r="T135" s="46" t="str">
        <f>IF($AG135="","",IFERROR(VALUE(INDEX(Kobo_Import!$A$2:$CZ$301,$AG135,Field_Map!$B$28)&amp;""),0))</f>
        <v/>
      </c>
      <c r="U135" s="46" t="str">
        <f>IF($AG135="","",IF(IFERROR(INDEX(Kobo_Import!$A$2:$CZ$301,$AG135,Field_Map!$B$29)&amp;"","")="","",IFERROR(INDEX(Lists!$N$5:$N$19,MATCH(INDEX(Kobo_Import!$A$2:$CZ$301,$AG135,Field_Map!$B$29)&amp;"",Lists!$M$5:$M$19,0)),INDEX(Kobo_Import!$A$2:$CZ$301,$AG135,Field_Map!$B$29)&amp;"")))</f>
        <v/>
      </c>
      <c r="V135" s="50" t="str">
        <f>IF($A135="","",Settings!$B$5-F135)</f>
        <v/>
      </c>
      <c r="W135" s="46" t="str">
        <f>IF($A135="","",(J135&gt;0)*Settings!$B$22+(P135&gt;0)*Settings!$B$23+(M135&gt;0)*Settings!$B$24+(O135&gt;0)*Settings!$B$25+(I135="Yes")*Settings!$B$26+(D135="Unusable")*Settings!$B$27+(D135="Damaged")*Settings!$B$28+(H135&gt;=Settings!$B$30)*Settings!$B$29)</f>
        <v/>
      </c>
      <c r="X135" s="46" t="str">
        <f>IF($A135="","",IF(W135&gt;=Settings!$B$31,"High",IF(W135&gt;=Settings!$B$32,"Medium","Low")))</f>
        <v/>
      </c>
      <c r="Y135" s="46" t="str">
        <f>IF($A135="","",IF(V135&gt;Settings!$B$21,"Yes",""))</f>
        <v/>
      </c>
      <c r="Z135" s="46" t="str">
        <f>IF($A135="","",COUNTIFS(Referrals!$B$5:$B$52,$A135,Referrals!$G$5:$G$52,"Referred")+COUNTIFS(Referrals!$B$5:$B$52,$A135,Referrals!$G$5:$G$52,"Acknowledged"))</f>
        <v/>
      </c>
      <c r="AA135" s="46" t="str">
        <f>IF($A135="","",COUNTIFS(Referrals!$B$5:$B$52,$A135,Referrals!$K$5:$K$52,"Overdue"))</f>
        <v/>
      </c>
      <c r="AB135" s="46" t="str">
        <f>IF($A135="","",IF(AND(J135&gt;0,U135="Yes"),IF(COUNTIFS(Referrals!$B$5:$B$52,$A135,Referrals!$D$5:$D$52,"Nutrition / IYCF")=0,"Referral needed","Referred"),""))</f>
        <v/>
      </c>
      <c r="AC135" s="46" t="str">
        <f>IF($A135="","",IF(N(Needs_Gaps!O135)&gt;0,"Yes",""))</f>
        <v/>
      </c>
      <c r="AD135" s="46" t="str">
        <f>IF($A135="","",IF(COUNTIFS(Maintenance_Log!$C$5:$C$40,$A135,Maintenance_Log!$H$5:$H$40,"&lt;&gt;Resolved")&gt;0,"Yes",""))</f>
        <v/>
      </c>
      <c r="AE135" s="46" t="str">
        <f t="shared" si="8"/>
        <v/>
      </c>
      <c r="AF135" s="46">
        <f t="shared" si="9"/>
        <v>0</v>
      </c>
      <c r="AG135" s="46" t="str">
        <f>IFERROR(MATCH(ROW()-4,Import_Index!$H$5:$H$304,0),"")</f>
        <v/>
      </c>
    </row>
    <row r="136" spans="1:33" x14ac:dyDescent="0.3">
      <c r="A136" s="46" t="str">
        <f>IF($AG136="","",IFERROR(INDEX(Kobo_Import!$A$2:$CZ$301,$AG136,Field_Map!$B$13)&amp;"",""))</f>
        <v/>
      </c>
      <c r="B136" s="46" t="str">
        <f>IF($AG136="","",IF(IFERROR(INDEX(Kobo_Import!$A$2:$CZ$301,$AG136,Field_Map!$B$9)&amp;"","")="","",IFERROR(INDEX(Lists!$N$5:$N$19,MATCH(INDEX(Kobo_Import!$A$2:$CZ$301,$AG136,Field_Map!$B$9)&amp;"",Lists!$M$5:$M$19,0)),INDEX(Kobo_Import!$A$2:$CZ$301,$AG136,Field_Map!$B$9)&amp;"")))</f>
        <v/>
      </c>
      <c r="C136" s="46" t="str">
        <f>IF($AG136="","",IF(IFERROR(INDEX(Kobo_Import!$A$2:$CZ$301,$AG136,Field_Map!$B$14)&amp;"","")="","",IFERROR(INDEX(Lists!$N$5:$N$19,MATCH(INDEX(Kobo_Import!$A$2:$CZ$301,$AG136,Field_Map!$B$14)&amp;"",Lists!$M$5:$M$19,0)),INDEX(Kobo_Import!$A$2:$CZ$301,$AG136,Field_Map!$B$14)&amp;"")))</f>
        <v/>
      </c>
      <c r="D136" s="46" t="str">
        <f>IF($AG136="","",IF(IFERROR(INDEX(Kobo_Import!$A$2:$CZ$301,$AG136,Field_Map!$B$15)&amp;"","")="","",IFERROR(INDEX(Lists!$N$5:$N$19,MATCH(INDEX(Kobo_Import!$A$2:$CZ$301,$AG136,Field_Map!$B$15)&amp;"",Lists!$M$5:$M$19,0)),INDEX(Kobo_Import!$A$2:$CZ$301,$AG136,Field_Map!$B$15)&amp;"")))</f>
        <v/>
      </c>
      <c r="E136" s="49" t="str">
        <f>IF($A136="","",IFERROR(INDEX(Import_Index!$D$5:$D$304,MATCH($A136&amp;"|registration",Import_Index!$I$5:$I$304,0)),F136))</f>
        <v/>
      </c>
      <c r="F136" s="49" t="str">
        <f>IF($AG136="","",INDEX(Import_Index!$D$5:$D$304,$AG136))</f>
        <v/>
      </c>
      <c r="G136" s="46" t="str">
        <f>IF($A136="","",COUNTIFS(Import_Index!$B$5:$B$304,$A136,Import_Index!$C$5:$C$304,"yes"))</f>
        <v/>
      </c>
      <c r="H136" s="46" t="str">
        <f>IF($AG136="","",IFERROR(VALUE(INDEX(Kobo_Import!$A$2:$CZ$301,$AG136,Field_Map!$B$16)&amp;""),0))</f>
        <v/>
      </c>
      <c r="I136" s="46" t="str">
        <f>IF($AG136="","",IF(IFERROR(INDEX(Kobo_Import!$A$2:$CZ$301,$AG136,Field_Map!$B$17)&amp;"","")="","",IFERROR(INDEX(Lists!$N$5:$N$19,MATCH(INDEX(Kobo_Import!$A$2:$CZ$301,$AG136,Field_Map!$B$17)&amp;"",Lists!$M$5:$M$19,0)),INDEX(Kobo_Import!$A$2:$CZ$301,$AG136,Field_Map!$B$17)&amp;"")))</f>
        <v/>
      </c>
      <c r="J136" s="46" t="str">
        <f>IF($AG136="","",IFERROR(VALUE(INDEX(Kobo_Import!$A$2:$CZ$301,$AG136,Field_Map!$B$18)&amp;""),0))</f>
        <v/>
      </c>
      <c r="K136" s="46" t="str">
        <f>IF($AG136="","",IFERROR(VALUE(INDEX(Kobo_Import!$A$2:$CZ$301,$AG136,Field_Map!$B$19)&amp;""),0))</f>
        <v/>
      </c>
      <c r="L136" s="46" t="str">
        <f>IF($AG136="","",IFERROR(VALUE(INDEX(Kobo_Import!$A$2:$CZ$301,$AG136,Field_Map!$B$20)&amp;""),0))</f>
        <v/>
      </c>
      <c r="M136" s="46" t="str">
        <f>IF($AG136="","",IFERROR(VALUE(INDEX(Kobo_Import!$A$2:$CZ$301,$AG136,Field_Map!$B$21)&amp;""),0))</f>
        <v/>
      </c>
      <c r="N136" s="46" t="str">
        <f>IF($AG136="","",IFERROR(VALUE(INDEX(Kobo_Import!$A$2:$CZ$301,$AG136,Field_Map!$B$22)&amp;""),0))</f>
        <v/>
      </c>
      <c r="O136" s="46" t="str">
        <f>IF($AG136="","",IFERROR(VALUE(INDEX(Kobo_Import!$A$2:$CZ$301,$AG136,Field_Map!$B$23)&amp;""),0))</f>
        <v/>
      </c>
      <c r="P136" s="46" t="str">
        <f>IF($AG136="","",IFERROR(VALUE(INDEX(Kobo_Import!$A$2:$CZ$301,$AG136,Field_Map!$B$24)&amp;""),0))</f>
        <v/>
      </c>
      <c r="Q136" s="46" t="str">
        <f>IF($AG136="","",IFERROR(VALUE(INDEX(Kobo_Import!$A$2:$CZ$301,$AG136,Field_Map!$B$25)&amp;""),0))</f>
        <v/>
      </c>
      <c r="R136" s="46" t="str">
        <f>IF($AG136="","",IFERROR(VALUE(INDEX(Kobo_Import!$A$2:$CZ$301,$AG136,Field_Map!$B$26)&amp;""),0))</f>
        <v/>
      </c>
      <c r="S136" s="46" t="str">
        <f>IF($AG136="","",IFERROR(VALUE(INDEX(Kobo_Import!$A$2:$CZ$301,$AG136,Field_Map!$B$27)&amp;""),0))</f>
        <v/>
      </c>
      <c r="T136" s="46" t="str">
        <f>IF($AG136="","",IFERROR(VALUE(INDEX(Kobo_Import!$A$2:$CZ$301,$AG136,Field_Map!$B$28)&amp;""),0))</f>
        <v/>
      </c>
      <c r="U136" s="46" t="str">
        <f>IF($AG136="","",IF(IFERROR(INDEX(Kobo_Import!$A$2:$CZ$301,$AG136,Field_Map!$B$29)&amp;"","")="","",IFERROR(INDEX(Lists!$N$5:$N$19,MATCH(INDEX(Kobo_Import!$A$2:$CZ$301,$AG136,Field_Map!$B$29)&amp;"",Lists!$M$5:$M$19,0)),INDEX(Kobo_Import!$A$2:$CZ$301,$AG136,Field_Map!$B$29)&amp;"")))</f>
        <v/>
      </c>
      <c r="V136" s="50" t="str">
        <f>IF($A136="","",Settings!$B$5-F136)</f>
        <v/>
      </c>
      <c r="W136" s="46" t="str">
        <f>IF($A136="","",(J136&gt;0)*Settings!$B$22+(P136&gt;0)*Settings!$B$23+(M136&gt;0)*Settings!$B$24+(O136&gt;0)*Settings!$B$25+(I136="Yes")*Settings!$B$26+(D136="Unusable")*Settings!$B$27+(D136="Damaged")*Settings!$B$28+(H136&gt;=Settings!$B$30)*Settings!$B$29)</f>
        <v/>
      </c>
      <c r="X136" s="46" t="str">
        <f>IF($A136="","",IF(W136&gt;=Settings!$B$31,"High",IF(W136&gt;=Settings!$B$32,"Medium","Low")))</f>
        <v/>
      </c>
      <c r="Y136" s="46" t="str">
        <f>IF($A136="","",IF(V136&gt;Settings!$B$21,"Yes",""))</f>
        <v/>
      </c>
      <c r="Z136" s="46" t="str">
        <f>IF($A136="","",COUNTIFS(Referrals!$B$5:$B$52,$A136,Referrals!$G$5:$G$52,"Referred")+COUNTIFS(Referrals!$B$5:$B$52,$A136,Referrals!$G$5:$G$52,"Acknowledged"))</f>
        <v/>
      </c>
      <c r="AA136" s="46" t="str">
        <f>IF($A136="","",COUNTIFS(Referrals!$B$5:$B$52,$A136,Referrals!$K$5:$K$52,"Overdue"))</f>
        <v/>
      </c>
      <c r="AB136" s="46" t="str">
        <f>IF($A136="","",IF(AND(J136&gt;0,U136="Yes"),IF(COUNTIFS(Referrals!$B$5:$B$52,$A136,Referrals!$D$5:$D$52,"Nutrition / IYCF")=0,"Referral needed","Referred"),""))</f>
        <v/>
      </c>
      <c r="AC136" s="46" t="str">
        <f>IF($A136="","",IF(N(Needs_Gaps!O136)&gt;0,"Yes",""))</f>
        <v/>
      </c>
      <c r="AD136" s="46" t="str">
        <f>IF($A136="","",IF(COUNTIFS(Maintenance_Log!$C$5:$C$40,$A136,Maintenance_Log!$H$5:$H$40,"&lt;&gt;Resolved")&gt;0,"Yes",""))</f>
        <v/>
      </c>
      <c r="AE136" s="46" t="str">
        <f t="shared" si="8"/>
        <v/>
      </c>
      <c r="AF136" s="46">
        <f t="shared" si="9"/>
        <v>0</v>
      </c>
      <c r="AG136" s="46" t="str">
        <f>IFERROR(MATCH(ROW()-4,Import_Index!$H$5:$H$304,0),"")</f>
        <v/>
      </c>
    </row>
    <row r="137" spans="1:33" x14ac:dyDescent="0.3">
      <c r="A137" s="46" t="str">
        <f>IF($AG137="","",IFERROR(INDEX(Kobo_Import!$A$2:$CZ$301,$AG137,Field_Map!$B$13)&amp;"",""))</f>
        <v/>
      </c>
      <c r="B137" s="46" t="str">
        <f>IF($AG137="","",IF(IFERROR(INDEX(Kobo_Import!$A$2:$CZ$301,$AG137,Field_Map!$B$9)&amp;"","")="","",IFERROR(INDEX(Lists!$N$5:$N$19,MATCH(INDEX(Kobo_Import!$A$2:$CZ$301,$AG137,Field_Map!$B$9)&amp;"",Lists!$M$5:$M$19,0)),INDEX(Kobo_Import!$A$2:$CZ$301,$AG137,Field_Map!$B$9)&amp;"")))</f>
        <v/>
      </c>
      <c r="C137" s="46" t="str">
        <f>IF($AG137="","",IF(IFERROR(INDEX(Kobo_Import!$A$2:$CZ$301,$AG137,Field_Map!$B$14)&amp;"","")="","",IFERROR(INDEX(Lists!$N$5:$N$19,MATCH(INDEX(Kobo_Import!$A$2:$CZ$301,$AG137,Field_Map!$B$14)&amp;"",Lists!$M$5:$M$19,0)),INDEX(Kobo_Import!$A$2:$CZ$301,$AG137,Field_Map!$B$14)&amp;"")))</f>
        <v/>
      </c>
      <c r="D137" s="46" t="str">
        <f>IF($AG137="","",IF(IFERROR(INDEX(Kobo_Import!$A$2:$CZ$301,$AG137,Field_Map!$B$15)&amp;"","")="","",IFERROR(INDEX(Lists!$N$5:$N$19,MATCH(INDEX(Kobo_Import!$A$2:$CZ$301,$AG137,Field_Map!$B$15)&amp;"",Lists!$M$5:$M$19,0)),INDEX(Kobo_Import!$A$2:$CZ$301,$AG137,Field_Map!$B$15)&amp;"")))</f>
        <v/>
      </c>
      <c r="E137" s="49" t="str">
        <f>IF($A137="","",IFERROR(INDEX(Import_Index!$D$5:$D$304,MATCH($A137&amp;"|registration",Import_Index!$I$5:$I$304,0)),F137))</f>
        <v/>
      </c>
      <c r="F137" s="49" t="str">
        <f>IF($AG137="","",INDEX(Import_Index!$D$5:$D$304,$AG137))</f>
        <v/>
      </c>
      <c r="G137" s="46" t="str">
        <f>IF($A137="","",COUNTIFS(Import_Index!$B$5:$B$304,$A137,Import_Index!$C$5:$C$304,"yes"))</f>
        <v/>
      </c>
      <c r="H137" s="46" t="str">
        <f>IF($AG137="","",IFERROR(VALUE(INDEX(Kobo_Import!$A$2:$CZ$301,$AG137,Field_Map!$B$16)&amp;""),0))</f>
        <v/>
      </c>
      <c r="I137" s="46" t="str">
        <f>IF($AG137="","",IF(IFERROR(INDEX(Kobo_Import!$A$2:$CZ$301,$AG137,Field_Map!$B$17)&amp;"","")="","",IFERROR(INDEX(Lists!$N$5:$N$19,MATCH(INDEX(Kobo_Import!$A$2:$CZ$301,$AG137,Field_Map!$B$17)&amp;"",Lists!$M$5:$M$19,0)),INDEX(Kobo_Import!$A$2:$CZ$301,$AG137,Field_Map!$B$17)&amp;"")))</f>
        <v/>
      </c>
      <c r="J137" s="46" t="str">
        <f>IF($AG137="","",IFERROR(VALUE(INDEX(Kobo_Import!$A$2:$CZ$301,$AG137,Field_Map!$B$18)&amp;""),0))</f>
        <v/>
      </c>
      <c r="K137" s="46" t="str">
        <f>IF($AG137="","",IFERROR(VALUE(INDEX(Kobo_Import!$A$2:$CZ$301,$AG137,Field_Map!$B$19)&amp;""),0))</f>
        <v/>
      </c>
      <c r="L137" s="46" t="str">
        <f>IF($AG137="","",IFERROR(VALUE(INDEX(Kobo_Import!$A$2:$CZ$301,$AG137,Field_Map!$B$20)&amp;""),0))</f>
        <v/>
      </c>
      <c r="M137" s="46" t="str">
        <f>IF($AG137="","",IFERROR(VALUE(INDEX(Kobo_Import!$A$2:$CZ$301,$AG137,Field_Map!$B$21)&amp;""),0))</f>
        <v/>
      </c>
      <c r="N137" s="46" t="str">
        <f>IF($AG137="","",IFERROR(VALUE(INDEX(Kobo_Import!$A$2:$CZ$301,$AG137,Field_Map!$B$22)&amp;""),0))</f>
        <v/>
      </c>
      <c r="O137" s="46" t="str">
        <f>IF($AG137="","",IFERROR(VALUE(INDEX(Kobo_Import!$A$2:$CZ$301,$AG137,Field_Map!$B$23)&amp;""),0))</f>
        <v/>
      </c>
      <c r="P137" s="46" t="str">
        <f>IF($AG137="","",IFERROR(VALUE(INDEX(Kobo_Import!$A$2:$CZ$301,$AG137,Field_Map!$B$24)&amp;""),0))</f>
        <v/>
      </c>
      <c r="Q137" s="46" t="str">
        <f>IF($AG137="","",IFERROR(VALUE(INDEX(Kobo_Import!$A$2:$CZ$301,$AG137,Field_Map!$B$25)&amp;""),0))</f>
        <v/>
      </c>
      <c r="R137" s="46" t="str">
        <f>IF($AG137="","",IFERROR(VALUE(INDEX(Kobo_Import!$A$2:$CZ$301,$AG137,Field_Map!$B$26)&amp;""),0))</f>
        <v/>
      </c>
      <c r="S137" s="46" t="str">
        <f>IF($AG137="","",IFERROR(VALUE(INDEX(Kobo_Import!$A$2:$CZ$301,$AG137,Field_Map!$B$27)&amp;""),0))</f>
        <v/>
      </c>
      <c r="T137" s="46" t="str">
        <f>IF($AG137="","",IFERROR(VALUE(INDEX(Kobo_Import!$A$2:$CZ$301,$AG137,Field_Map!$B$28)&amp;""),0))</f>
        <v/>
      </c>
      <c r="U137" s="46" t="str">
        <f>IF($AG137="","",IF(IFERROR(INDEX(Kobo_Import!$A$2:$CZ$301,$AG137,Field_Map!$B$29)&amp;"","")="","",IFERROR(INDEX(Lists!$N$5:$N$19,MATCH(INDEX(Kobo_Import!$A$2:$CZ$301,$AG137,Field_Map!$B$29)&amp;"",Lists!$M$5:$M$19,0)),INDEX(Kobo_Import!$A$2:$CZ$301,$AG137,Field_Map!$B$29)&amp;"")))</f>
        <v/>
      </c>
      <c r="V137" s="50" t="str">
        <f>IF($A137="","",Settings!$B$5-F137)</f>
        <v/>
      </c>
      <c r="W137" s="46" t="str">
        <f>IF($A137="","",(J137&gt;0)*Settings!$B$22+(P137&gt;0)*Settings!$B$23+(M137&gt;0)*Settings!$B$24+(O137&gt;0)*Settings!$B$25+(I137="Yes")*Settings!$B$26+(D137="Unusable")*Settings!$B$27+(D137="Damaged")*Settings!$B$28+(H137&gt;=Settings!$B$30)*Settings!$B$29)</f>
        <v/>
      </c>
      <c r="X137" s="46" t="str">
        <f>IF($A137="","",IF(W137&gt;=Settings!$B$31,"High",IF(W137&gt;=Settings!$B$32,"Medium","Low")))</f>
        <v/>
      </c>
      <c r="Y137" s="46" t="str">
        <f>IF($A137="","",IF(V137&gt;Settings!$B$21,"Yes",""))</f>
        <v/>
      </c>
      <c r="Z137" s="46" t="str">
        <f>IF($A137="","",COUNTIFS(Referrals!$B$5:$B$52,$A137,Referrals!$G$5:$G$52,"Referred")+COUNTIFS(Referrals!$B$5:$B$52,$A137,Referrals!$G$5:$G$52,"Acknowledged"))</f>
        <v/>
      </c>
      <c r="AA137" s="46" t="str">
        <f>IF($A137="","",COUNTIFS(Referrals!$B$5:$B$52,$A137,Referrals!$K$5:$K$52,"Overdue"))</f>
        <v/>
      </c>
      <c r="AB137" s="46" t="str">
        <f>IF($A137="","",IF(AND(J137&gt;0,U137="Yes"),IF(COUNTIFS(Referrals!$B$5:$B$52,$A137,Referrals!$D$5:$D$52,"Nutrition / IYCF")=0,"Referral needed","Referred"),""))</f>
        <v/>
      </c>
      <c r="AC137" s="46" t="str">
        <f>IF($A137="","",IF(N(Needs_Gaps!O137)&gt;0,"Yes",""))</f>
        <v/>
      </c>
      <c r="AD137" s="46" t="str">
        <f>IF($A137="","",IF(COUNTIFS(Maintenance_Log!$C$5:$C$40,$A137,Maintenance_Log!$H$5:$H$40,"&lt;&gt;Resolved")&gt;0,"Yes",""))</f>
        <v/>
      </c>
      <c r="AE137" s="46" t="str">
        <f t="shared" si="8"/>
        <v/>
      </c>
      <c r="AF137" s="46">
        <f t="shared" si="9"/>
        <v>0</v>
      </c>
      <c r="AG137" s="46" t="str">
        <f>IFERROR(MATCH(ROW()-4,Import_Index!$H$5:$H$304,0),"")</f>
        <v/>
      </c>
    </row>
    <row r="138" spans="1:33" x14ac:dyDescent="0.3">
      <c r="A138" s="46" t="str">
        <f>IF($AG138="","",IFERROR(INDEX(Kobo_Import!$A$2:$CZ$301,$AG138,Field_Map!$B$13)&amp;"",""))</f>
        <v/>
      </c>
      <c r="B138" s="46" t="str">
        <f>IF($AG138="","",IF(IFERROR(INDEX(Kobo_Import!$A$2:$CZ$301,$AG138,Field_Map!$B$9)&amp;"","")="","",IFERROR(INDEX(Lists!$N$5:$N$19,MATCH(INDEX(Kobo_Import!$A$2:$CZ$301,$AG138,Field_Map!$B$9)&amp;"",Lists!$M$5:$M$19,0)),INDEX(Kobo_Import!$A$2:$CZ$301,$AG138,Field_Map!$B$9)&amp;"")))</f>
        <v/>
      </c>
      <c r="C138" s="46" t="str">
        <f>IF($AG138="","",IF(IFERROR(INDEX(Kobo_Import!$A$2:$CZ$301,$AG138,Field_Map!$B$14)&amp;"","")="","",IFERROR(INDEX(Lists!$N$5:$N$19,MATCH(INDEX(Kobo_Import!$A$2:$CZ$301,$AG138,Field_Map!$B$14)&amp;"",Lists!$M$5:$M$19,0)),INDEX(Kobo_Import!$A$2:$CZ$301,$AG138,Field_Map!$B$14)&amp;"")))</f>
        <v/>
      </c>
      <c r="D138" s="46" t="str">
        <f>IF($AG138="","",IF(IFERROR(INDEX(Kobo_Import!$A$2:$CZ$301,$AG138,Field_Map!$B$15)&amp;"","")="","",IFERROR(INDEX(Lists!$N$5:$N$19,MATCH(INDEX(Kobo_Import!$A$2:$CZ$301,$AG138,Field_Map!$B$15)&amp;"",Lists!$M$5:$M$19,0)),INDEX(Kobo_Import!$A$2:$CZ$301,$AG138,Field_Map!$B$15)&amp;"")))</f>
        <v/>
      </c>
      <c r="E138" s="49" t="str">
        <f>IF($A138="","",IFERROR(INDEX(Import_Index!$D$5:$D$304,MATCH($A138&amp;"|registration",Import_Index!$I$5:$I$304,0)),F138))</f>
        <v/>
      </c>
      <c r="F138" s="49" t="str">
        <f>IF($AG138="","",INDEX(Import_Index!$D$5:$D$304,$AG138))</f>
        <v/>
      </c>
      <c r="G138" s="46" t="str">
        <f>IF($A138="","",COUNTIFS(Import_Index!$B$5:$B$304,$A138,Import_Index!$C$5:$C$304,"yes"))</f>
        <v/>
      </c>
      <c r="H138" s="46" t="str">
        <f>IF($AG138="","",IFERROR(VALUE(INDEX(Kobo_Import!$A$2:$CZ$301,$AG138,Field_Map!$B$16)&amp;""),0))</f>
        <v/>
      </c>
      <c r="I138" s="46" t="str">
        <f>IF($AG138="","",IF(IFERROR(INDEX(Kobo_Import!$A$2:$CZ$301,$AG138,Field_Map!$B$17)&amp;"","")="","",IFERROR(INDEX(Lists!$N$5:$N$19,MATCH(INDEX(Kobo_Import!$A$2:$CZ$301,$AG138,Field_Map!$B$17)&amp;"",Lists!$M$5:$M$19,0)),INDEX(Kobo_Import!$A$2:$CZ$301,$AG138,Field_Map!$B$17)&amp;"")))</f>
        <v/>
      </c>
      <c r="J138" s="46" t="str">
        <f>IF($AG138="","",IFERROR(VALUE(INDEX(Kobo_Import!$A$2:$CZ$301,$AG138,Field_Map!$B$18)&amp;""),0))</f>
        <v/>
      </c>
      <c r="K138" s="46" t="str">
        <f>IF($AG138="","",IFERROR(VALUE(INDEX(Kobo_Import!$A$2:$CZ$301,$AG138,Field_Map!$B$19)&amp;""),0))</f>
        <v/>
      </c>
      <c r="L138" s="46" t="str">
        <f>IF($AG138="","",IFERROR(VALUE(INDEX(Kobo_Import!$A$2:$CZ$301,$AG138,Field_Map!$B$20)&amp;""),0))</f>
        <v/>
      </c>
      <c r="M138" s="46" t="str">
        <f>IF($AG138="","",IFERROR(VALUE(INDEX(Kobo_Import!$A$2:$CZ$301,$AG138,Field_Map!$B$21)&amp;""),0))</f>
        <v/>
      </c>
      <c r="N138" s="46" t="str">
        <f>IF($AG138="","",IFERROR(VALUE(INDEX(Kobo_Import!$A$2:$CZ$301,$AG138,Field_Map!$B$22)&amp;""),0))</f>
        <v/>
      </c>
      <c r="O138" s="46" t="str">
        <f>IF($AG138="","",IFERROR(VALUE(INDEX(Kobo_Import!$A$2:$CZ$301,$AG138,Field_Map!$B$23)&amp;""),0))</f>
        <v/>
      </c>
      <c r="P138" s="46" t="str">
        <f>IF($AG138="","",IFERROR(VALUE(INDEX(Kobo_Import!$A$2:$CZ$301,$AG138,Field_Map!$B$24)&amp;""),0))</f>
        <v/>
      </c>
      <c r="Q138" s="46" t="str">
        <f>IF($AG138="","",IFERROR(VALUE(INDEX(Kobo_Import!$A$2:$CZ$301,$AG138,Field_Map!$B$25)&amp;""),0))</f>
        <v/>
      </c>
      <c r="R138" s="46" t="str">
        <f>IF($AG138="","",IFERROR(VALUE(INDEX(Kobo_Import!$A$2:$CZ$301,$AG138,Field_Map!$B$26)&amp;""),0))</f>
        <v/>
      </c>
      <c r="S138" s="46" t="str">
        <f>IF($AG138="","",IFERROR(VALUE(INDEX(Kobo_Import!$A$2:$CZ$301,$AG138,Field_Map!$B$27)&amp;""),0))</f>
        <v/>
      </c>
      <c r="T138" s="46" t="str">
        <f>IF($AG138="","",IFERROR(VALUE(INDEX(Kobo_Import!$A$2:$CZ$301,$AG138,Field_Map!$B$28)&amp;""),0))</f>
        <v/>
      </c>
      <c r="U138" s="46" t="str">
        <f>IF($AG138="","",IF(IFERROR(INDEX(Kobo_Import!$A$2:$CZ$301,$AG138,Field_Map!$B$29)&amp;"","")="","",IFERROR(INDEX(Lists!$N$5:$N$19,MATCH(INDEX(Kobo_Import!$A$2:$CZ$301,$AG138,Field_Map!$B$29)&amp;"",Lists!$M$5:$M$19,0)),INDEX(Kobo_Import!$A$2:$CZ$301,$AG138,Field_Map!$B$29)&amp;"")))</f>
        <v/>
      </c>
      <c r="V138" s="50" t="str">
        <f>IF($A138="","",Settings!$B$5-F138)</f>
        <v/>
      </c>
      <c r="W138" s="46" t="str">
        <f>IF($A138="","",(J138&gt;0)*Settings!$B$22+(P138&gt;0)*Settings!$B$23+(M138&gt;0)*Settings!$B$24+(O138&gt;0)*Settings!$B$25+(I138="Yes")*Settings!$B$26+(D138="Unusable")*Settings!$B$27+(D138="Damaged")*Settings!$B$28+(H138&gt;=Settings!$B$30)*Settings!$B$29)</f>
        <v/>
      </c>
      <c r="X138" s="46" t="str">
        <f>IF($A138="","",IF(W138&gt;=Settings!$B$31,"High",IF(W138&gt;=Settings!$B$32,"Medium","Low")))</f>
        <v/>
      </c>
      <c r="Y138" s="46" t="str">
        <f>IF($A138="","",IF(V138&gt;Settings!$B$21,"Yes",""))</f>
        <v/>
      </c>
      <c r="Z138" s="46" t="str">
        <f>IF($A138="","",COUNTIFS(Referrals!$B$5:$B$52,$A138,Referrals!$G$5:$G$52,"Referred")+COUNTIFS(Referrals!$B$5:$B$52,$A138,Referrals!$G$5:$G$52,"Acknowledged"))</f>
        <v/>
      </c>
      <c r="AA138" s="46" t="str">
        <f>IF($A138="","",COUNTIFS(Referrals!$B$5:$B$52,$A138,Referrals!$K$5:$K$52,"Overdue"))</f>
        <v/>
      </c>
      <c r="AB138" s="46" t="str">
        <f>IF($A138="","",IF(AND(J138&gt;0,U138="Yes"),IF(COUNTIFS(Referrals!$B$5:$B$52,$A138,Referrals!$D$5:$D$52,"Nutrition / IYCF")=0,"Referral needed","Referred"),""))</f>
        <v/>
      </c>
      <c r="AC138" s="46" t="str">
        <f>IF($A138="","",IF(N(Needs_Gaps!O138)&gt;0,"Yes",""))</f>
        <v/>
      </c>
      <c r="AD138" s="46" t="str">
        <f>IF($A138="","",IF(COUNTIFS(Maintenance_Log!$C$5:$C$40,$A138,Maintenance_Log!$H$5:$H$40,"&lt;&gt;Resolved")&gt;0,"Yes",""))</f>
        <v/>
      </c>
      <c r="AE138" s="46" t="str">
        <f t="shared" si="8"/>
        <v/>
      </c>
      <c r="AF138" s="46">
        <f t="shared" si="9"/>
        <v>0</v>
      </c>
      <c r="AG138" s="46" t="str">
        <f>IFERROR(MATCH(ROW()-4,Import_Index!$H$5:$H$304,0),"")</f>
        <v/>
      </c>
    </row>
    <row r="139" spans="1:33" x14ac:dyDescent="0.3">
      <c r="A139" s="46" t="str">
        <f>IF($AG139="","",IFERROR(INDEX(Kobo_Import!$A$2:$CZ$301,$AG139,Field_Map!$B$13)&amp;"",""))</f>
        <v/>
      </c>
      <c r="B139" s="46" t="str">
        <f>IF($AG139="","",IF(IFERROR(INDEX(Kobo_Import!$A$2:$CZ$301,$AG139,Field_Map!$B$9)&amp;"","")="","",IFERROR(INDEX(Lists!$N$5:$N$19,MATCH(INDEX(Kobo_Import!$A$2:$CZ$301,$AG139,Field_Map!$B$9)&amp;"",Lists!$M$5:$M$19,0)),INDEX(Kobo_Import!$A$2:$CZ$301,$AG139,Field_Map!$B$9)&amp;"")))</f>
        <v/>
      </c>
      <c r="C139" s="46" t="str">
        <f>IF($AG139="","",IF(IFERROR(INDEX(Kobo_Import!$A$2:$CZ$301,$AG139,Field_Map!$B$14)&amp;"","")="","",IFERROR(INDEX(Lists!$N$5:$N$19,MATCH(INDEX(Kobo_Import!$A$2:$CZ$301,$AG139,Field_Map!$B$14)&amp;"",Lists!$M$5:$M$19,0)),INDEX(Kobo_Import!$A$2:$CZ$301,$AG139,Field_Map!$B$14)&amp;"")))</f>
        <v/>
      </c>
      <c r="D139" s="46" t="str">
        <f>IF($AG139="","",IF(IFERROR(INDEX(Kobo_Import!$A$2:$CZ$301,$AG139,Field_Map!$B$15)&amp;"","")="","",IFERROR(INDEX(Lists!$N$5:$N$19,MATCH(INDEX(Kobo_Import!$A$2:$CZ$301,$AG139,Field_Map!$B$15)&amp;"",Lists!$M$5:$M$19,0)),INDEX(Kobo_Import!$A$2:$CZ$301,$AG139,Field_Map!$B$15)&amp;"")))</f>
        <v/>
      </c>
      <c r="E139" s="49" t="str">
        <f>IF($A139="","",IFERROR(INDEX(Import_Index!$D$5:$D$304,MATCH($A139&amp;"|registration",Import_Index!$I$5:$I$304,0)),F139))</f>
        <v/>
      </c>
      <c r="F139" s="49" t="str">
        <f>IF($AG139="","",INDEX(Import_Index!$D$5:$D$304,$AG139))</f>
        <v/>
      </c>
      <c r="G139" s="46" t="str">
        <f>IF($A139="","",COUNTIFS(Import_Index!$B$5:$B$304,$A139,Import_Index!$C$5:$C$304,"yes"))</f>
        <v/>
      </c>
      <c r="H139" s="46" t="str">
        <f>IF($AG139="","",IFERROR(VALUE(INDEX(Kobo_Import!$A$2:$CZ$301,$AG139,Field_Map!$B$16)&amp;""),0))</f>
        <v/>
      </c>
      <c r="I139" s="46" t="str">
        <f>IF($AG139="","",IF(IFERROR(INDEX(Kobo_Import!$A$2:$CZ$301,$AG139,Field_Map!$B$17)&amp;"","")="","",IFERROR(INDEX(Lists!$N$5:$N$19,MATCH(INDEX(Kobo_Import!$A$2:$CZ$301,$AG139,Field_Map!$B$17)&amp;"",Lists!$M$5:$M$19,0)),INDEX(Kobo_Import!$A$2:$CZ$301,$AG139,Field_Map!$B$17)&amp;"")))</f>
        <v/>
      </c>
      <c r="J139" s="46" t="str">
        <f>IF($AG139="","",IFERROR(VALUE(INDEX(Kobo_Import!$A$2:$CZ$301,$AG139,Field_Map!$B$18)&amp;""),0))</f>
        <v/>
      </c>
      <c r="K139" s="46" t="str">
        <f>IF($AG139="","",IFERROR(VALUE(INDEX(Kobo_Import!$A$2:$CZ$301,$AG139,Field_Map!$B$19)&amp;""),0))</f>
        <v/>
      </c>
      <c r="L139" s="46" t="str">
        <f>IF($AG139="","",IFERROR(VALUE(INDEX(Kobo_Import!$A$2:$CZ$301,$AG139,Field_Map!$B$20)&amp;""),0))</f>
        <v/>
      </c>
      <c r="M139" s="46" t="str">
        <f>IF($AG139="","",IFERROR(VALUE(INDEX(Kobo_Import!$A$2:$CZ$301,$AG139,Field_Map!$B$21)&amp;""),0))</f>
        <v/>
      </c>
      <c r="N139" s="46" t="str">
        <f>IF($AG139="","",IFERROR(VALUE(INDEX(Kobo_Import!$A$2:$CZ$301,$AG139,Field_Map!$B$22)&amp;""),0))</f>
        <v/>
      </c>
      <c r="O139" s="46" t="str">
        <f>IF($AG139="","",IFERROR(VALUE(INDEX(Kobo_Import!$A$2:$CZ$301,$AG139,Field_Map!$B$23)&amp;""),0))</f>
        <v/>
      </c>
      <c r="P139" s="46" t="str">
        <f>IF($AG139="","",IFERROR(VALUE(INDEX(Kobo_Import!$A$2:$CZ$301,$AG139,Field_Map!$B$24)&amp;""),0))</f>
        <v/>
      </c>
      <c r="Q139" s="46" t="str">
        <f>IF($AG139="","",IFERROR(VALUE(INDEX(Kobo_Import!$A$2:$CZ$301,$AG139,Field_Map!$B$25)&amp;""),0))</f>
        <v/>
      </c>
      <c r="R139" s="46" t="str">
        <f>IF($AG139="","",IFERROR(VALUE(INDEX(Kobo_Import!$A$2:$CZ$301,$AG139,Field_Map!$B$26)&amp;""),0))</f>
        <v/>
      </c>
      <c r="S139" s="46" t="str">
        <f>IF($AG139="","",IFERROR(VALUE(INDEX(Kobo_Import!$A$2:$CZ$301,$AG139,Field_Map!$B$27)&amp;""),0))</f>
        <v/>
      </c>
      <c r="T139" s="46" t="str">
        <f>IF($AG139="","",IFERROR(VALUE(INDEX(Kobo_Import!$A$2:$CZ$301,$AG139,Field_Map!$B$28)&amp;""),0))</f>
        <v/>
      </c>
      <c r="U139" s="46" t="str">
        <f>IF($AG139="","",IF(IFERROR(INDEX(Kobo_Import!$A$2:$CZ$301,$AG139,Field_Map!$B$29)&amp;"","")="","",IFERROR(INDEX(Lists!$N$5:$N$19,MATCH(INDEX(Kobo_Import!$A$2:$CZ$301,$AG139,Field_Map!$B$29)&amp;"",Lists!$M$5:$M$19,0)),INDEX(Kobo_Import!$A$2:$CZ$301,$AG139,Field_Map!$B$29)&amp;"")))</f>
        <v/>
      </c>
      <c r="V139" s="50" t="str">
        <f>IF($A139="","",Settings!$B$5-F139)</f>
        <v/>
      </c>
      <c r="W139" s="46" t="str">
        <f>IF($A139="","",(J139&gt;0)*Settings!$B$22+(P139&gt;0)*Settings!$B$23+(M139&gt;0)*Settings!$B$24+(O139&gt;0)*Settings!$B$25+(I139="Yes")*Settings!$B$26+(D139="Unusable")*Settings!$B$27+(D139="Damaged")*Settings!$B$28+(H139&gt;=Settings!$B$30)*Settings!$B$29)</f>
        <v/>
      </c>
      <c r="X139" s="46" t="str">
        <f>IF($A139="","",IF(W139&gt;=Settings!$B$31,"High",IF(W139&gt;=Settings!$B$32,"Medium","Low")))</f>
        <v/>
      </c>
      <c r="Y139" s="46" t="str">
        <f>IF($A139="","",IF(V139&gt;Settings!$B$21,"Yes",""))</f>
        <v/>
      </c>
      <c r="Z139" s="46" t="str">
        <f>IF($A139="","",COUNTIFS(Referrals!$B$5:$B$52,$A139,Referrals!$G$5:$G$52,"Referred")+COUNTIFS(Referrals!$B$5:$B$52,$A139,Referrals!$G$5:$G$52,"Acknowledged"))</f>
        <v/>
      </c>
      <c r="AA139" s="46" t="str">
        <f>IF($A139="","",COUNTIFS(Referrals!$B$5:$B$52,$A139,Referrals!$K$5:$K$52,"Overdue"))</f>
        <v/>
      </c>
      <c r="AB139" s="46" t="str">
        <f>IF($A139="","",IF(AND(J139&gt;0,U139="Yes"),IF(COUNTIFS(Referrals!$B$5:$B$52,$A139,Referrals!$D$5:$D$52,"Nutrition / IYCF")=0,"Referral needed","Referred"),""))</f>
        <v/>
      </c>
      <c r="AC139" s="46" t="str">
        <f>IF($A139="","",IF(N(Needs_Gaps!O139)&gt;0,"Yes",""))</f>
        <v/>
      </c>
      <c r="AD139" s="46" t="str">
        <f>IF($A139="","",IF(COUNTIFS(Maintenance_Log!$C$5:$C$40,$A139,Maintenance_Log!$H$5:$H$40,"&lt;&gt;Resolved")&gt;0,"Yes",""))</f>
        <v/>
      </c>
      <c r="AE139" s="46" t="str">
        <f t="shared" si="8"/>
        <v/>
      </c>
      <c r="AF139" s="46">
        <f t="shared" si="9"/>
        <v>0</v>
      </c>
      <c r="AG139" s="46" t="str">
        <f>IFERROR(MATCH(ROW()-4,Import_Index!$H$5:$H$304,0),"")</f>
        <v/>
      </c>
    </row>
    <row r="140" spans="1:33" x14ac:dyDescent="0.3">
      <c r="A140" s="46" t="str">
        <f>IF($AG140="","",IFERROR(INDEX(Kobo_Import!$A$2:$CZ$301,$AG140,Field_Map!$B$13)&amp;"",""))</f>
        <v/>
      </c>
      <c r="B140" s="46" t="str">
        <f>IF($AG140="","",IF(IFERROR(INDEX(Kobo_Import!$A$2:$CZ$301,$AG140,Field_Map!$B$9)&amp;"","")="","",IFERROR(INDEX(Lists!$N$5:$N$19,MATCH(INDEX(Kobo_Import!$A$2:$CZ$301,$AG140,Field_Map!$B$9)&amp;"",Lists!$M$5:$M$19,0)),INDEX(Kobo_Import!$A$2:$CZ$301,$AG140,Field_Map!$B$9)&amp;"")))</f>
        <v/>
      </c>
      <c r="C140" s="46" t="str">
        <f>IF($AG140="","",IF(IFERROR(INDEX(Kobo_Import!$A$2:$CZ$301,$AG140,Field_Map!$B$14)&amp;"","")="","",IFERROR(INDEX(Lists!$N$5:$N$19,MATCH(INDEX(Kobo_Import!$A$2:$CZ$301,$AG140,Field_Map!$B$14)&amp;"",Lists!$M$5:$M$19,0)),INDEX(Kobo_Import!$A$2:$CZ$301,$AG140,Field_Map!$B$14)&amp;"")))</f>
        <v/>
      </c>
      <c r="D140" s="46" t="str">
        <f>IF($AG140="","",IF(IFERROR(INDEX(Kobo_Import!$A$2:$CZ$301,$AG140,Field_Map!$B$15)&amp;"","")="","",IFERROR(INDEX(Lists!$N$5:$N$19,MATCH(INDEX(Kobo_Import!$A$2:$CZ$301,$AG140,Field_Map!$B$15)&amp;"",Lists!$M$5:$M$19,0)),INDEX(Kobo_Import!$A$2:$CZ$301,$AG140,Field_Map!$B$15)&amp;"")))</f>
        <v/>
      </c>
      <c r="E140" s="49" t="str">
        <f>IF($A140="","",IFERROR(INDEX(Import_Index!$D$5:$D$304,MATCH($A140&amp;"|registration",Import_Index!$I$5:$I$304,0)),F140))</f>
        <v/>
      </c>
      <c r="F140" s="49" t="str">
        <f>IF($AG140="","",INDEX(Import_Index!$D$5:$D$304,$AG140))</f>
        <v/>
      </c>
      <c r="G140" s="46" t="str">
        <f>IF($A140="","",COUNTIFS(Import_Index!$B$5:$B$304,$A140,Import_Index!$C$5:$C$304,"yes"))</f>
        <v/>
      </c>
      <c r="H140" s="46" t="str">
        <f>IF($AG140="","",IFERROR(VALUE(INDEX(Kobo_Import!$A$2:$CZ$301,$AG140,Field_Map!$B$16)&amp;""),0))</f>
        <v/>
      </c>
      <c r="I140" s="46" t="str">
        <f>IF($AG140="","",IF(IFERROR(INDEX(Kobo_Import!$A$2:$CZ$301,$AG140,Field_Map!$B$17)&amp;"","")="","",IFERROR(INDEX(Lists!$N$5:$N$19,MATCH(INDEX(Kobo_Import!$A$2:$CZ$301,$AG140,Field_Map!$B$17)&amp;"",Lists!$M$5:$M$19,0)),INDEX(Kobo_Import!$A$2:$CZ$301,$AG140,Field_Map!$B$17)&amp;"")))</f>
        <v/>
      </c>
      <c r="J140" s="46" t="str">
        <f>IF($AG140="","",IFERROR(VALUE(INDEX(Kobo_Import!$A$2:$CZ$301,$AG140,Field_Map!$B$18)&amp;""),0))</f>
        <v/>
      </c>
      <c r="K140" s="46" t="str">
        <f>IF($AG140="","",IFERROR(VALUE(INDEX(Kobo_Import!$A$2:$CZ$301,$AG140,Field_Map!$B$19)&amp;""),0))</f>
        <v/>
      </c>
      <c r="L140" s="46" t="str">
        <f>IF($AG140="","",IFERROR(VALUE(INDEX(Kobo_Import!$A$2:$CZ$301,$AG140,Field_Map!$B$20)&amp;""),0))</f>
        <v/>
      </c>
      <c r="M140" s="46" t="str">
        <f>IF($AG140="","",IFERROR(VALUE(INDEX(Kobo_Import!$A$2:$CZ$301,$AG140,Field_Map!$B$21)&amp;""),0))</f>
        <v/>
      </c>
      <c r="N140" s="46" t="str">
        <f>IF($AG140="","",IFERROR(VALUE(INDEX(Kobo_Import!$A$2:$CZ$301,$AG140,Field_Map!$B$22)&amp;""),0))</f>
        <v/>
      </c>
      <c r="O140" s="46" t="str">
        <f>IF($AG140="","",IFERROR(VALUE(INDEX(Kobo_Import!$A$2:$CZ$301,$AG140,Field_Map!$B$23)&amp;""),0))</f>
        <v/>
      </c>
      <c r="P140" s="46" t="str">
        <f>IF($AG140="","",IFERROR(VALUE(INDEX(Kobo_Import!$A$2:$CZ$301,$AG140,Field_Map!$B$24)&amp;""),0))</f>
        <v/>
      </c>
      <c r="Q140" s="46" t="str">
        <f>IF($AG140="","",IFERROR(VALUE(INDEX(Kobo_Import!$A$2:$CZ$301,$AG140,Field_Map!$B$25)&amp;""),0))</f>
        <v/>
      </c>
      <c r="R140" s="46" t="str">
        <f>IF($AG140="","",IFERROR(VALUE(INDEX(Kobo_Import!$A$2:$CZ$301,$AG140,Field_Map!$B$26)&amp;""),0))</f>
        <v/>
      </c>
      <c r="S140" s="46" t="str">
        <f>IF($AG140="","",IFERROR(VALUE(INDEX(Kobo_Import!$A$2:$CZ$301,$AG140,Field_Map!$B$27)&amp;""),0))</f>
        <v/>
      </c>
      <c r="T140" s="46" t="str">
        <f>IF($AG140="","",IFERROR(VALUE(INDEX(Kobo_Import!$A$2:$CZ$301,$AG140,Field_Map!$B$28)&amp;""),0))</f>
        <v/>
      </c>
      <c r="U140" s="46" t="str">
        <f>IF($AG140="","",IF(IFERROR(INDEX(Kobo_Import!$A$2:$CZ$301,$AG140,Field_Map!$B$29)&amp;"","")="","",IFERROR(INDEX(Lists!$N$5:$N$19,MATCH(INDEX(Kobo_Import!$A$2:$CZ$301,$AG140,Field_Map!$B$29)&amp;"",Lists!$M$5:$M$19,0)),INDEX(Kobo_Import!$A$2:$CZ$301,$AG140,Field_Map!$B$29)&amp;"")))</f>
        <v/>
      </c>
      <c r="V140" s="50" t="str">
        <f>IF($A140="","",Settings!$B$5-F140)</f>
        <v/>
      </c>
      <c r="W140" s="46" t="str">
        <f>IF($A140="","",(J140&gt;0)*Settings!$B$22+(P140&gt;0)*Settings!$B$23+(M140&gt;0)*Settings!$B$24+(O140&gt;0)*Settings!$B$25+(I140="Yes")*Settings!$B$26+(D140="Unusable")*Settings!$B$27+(D140="Damaged")*Settings!$B$28+(H140&gt;=Settings!$B$30)*Settings!$B$29)</f>
        <v/>
      </c>
      <c r="X140" s="46" t="str">
        <f>IF($A140="","",IF(W140&gt;=Settings!$B$31,"High",IF(W140&gt;=Settings!$B$32,"Medium","Low")))</f>
        <v/>
      </c>
      <c r="Y140" s="46" t="str">
        <f>IF($A140="","",IF(V140&gt;Settings!$B$21,"Yes",""))</f>
        <v/>
      </c>
      <c r="Z140" s="46" t="str">
        <f>IF($A140="","",COUNTIFS(Referrals!$B$5:$B$52,$A140,Referrals!$G$5:$G$52,"Referred")+COUNTIFS(Referrals!$B$5:$B$52,$A140,Referrals!$G$5:$G$52,"Acknowledged"))</f>
        <v/>
      </c>
      <c r="AA140" s="46" t="str">
        <f>IF($A140="","",COUNTIFS(Referrals!$B$5:$B$52,$A140,Referrals!$K$5:$K$52,"Overdue"))</f>
        <v/>
      </c>
      <c r="AB140" s="46" t="str">
        <f>IF($A140="","",IF(AND(J140&gt;0,U140="Yes"),IF(COUNTIFS(Referrals!$B$5:$B$52,$A140,Referrals!$D$5:$D$52,"Nutrition / IYCF")=0,"Referral needed","Referred"),""))</f>
        <v/>
      </c>
      <c r="AC140" s="46" t="str">
        <f>IF($A140="","",IF(N(Needs_Gaps!O140)&gt;0,"Yes",""))</f>
        <v/>
      </c>
      <c r="AD140" s="46" t="str">
        <f>IF($A140="","",IF(COUNTIFS(Maintenance_Log!$C$5:$C$40,$A140,Maintenance_Log!$H$5:$H$40,"&lt;&gt;Resolved")&gt;0,"Yes",""))</f>
        <v/>
      </c>
      <c r="AE140" s="46" t="str">
        <f t="shared" si="8"/>
        <v/>
      </c>
      <c r="AF140" s="46">
        <f t="shared" si="9"/>
        <v>0</v>
      </c>
      <c r="AG140" s="46" t="str">
        <f>IFERROR(MATCH(ROW()-4,Import_Index!$H$5:$H$304,0),"")</f>
        <v/>
      </c>
    </row>
    <row r="141" spans="1:33" x14ac:dyDescent="0.3">
      <c r="A141" s="46" t="str">
        <f>IF($AG141="","",IFERROR(INDEX(Kobo_Import!$A$2:$CZ$301,$AG141,Field_Map!$B$13)&amp;"",""))</f>
        <v/>
      </c>
      <c r="B141" s="46" t="str">
        <f>IF($AG141="","",IF(IFERROR(INDEX(Kobo_Import!$A$2:$CZ$301,$AG141,Field_Map!$B$9)&amp;"","")="","",IFERROR(INDEX(Lists!$N$5:$N$19,MATCH(INDEX(Kobo_Import!$A$2:$CZ$301,$AG141,Field_Map!$B$9)&amp;"",Lists!$M$5:$M$19,0)),INDEX(Kobo_Import!$A$2:$CZ$301,$AG141,Field_Map!$B$9)&amp;"")))</f>
        <v/>
      </c>
      <c r="C141" s="46" t="str">
        <f>IF($AG141="","",IF(IFERROR(INDEX(Kobo_Import!$A$2:$CZ$301,$AG141,Field_Map!$B$14)&amp;"","")="","",IFERROR(INDEX(Lists!$N$5:$N$19,MATCH(INDEX(Kobo_Import!$A$2:$CZ$301,$AG141,Field_Map!$B$14)&amp;"",Lists!$M$5:$M$19,0)),INDEX(Kobo_Import!$A$2:$CZ$301,$AG141,Field_Map!$B$14)&amp;"")))</f>
        <v/>
      </c>
      <c r="D141" s="46" t="str">
        <f>IF($AG141="","",IF(IFERROR(INDEX(Kobo_Import!$A$2:$CZ$301,$AG141,Field_Map!$B$15)&amp;"","")="","",IFERROR(INDEX(Lists!$N$5:$N$19,MATCH(INDEX(Kobo_Import!$A$2:$CZ$301,$AG141,Field_Map!$B$15)&amp;"",Lists!$M$5:$M$19,0)),INDEX(Kobo_Import!$A$2:$CZ$301,$AG141,Field_Map!$B$15)&amp;"")))</f>
        <v/>
      </c>
      <c r="E141" s="49" t="str">
        <f>IF($A141="","",IFERROR(INDEX(Import_Index!$D$5:$D$304,MATCH($A141&amp;"|registration",Import_Index!$I$5:$I$304,0)),F141))</f>
        <v/>
      </c>
      <c r="F141" s="49" t="str">
        <f>IF($AG141="","",INDEX(Import_Index!$D$5:$D$304,$AG141))</f>
        <v/>
      </c>
      <c r="G141" s="46" t="str">
        <f>IF($A141="","",COUNTIFS(Import_Index!$B$5:$B$304,$A141,Import_Index!$C$5:$C$304,"yes"))</f>
        <v/>
      </c>
      <c r="H141" s="46" t="str">
        <f>IF($AG141="","",IFERROR(VALUE(INDEX(Kobo_Import!$A$2:$CZ$301,$AG141,Field_Map!$B$16)&amp;""),0))</f>
        <v/>
      </c>
      <c r="I141" s="46" t="str">
        <f>IF($AG141="","",IF(IFERROR(INDEX(Kobo_Import!$A$2:$CZ$301,$AG141,Field_Map!$B$17)&amp;"","")="","",IFERROR(INDEX(Lists!$N$5:$N$19,MATCH(INDEX(Kobo_Import!$A$2:$CZ$301,$AG141,Field_Map!$B$17)&amp;"",Lists!$M$5:$M$19,0)),INDEX(Kobo_Import!$A$2:$CZ$301,$AG141,Field_Map!$B$17)&amp;"")))</f>
        <v/>
      </c>
      <c r="J141" s="46" t="str">
        <f>IF($AG141="","",IFERROR(VALUE(INDEX(Kobo_Import!$A$2:$CZ$301,$AG141,Field_Map!$B$18)&amp;""),0))</f>
        <v/>
      </c>
      <c r="K141" s="46" t="str">
        <f>IF($AG141="","",IFERROR(VALUE(INDEX(Kobo_Import!$A$2:$CZ$301,$AG141,Field_Map!$B$19)&amp;""),0))</f>
        <v/>
      </c>
      <c r="L141" s="46" t="str">
        <f>IF($AG141="","",IFERROR(VALUE(INDEX(Kobo_Import!$A$2:$CZ$301,$AG141,Field_Map!$B$20)&amp;""),0))</f>
        <v/>
      </c>
      <c r="M141" s="46" t="str">
        <f>IF($AG141="","",IFERROR(VALUE(INDEX(Kobo_Import!$A$2:$CZ$301,$AG141,Field_Map!$B$21)&amp;""),0))</f>
        <v/>
      </c>
      <c r="N141" s="46" t="str">
        <f>IF($AG141="","",IFERROR(VALUE(INDEX(Kobo_Import!$A$2:$CZ$301,$AG141,Field_Map!$B$22)&amp;""),0))</f>
        <v/>
      </c>
      <c r="O141" s="46" t="str">
        <f>IF($AG141="","",IFERROR(VALUE(INDEX(Kobo_Import!$A$2:$CZ$301,$AG141,Field_Map!$B$23)&amp;""),0))</f>
        <v/>
      </c>
      <c r="P141" s="46" t="str">
        <f>IF($AG141="","",IFERROR(VALUE(INDEX(Kobo_Import!$A$2:$CZ$301,$AG141,Field_Map!$B$24)&amp;""),0))</f>
        <v/>
      </c>
      <c r="Q141" s="46" t="str">
        <f>IF($AG141="","",IFERROR(VALUE(INDEX(Kobo_Import!$A$2:$CZ$301,$AG141,Field_Map!$B$25)&amp;""),0))</f>
        <v/>
      </c>
      <c r="R141" s="46" t="str">
        <f>IF($AG141="","",IFERROR(VALUE(INDEX(Kobo_Import!$A$2:$CZ$301,$AG141,Field_Map!$B$26)&amp;""),0))</f>
        <v/>
      </c>
      <c r="S141" s="46" t="str">
        <f>IF($AG141="","",IFERROR(VALUE(INDEX(Kobo_Import!$A$2:$CZ$301,$AG141,Field_Map!$B$27)&amp;""),0))</f>
        <v/>
      </c>
      <c r="T141" s="46" t="str">
        <f>IF($AG141="","",IFERROR(VALUE(INDEX(Kobo_Import!$A$2:$CZ$301,$AG141,Field_Map!$B$28)&amp;""),0))</f>
        <v/>
      </c>
      <c r="U141" s="46" t="str">
        <f>IF($AG141="","",IF(IFERROR(INDEX(Kobo_Import!$A$2:$CZ$301,$AG141,Field_Map!$B$29)&amp;"","")="","",IFERROR(INDEX(Lists!$N$5:$N$19,MATCH(INDEX(Kobo_Import!$A$2:$CZ$301,$AG141,Field_Map!$B$29)&amp;"",Lists!$M$5:$M$19,0)),INDEX(Kobo_Import!$A$2:$CZ$301,$AG141,Field_Map!$B$29)&amp;"")))</f>
        <v/>
      </c>
      <c r="V141" s="50" t="str">
        <f>IF($A141="","",Settings!$B$5-F141)</f>
        <v/>
      </c>
      <c r="W141" s="46" t="str">
        <f>IF($A141="","",(J141&gt;0)*Settings!$B$22+(P141&gt;0)*Settings!$B$23+(M141&gt;0)*Settings!$B$24+(O141&gt;0)*Settings!$B$25+(I141="Yes")*Settings!$B$26+(D141="Unusable")*Settings!$B$27+(D141="Damaged")*Settings!$B$28+(H141&gt;=Settings!$B$30)*Settings!$B$29)</f>
        <v/>
      </c>
      <c r="X141" s="46" t="str">
        <f>IF($A141="","",IF(W141&gt;=Settings!$B$31,"High",IF(W141&gt;=Settings!$B$32,"Medium","Low")))</f>
        <v/>
      </c>
      <c r="Y141" s="46" t="str">
        <f>IF($A141="","",IF(V141&gt;Settings!$B$21,"Yes",""))</f>
        <v/>
      </c>
      <c r="Z141" s="46" t="str">
        <f>IF($A141="","",COUNTIFS(Referrals!$B$5:$B$52,$A141,Referrals!$G$5:$G$52,"Referred")+COUNTIFS(Referrals!$B$5:$B$52,$A141,Referrals!$G$5:$G$52,"Acknowledged"))</f>
        <v/>
      </c>
      <c r="AA141" s="46" t="str">
        <f>IF($A141="","",COUNTIFS(Referrals!$B$5:$B$52,$A141,Referrals!$K$5:$K$52,"Overdue"))</f>
        <v/>
      </c>
      <c r="AB141" s="46" t="str">
        <f>IF($A141="","",IF(AND(J141&gt;0,U141="Yes"),IF(COUNTIFS(Referrals!$B$5:$B$52,$A141,Referrals!$D$5:$D$52,"Nutrition / IYCF")=0,"Referral needed","Referred"),""))</f>
        <v/>
      </c>
      <c r="AC141" s="46" t="str">
        <f>IF($A141="","",IF(N(Needs_Gaps!O141)&gt;0,"Yes",""))</f>
        <v/>
      </c>
      <c r="AD141" s="46" t="str">
        <f>IF($A141="","",IF(COUNTIFS(Maintenance_Log!$C$5:$C$40,$A141,Maintenance_Log!$H$5:$H$40,"&lt;&gt;Resolved")&gt;0,"Yes",""))</f>
        <v/>
      </c>
      <c r="AE141" s="46" t="str">
        <f t="shared" si="8"/>
        <v/>
      </c>
      <c r="AF141" s="46">
        <f t="shared" si="9"/>
        <v>0</v>
      </c>
      <c r="AG141" s="46" t="str">
        <f>IFERROR(MATCH(ROW()-4,Import_Index!$H$5:$H$304,0),"")</f>
        <v/>
      </c>
    </row>
    <row r="142" spans="1:33" x14ac:dyDescent="0.3">
      <c r="A142" s="46" t="str">
        <f>IF($AG142="","",IFERROR(INDEX(Kobo_Import!$A$2:$CZ$301,$AG142,Field_Map!$B$13)&amp;"",""))</f>
        <v/>
      </c>
      <c r="B142" s="46" t="str">
        <f>IF($AG142="","",IF(IFERROR(INDEX(Kobo_Import!$A$2:$CZ$301,$AG142,Field_Map!$B$9)&amp;"","")="","",IFERROR(INDEX(Lists!$N$5:$N$19,MATCH(INDEX(Kobo_Import!$A$2:$CZ$301,$AG142,Field_Map!$B$9)&amp;"",Lists!$M$5:$M$19,0)),INDEX(Kobo_Import!$A$2:$CZ$301,$AG142,Field_Map!$B$9)&amp;"")))</f>
        <v/>
      </c>
      <c r="C142" s="46" t="str">
        <f>IF($AG142="","",IF(IFERROR(INDEX(Kobo_Import!$A$2:$CZ$301,$AG142,Field_Map!$B$14)&amp;"","")="","",IFERROR(INDEX(Lists!$N$5:$N$19,MATCH(INDEX(Kobo_Import!$A$2:$CZ$301,$AG142,Field_Map!$B$14)&amp;"",Lists!$M$5:$M$19,0)),INDEX(Kobo_Import!$A$2:$CZ$301,$AG142,Field_Map!$B$14)&amp;"")))</f>
        <v/>
      </c>
      <c r="D142" s="46" t="str">
        <f>IF($AG142="","",IF(IFERROR(INDEX(Kobo_Import!$A$2:$CZ$301,$AG142,Field_Map!$B$15)&amp;"","")="","",IFERROR(INDEX(Lists!$N$5:$N$19,MATCH(INDEX(Kobo_Import!$A$2:$CZ$301,$AG142,Field_Map!$B$15)&amp;"",Lists!$M$5:$M$19,0)),INDEX(Kobo_Import!$A$2:$CZ$301,$AG142,Field_Map!$B$15)&amp;"")))</f>
        <v/>
      </c>
      <c r="E142" s="49" t="str">
        <f>IF($A142="","",IFERROR(INDEX(Import_Index!$D$5:$D$304,MATCH($A142&amp;"|registration",Import_Index!$I$5:$I$304,0)),F142))</f>
        <v/>
      </c>
      <c r="F142" s="49" t="str">
        <f>IF($AG142="","",INDEX(Import_Index!$D$5:$D$304,$AG142))</f>
        <v/>
      </c>
      <c r="G142" s="46" t="str">
        <f>IF($A142="","",COUNTIFS(Import_Index!$B$5:$B$304,$A142,Import_Index!$C$5:$C$304,"yes"))</f>
        <v/>
      </c>
      <c r="H142" s="46" t="str">
        <f>IF($AG142="","",IFERROR(VALUE(INDEX(Kobo_Import!$A$2:$CZ$301,$AG142,Field_Map!$B$16)&amp;""),0))</f>
        <v/>
      </c>
      <c r="I142" s="46" t="str">
        <f>IF($AG142="","",IF(IFERROR(INDEX(Kobo_Import!$A$2:$CZ$301,$AG142,Field_Map!$B$17)&amp;"","")="","",IFERROR(INDEX(Lists!$N$5:$N$19,MATCH(INDEX(Kobo_Import!$A$2:$CZ$301,$AG142,Field_Map!$B$17)&amp;"",Lists!$M$5:$M$19,0)),INDEX(Kobo_Import!$A$2:$CZ$301,$AG142,Field_Map!$B$17)&amp;"")))</f>
        <v/>
      </c>
      <c r="J142" s="46" t="str">
        <f>IF($AG142="","",IFERROR(VALUE(INDEX(Kobo_Import!$A$2:$CZ$301,$AG142,Field_Map!$B$18)&amp;""),0))</f>
        <v/>
      </c>
      <c r="K142" s="46" t="str">
        <f>IF($AG142="","",IFERROR(VALUE(INDEX(Kobo_Import!$A$2:$CZ$301,$AG142,Field_Map!$B$19)&amp;""),0))</f>
        <v/>
      </c>
      <c r="L142" s="46" t="str">
        <f>IF($AG142="","",IFERROR(VALUE(INDEX(Kobo_Import!$A$2:$CZ$301,$AG142,Field_Map!$B$20)&amp;""),0))</f>
        <v/>
      </c>
      <c r="M142" s="46" t="str">
        <f>IF($AG142="","",IFERROR(VALUE(INDEX(Kobo_Import!$A$2:$CZ$301,$AG142,Field_Map!$B$21)&amp;""),0))</f>
        <v/>
      </c>
      <c r="N142" s="46" t="str">
        <f>IF($AG142="","",IFERROR(VALUE(INDEX(Kobo_Import!$A$2:$CZ$301,$AG142,Field_Map!$B$22)&amp;""),0))</f>
        <v/>
      </c>
      <c r="O142" s="46" t="str">
        <f>IF($AG142="","",IFERROR(VALUE(INDEX(Kobo_Import!$A$2:$CZ$301,$AG142,Field_Map!$B$23)&amp;""),0))</f>
        <v/>
      </c>
      <c r="P142" s="46" t="str">
        <f>IF($AG142="","",IFERROR(VALUE(INDEX(Kobo_Import!$A$2:$CZ$301,$AG142,Field_Map!$B$24)&amp;""),0))</f>
        <v/>
      </c>
      <c r="Q142" s="46" t="str">
        <f>IF($AG142="","",IFERROR(VALUE(INDEX(Kobo_Import!$A$2:$CZ$301,$AG142,Field_Map!$B$25)&amp;""),0))</f>
        <v/>
      </c>
      <c r="R142" s="46" t="str">
        <f>IF($AG142="","",IFERROR(VALUE(INDEX(Kobo_Import!$A$2:$CZ$301,$AG142,Field_Map!$B$26)&amp;""),0))</f>
        <v/>
      </c>
      <c r="S142" s="46" t="str">
        <f>IF($AG142="","",IFERROR(VALUE(INDEX(Kobo_Import!$A$2:$CZ$301,$AG142,Field_Map!$B$27)&amp;""),0))</f>
        <v/>
      </c>
      <c r="T142" s="46" t="str">
        <f>IF($AG142="","",IFERROR(VALUE(INDEX(Kobo_Import!$A$2:$CZ$301,$AG142,Field_Map!$B$28)&amp;""),0))</f>
        <v/>
      </c>
      <c r="U142" s="46" t="str">
        <f>IF($AG142="","",IF(IFERROR(INDEX(Kobo_Import!$A$2:$CZ$301,$AG142,Field_Map!$B$29)&amp;"","")="","",IFERROR(INDEX(Lists!$N$5:$N$19,MATCH(INDEX(Kobo_Import!$A$2:$CZ$301,$AG142,Field_Map!$B$29)&amp;"",Lists!$M$5:$M$19,0)),INDEX(Kobo_Import!$A$2:$CZ$301,$AG142,Field_Map!$B$29)&amp;"")))</f>
        <v/>
      </c>
      <c r="V142" s="50" t="str">
        <f>IF($A142="","",Settings!$B$5-F142)</f>
        <v/>
      </c>
      <c r="W142" s="46" t="str">
        <f>IF($A142="","",(J142&gt;0)*Settings!$B$22+(P142&gt;0)*Settings!$B$23+(M142&gt;0)*Settings!$B$24+(O142&gt;0)*Settings!$B$25+(I142="Yes")*Settings!$B$26+(D142="Unusable")*Settings!$B$27+(D142="Damaged")*Settings!$B$28+(H142&gt;=Settings!$B$30)*Settings!$B$29)</f>
        <v/>
      </c>
      <c r="X142" s="46" t="str">
        <f>IF($A142="","",IF(W142&gt;=Settings!$B$31,"High",IF(W142&gt;=Settings!$B$32,"Medium","Low")))</f>
        <v/>
      </c>
      <c r="Y142" s="46" t="str">
        <f>IF($A142="","",IF(V142&gt;Settings!$B$21,"Yes",""))</f>
        <v/>
      </c>
      <c r="Z142" s="46" t="str">
        <f>IF($A142="","",COUNTIFS(Referrals!$B$5:$B$52,$A142,Referrals!$G$5:$G$52,"Referred")+COUNTIFS(Referrals!$B$5:$B$52,$A142,Referrals!$G$5:$G$52,"Acknowledged"))</f>
        <v/>
      </c>
      <c r="AA142" s="46" t="str">
        <f>IF($A142="","",COUNTIFS(Referrals!$B$5:$B$52,$A142,Referrals!$K$5:$K$52,"Overdue"))</f>
        <v/>
      </c>
      <c r="AB142" s="46" t="str">
        <f>IF($A142="","",IF(AND(J142&gt;0,U142="Yes"),IF(COUNTIFS(Referrals!$B$5:$B$52,$A142,Referrals!$D$5:$D$52,"Nutrition / IYCF")=0,"Referral needed","Referred"),""))</f>
        <v/>
      </c>
      <c r="AC142" s="46" t="str">
        <f>IF($A142="","",IF(N(Needs_Gaps!O142)&gt;0,"Yes",""))</f>
        <v/>
      </c>
      <c r="AD142" s="46" t="str">
        <f>IF($A142="","",IF(COUNTIFS(Maintenance_Log!$C$5:$C$40,$A142,Maintenance_Log!$H$5:$H$40,"&lt;&gt;Resolved")&gt;0,"Yes",""))</f>
        <v/>
      </c>
      <c r="AE142" s="46" t="str">
        <f t="shared" si="8"/>
        <v/>
      </c>
      <c r="AF142" s="46">
        <f t="shared" si="9"/>
        <v>0</v>
      </c>
      <c r="AG142" s="46" t="str">
        <f>IFERROR(MATCH(ROW()-4,Import_Index!$H$5:$H$304,0),"")</f>
        <v/>
      </c>
    </row>
    <row r="143" spans="1:33" x14ac:dyDescent="0.3">
      <c r="A143" s="46" t="str">
        <f>IF($AG143="","",IFERROR(INDEX(Kobo_Import!$A$2:$CZ$301,$AG143,Field_Map!$B$13)&amp;"",""))</f>
        <v/>
      </c>
      <c r="B143" s="46" t="str">
        <f>IF($AG143="","",IF(IFERROR(INDEX(Kobo_Import!$A$2:$CZ$301,$AG143,Field_Map!$B$9)&amp;"","")="","",IFERROR(INDEX(Lists!$N$5:$N$19,MATCH(INDEX(Kobo_Import!$A$2:$CZ$301,$AG143,Field_Map!$B$9)&amp;"",Lists!$M$5:$M$19,0)),INDEX(Kobo_Import!$A$2:$CZ$301,$AG143,Field_Map!$B$9)&amp;"")))</f>
        <v/>
      </c>
      <c r="C143" s="46" t="str">
        <f>IF($AG143="","",IF(IFERROR(INDEX(Kobo_Import!$A$2:$CZ$301,$AG143,Field_Map!$B$14)&amp;"","")="","",IFERROR(INDEX(Lists!$N$5:$N$19,MATCH(INDEX(Kobo_Import!$A$2:$CZ$301,$AG143,Field_Map!$B$14)&amp;"",Lists!$M$5:$M$19,0)),INDEX(Kobo_Import!$A$2:$CZ$301,$AG143,Field_Map!$B$14)&amp;"")))</f>
        <v/>
      </c>
      <c r="D143" s="46" t="str">
        <f>IF($AG143="","",IF(IFERROR(INDEX(Kobo_Import!$A$2:$CZ$301,$AG143,Field_Map!$B$15)&amp;"","")="","",IFERROR(INDEX(Lists!$N$5:$N$19,MATCH(INDEX(Kobo_Import!$A$2:$CZ$301,$AG143,Field_Map!$B$15)&amp;"",Lists!$M$5:$M$19,0)),INDEX(Kobo_Import!$A$2:$CZ$301,$AG143,Field_Map!$B$15)&amp;"")))</f>
        <v/>
      </c>
      <c r="E143" s="49" t="str">
        <f>IF($A143="","",IFERROR(INDEX(Import_Index!$D$5:$D$304,MATCH($A143&amp;"|registration",Import_Index!$I$5:$I$304,0)),F143))</f>
        <v/>
      </c>
      <c r="F143" s="49" t="str">
        <f>IF($AG143="","",INDEX(Import_Index!$D$5:$D$304,$AG143))</f>
        <v/>
      </c>
      <c r="G143" s="46" t="str">
        <f>IF($A143="","",COUNTIFS(Import_Index!$B$5:$B$304,$A143,Import_Index!$C$5:$C$304,"yes"))</f>
        <v/>
      </c>
      <c r="H143" s="46" t="str">
        <f>IF($AG143="","",IFERROR(VALUE(INDEX(Kobo_Import!$A$2:$CZ$301,$AG143,Field_Map!$B$16)&amp;""),0))</f>
        <v/>
      </c>
      <c r="I143" s="46" t="str">
        <f>IF($AG143="","",IF(IFERROR(INDEX(Kobo_Import!$A$2:$CZ$301,$AG143,Field_Map!$B$17)&amp;"","")="","",IFERROR(INDEX(Lists!$N$5:$N$19,MATCH(INDEX(Kobo_Import!$A$2:$CZ$301,$AG143,Field_Map!$B$17)&amp;"",Lists!$M$5:$M$19,0)),INDEX(Kobo_Import!$A$2:$CZ$301,$AG143,Field_Map!$B$17)&amp;"")))</f>
        <v/>
      </c>
      <c r="J143" s="46" t="str">
        <f>IF($AG143="","",IFERROR(VALUE(INDEX(Kobo_Import!$A$2:$CZ$301,$AG143,Field_Map!$B$18)&amp;""),0))</f>
        <v/>
      </c>
      <c r="K143" s="46" t="str">
        <f>IF($AG143="","",IFERROR(VALUE(INDEX(Kobo_Import!$A$2:$CZ$301,$AG143,Field_Map!$B$19)&amp;""),0))</f>
        <v/>
      </c>
      <c r="L143" s="46" t="str">
        <f>IF($AG143="","",IFERROR(VALUE(INDEX(Kobo_Import!$A$2:$CZ$301,$AG143,Field_Map!$B$20)&amp;""),0))</f>
        <v/>
      </c>
      <c r="M143" s="46" t="str">
        <f>IF($AG143="","",IFERROR(VALUE(INDEX(Kobo_Import!$A$2:$CZ$301,$AG143,Field_Map!$B$21)&amp;""),0))</f>
        <v/>
      </c>
      <c r="N143" s="46" t="str">
        <f>IF($AG143="","",IFERROR(VALUE(INDEX(Kobo_Import!$A$2:$CZ$301,$AG143,Field_Map!$B$22)&amp;""),0))</f>
        <v/>
      </c>
      <c r="O143" s="46" t="str">
        <f>IF($AG143="","",IFERROR(VALUE(INDEX(Kobo_Import!$A$2:$CZ$301,$AG143,Field_Map!$B$23)&amp;""),0))</f>
        <v/>
      </c>
      <c r="P143" s="46" t="str">
        <f>IF($AG143="","",IFERROR(VALUE(INDEX(Kobo_Import!$A$2:$CZ$301,$AG143,Field_Map!$B$24)&amp;""),0))</f>
        <v/>
      </c>
      <c r="Q143" s="46" t="str">
        <f>IF($AG143="","",IFERROR(VALUE(INDEX(Kobo_Import!$A$2:$CZ$301,$AG143,Field_Map!$B$25)&amp;""),0))</f>
        <v/>
      </c>
      <c r="R143" s="46" t="str">
        <f>IF($AG143="","",IFERROR(VALUE(INDEX(Kobo_Import!$A$2:$CZ$301,$AG143,Field_Map!$B$26)&amp;""),0))</f>
        <v/>
      </c>
      <c r="S143" s="46" t="str">
        <f>IF($AG143="","",IFERROR(VALUE(INDEX(Kobo_Import!$A$2:$CZ$301,$AG143,Field_Map!$B$27)&amp;""),0))</f>
        <v/>
      </c>
      <c r="T143" s="46" t="str">
        <f>IF($AG143="","",IFERROR(VALUE(INDEX(Kobo_Import!$A$2:$CZ$301,$AG143,Field_Map!$B$28)&amp;""),0))</f>
        <v/>
      </c>
      <c r="U143" s="46" t="str">
        <f>IF($AG143="","",IF(IFERROR(INDEX(Kobo_Import!$A$2:$CZ$301,$AG143,Field_Map!$B$29)&amp;"","")="","",IFERROR(INDEX(Lists!$N$5:$N$19,MATCH(INDEX(Kobo_Import!$A$2:$CZ$301,$AG143,Field_Map!$B$29)&amp;"",Lists!$M$5:$M$19,0)),INDEX(Kobo_Import!$A$2:$CZ$301,$AG143,Field_Map!$B$29)&amp;"")))</f>
        <v/>
      </c>
      <c r="V143" s="50" t="str">
        <f>IF($A143="","",Settings!$B$5-F143)</f>
        <v/>
      </c>
      <c r="W143" s="46" t="str">
        <f>IF($A143="","",(J143&gt;0)*Settings!$B$22+(P143&gt;0)*Settings!$B$23+(M143&gt;0)*Settings!$B$24+(O143&gt;0)*Settings!$B$25+(I143="Yes")*Settings!$B$26+(D143="Unusable")*Settings!$B$27+(D143="Damaged")*Settings!$B$28+(H143&gt;=Settings!$B$30)*Settings!$B$29)</f>
        <v/>
      </c>
      <c r="X143" s="46" t="str">
        <f>IF($A143="","",IF(W143&gt;=Settings!$B$31,"High",IF(W143&gt;=Settings!$B$32,"Medium","Low")))</f>
        <v/>
      </c>
      <c r="Y143" s="46" t="str">
        <f>IF($A143="","",IF(V143&gt;Settings!$B$21,"Yes",""))</f>
        <v/>
      </c>
      <c r="Z143" s="46" t="str">
        <f>IF($A143="","",COUNTIFS(Referrals!$B$5:$B$52,$A143,Referrals!$G$5:$G$52,"Referred")+COUNTIFS(Referrals!$B$5:$B$52,$A143,Referrals!$G$5:$G$52,"Acknowledged"))</f>
        <v/>
      </c>
      <c r="AA143" s="46" t="str">
        <f>IF($A143="","",COUNTIFS(Referrals!$B$5:$B$52,$A143,Referrals!$K$5:$K$52,"Overdue"))</f>
        <v/>
      </c>
      <c r="AB143" s="46" t="str">
        <f>IF($A143="","",IF(AND(J143&gt;0,U143="Yes"),IF(COUNTIFS(Referrals!$B$5:$B$52,$A143,Referrals!$D$5:$D$52,"Nutrition / IYCF")=0,"Referral needed","Referred"),""))</f>
        <v/>
      </c>
      <c r="AC143" s="46" t="str">
        <f>IF($A143="","",IF(N(Needs_Gaps!O143)&gt;0,"Yes",""))</f>
        <v/>
      </c>
      <c r="AD143" s="46" t="str">
        <f>IF($A143="","",IF(COUNTIFS(Maintenance_Log!$C$5:$C$40,$A143,Maintenance_Log!$H$5:$H$40,"&lt;&gt;Resolved")&gt;0,"Yes",""))</f>
        <v/>
      </c>
      <c r="AE143" s="46" t="str">
        <f t="shared" si="8"/>
        <v/>
      </c>
      <c r="AF143" s="46">
        <f t="shared" si="9"/>
        <v>0</v>
      </c>
      <c r="AG143" s="46" t="str">
        <f>IFERROR(MATCH(ROW()-4,Import_Index!$H$5:$H$304,0),"")</f>
        <v/>
      </c>
    </row>
    <row r="144" spans="1:33" x14ac:dyDescent="0.3">
      <c r="A144" s="46" t="str">
        <f>IF($AG144="","",IFERROR(INDEX(Kobo_Import!$A$2:$CZ$301,$AG144,Field_Map!$B$13)&amp;"",""))</f>
        <v/>
      </c>
      <c r="B144" s="46" t="str">
        <f>IF($AG144="","",IF(IFERROR(INDEX(Kobo_Import!$A$2:$CZ$301,$AG144,Field_Map!$B$9)&amp;"","")="","",IFERROR(INDEX(Lists!$N$5:$N$19,MATCH(INDEX(Kobo_Import!$A$2:$CZ$301,$AG144,Field_Map!$B$9)&amp;"",Lists!$M$5:$M$19,0)),INDEX(Kobo_Import!$A$2:$CZ$301,$AG144,Field_Map!$B$9)&amp;"")))</f>
        <v/>
      </c>
      <c r="C144" s="46" t="str">
        <f>IF($AG144="","",IF(IFERROR(INDEX(Kobo_Import!$A$2:$CZ$301,$AG144,Field_Map!$B$14)&amp;"","")="","",IFERROR(INDEX(Lists!$N$5:$N$19,MATCH(INDEX(Kobo_Import!$A$2:$CZ$301,$AG144,Field_Map!$B$14)&amp;"",Lists!$M$5:$M$19,0)),INDEX(Kobo_Import!$A$2:$CZ$301,$AG144,Field_Map!$B$14)&amp;"")))</f>
        <v/>
      </c>
      <c r="D144" s="46" t="str">
        <f>IF($AG144="","",IF(IFERROR(INDEX(Kobo_Import!$A$2:$CZ$301,$AG144,Field_Map!$B$15)&amp;"","")="","",IFERROR(INDEX(Lists!$N$5:$N$19,MATCH(INDEX(Kobo_Import!$A$2:$CZ$301,$AG144,Field_Map!$B$15)&amp;"",Lists!$M$5:$M$19,0)),INDEX(Kobo_Import!$A$2:$CZ$301,$AG144,Field_Map!$B$15)&amp;"")))</f>
        <v/>
      </c>
      <c r="E144" s="49" t="str">
        <f>IF($A144="","",IFERROR(INDEX(Import_Index!$D$5:$D$304,MATCH($A144&amp;"|registration",Import_Index!$I$5:$I$304,0)),F144))</f>
        <v/>
      </c>
      <c r="F144" s="49" t="str">
        <f>IF($AG144="","",INDEX(Import_Index!$D$5:$D$304,$AG144))</f>
        <v/>
      </c>
      <c r="G144" s="46" t="str">
        <f>IF($A144="","",COUNTIFS(Import_Index!$B$5:$B$304,$A144,Import_Index!$C$5:$C$304,"yes"))</f>
        <v/>
      </c>
      <c r="H144" s="46" t="str">
        <f>IF($AG144="","",IFERROR(VALUE(INDEX(Kobo_Import!$A$2:$CZ$301,$AG144,Field_Map!$B$16)&amp;""),0))</f>
        <v/>
      </c>
      <c r="I144" s="46" t="str">
        <f>IF($AG144="","",IF(IFERROR(INDEX(Kobo_Import!$A$2:$CZ$301,$AG144,Field_Map!$B$17)&amp;"","")="","",IFERROR(INDEX(Lists!$N$5:$N$19,MATCH(INDEX(Kobo_Import!$A$2:$CZ$301,$AG144,Field_Map!$B$17)&amp;"",Lists!$M$5:$M$19,0)),INDEX(Kobo_Import!$A$2:$CZ$301,$AG144,Field_Map!$B$17)&amp;"")))</f>
        <v/>
      </c>
      <c r="J144" s="46" t="str">
        <f>IF($AG144="","",IFERROR(VALUE(INDEX(Kobo_Import!$A$2:$CZ$301,$AG144,Field_Map!$B$18)&amp;""),0))</f>
        <v/>
      </c>
      <c r="K144" s="46" t="str">
        <f>IF($AG144="","",IFERROR(VALUE(INDEX(Kobo_Import!$A$2:$CZ$301,$AG144,Field_Map!$B$19)&amp;""),0))</f>
        <v/>
      </c>
      <c r="L144" s="46" t="str">
        <f>IF($AG144="","",IFERROR(VALUE(INDEX(Kobo_Import!$A$2:$CZ$301,$AG144,Field_Map!$B$20)&amp;""),0))</f>
        <v/>
      </c>
      <c r="M144" s="46" t="str">
        <f>IF($AG144="","",IFERROR(VALUE(INDEX(Kobo_Import!$A$2:$CZ$301,$AG144,Field_Map!$B$21)&amp;""),0))</f>
        <v/>
      </c>
      <c r="N144" s="46" t="str">
        <f>IF($AG144="","",IFERROR(VALUE(INDEX(Kobo_Import!$A$2:$CZ$301,$AG144,Field_Map!$B$22)&amp;""),0))</f>
        <v/>
      </c>
      <c r="O144" s="46" t="str">
        <f>IF($AG144="","",IFERROR(VALUE(INDEX(Kobo_Import!$A$2:$CZ$301,$AG144,Field_Map!$B$23)&amp;""),0))</f>
        <v/>
      </c>
      <c r="P144" s="46" t="str">
        <f>IF($AG144="","",IFERROR(VALUE(INDEX(Kobo_Import!$A$2:$CZ$301,$AG144,Field_Map!$B$24)&amp;""),0))</f>
        <v/>
      </c>
      <c r="Q144" s="46" t="str">
        <f>IF($AG144="","",IFERROR(VALUE(INDEX(Kobo_Import!$A$2:$CZ$301,$AG144,Field_Map!$B$25)&amp;""),0))</f>
        <v/>
      </c>
      <c r="R144" s="46" t="str">
        <f>IF($AG144="","",IFERROR(VALUE(INDEX(Kobo_Import!$A$2:$CZ$301,$AG144,Field_Map!$B$26)&amp;""),0))</f>
        <v/>
      </c>
      <c r="S144" s="46" t="str">
        <f>IF($AG144="","",IFERROR(VALUE(INDEX(Kobo_Import!$A$2:$CZ$301,$AG144,Field_Map!$B$27)&amp;""),0))</f>
        <v/>
      </c>
      <c r="T144" s="46" t="str">
        <f>IF($AG144="","",IFERROR(VALUE(INDEX(Kobo_Import!$A$2:$CZ$301,$AG144,Field_Map!$B$28)&amp;""),0))</f>
        <v/>
      </c>
      <c r="U144" s="46" t="str">
        <f>IF($AG144="","",IF(IFERROR(INDEX(Kobo_Import!$A$2:$CZ$301,$AG144,Field_Map!$B$29)&amp;"","")="","",IFERROR(INDEX(Lists!$N$5:$N$19,MATCH(INDEX(Kobo_Import!$A$2:$CZ$301,$AG144,Field_Map!$B$29)&amp;"",Lists!$M$5:$M$19,0)),INDEX(Kobo_Import!$A$2:$CZ$301,$AG144,Field_Map!$B$29)&amp;"")))</f>
        <v/>
      </c>
      <c r="V144" s="50" t="str">
        <f>IF($A144="","",Settings!$B$5-F144)</f>
        <v/>
      </c>
      <c r="W144" s="46" t="str">
        <f>IF($A144="","",(J144&gt;0)*Settings!$B$22+(P144&gt;0)*Settings!$B$23+(M144&gt;0)*Settings!$B$24+(O144&gt;0)*Settings!$B$25+(I144="Yes")*Settings!$B$26+(D144="Unusable")*Settings!$B$27+(D144="Damaged")*Settings!$B$28+(H144&gt;=Settings!$B$30)*Settings!$B$29)</f>
        <v/>
      </c>
      <c r="X144" s="46" t="str">
        <f>IF($A144="","",IF(W144&gt;=Settings!$B$31,"High",IF(W144&gt;=Settings!$B$32,"Medium","Low")))</f>
        <v/>
      </c>
      <c r="Y144" s="46" t="str">
        <f>IF($A144="","",IF(V144&gt;Settings!$B$21,"Yes",""))</f>
        <v/>
      </c>
      <c r="Z144" s="46" t="str">
        <f>IF($A144="","",COUNTIFS(Referrals!$B$5:$B$52,$A144,Referrals!$G$5:$G$52,"Referred")+COUNTIFS(Referrals!$B$5:$B$52,$A144,Referrals!$G$5:$G$52,"Acknowledged"))</f>
        <v/>
      </c>
      <c r="AA144" s="46" t="str">
        <f>IF($A144="","",COUNTIFS(Referrals!$B$5:$B$52,$A144,Referrals!$K$5:$K$52,"Overdue"))</f>
        <v/>
      </c>
      <c r="AB144" s="46" t="str">
        <f>IF($A144="","",IF(AND(J144&gt;0,U144="Yes"),IF(COUNTIFS(Referrals!$B$5:$B$52,$A144,Referrals!$D$5:$D$52,"Nutrition / IYCF")=0,"Referral needed","Referred"),""))</f>
        <v/>
      </c>
      <c r="AC144" s="46" t="str">
        <f>IF($A144="","",IF(N(Needs_Gaps!O144)&gt;0,"Yes",""))</f>
        <v/>
      </c>
      <c r="AD144" s="46" t="str">
        <f>IF($A144="","",IF(COUNTIFS(Maintenance_Log!$C$5:$C$40,$A144,Maintenance_Log!$H$5:$H$40,"&lt;&gt;Resolved")&gt;0,"Yes",""))</f>
        <v/>
      </c>
      <c r="AE144" s="46" t="str">
        <f t="shared" si="8"/>
        <v/>
      </c>
      <c r="AF144" s="46">
        <f t="shared" si="9"/>
        <v>0</v>
      </c>
      <c r="AG144" s="46" t="str">
        <f>IFERROR(MATCH(ROW()-4,Import_Index!$H$5:$H$304,0),"")</f>
        <v/>
      </c>
    </row>
    <row r="145" spans="1:33" x14ac:dyDescent="0.3">
      <c r="A145" s="46" t="str">
        <f>IF($AG145="","",IFERROR(INDEX(Kobo_Import!$A$2:$CZ$301,$AG145,Field_Map!$B$13)&amp;"",""))</f>
        <v/>
      </c>
      <c r="B145" s="46" t="str">
        <f>IF($AG145="","",IF(IFERROR(INDEX(Kobo_Import!$A$2:$CZ$301,$AG145,Field_Map!$B$9)&amp;"","")="","",IFERROR(INDEX(Lists!$N$5:$N$19,MATCH(INDEX(Kobo_Import!$A$2:$CZ$301,$AG145,Field_Map!$B$9)&amp;"",Lists!$M$5:$M$19,0)),INDEX(Kobo_Import!$A$2:$CZ$301,$AG145,Field_Map!$B$9)&amp;"")))</f>
        <v/>
      </c>
      <c r="C145" s="46" t="str">
        <f>IF($AG145="","",IF(IFERROR(INDEX(Kobo_Import!$A$2:$CZ$301,$AG145,Field_Map!$B$14)&amp;"","")="","",IFERROR(INDEX(Lists!$N$5:$N$19,MATCH(INDEX(Kobo_Import!$A$2:$CZ$301,$AG145,Field_Map!$B$14)&amp;"",Lists!$M$5:$M$19,0)),INDEX(Kobo_Import!$A$2:$CZ$301,$AG145,Field_Map!$B$14)&amp;"")))</f>
        <v/>
      </c>
      <c r="D145" s="46" t="str">
        <f>IF($AG145="","",IF(IFERROR(INDEX(Kobo_Import!$A$2:$CZ$301,$AG145,Field_Map!$B$15)&amp;"","")="","",IFERROR(INDEX(Lists!$N$5:$N$19,MATCH(INDEX(Kobo_Import!$A$2:$CZ$301,$AG145,Field_Map!$B$15)&amp;"",Lists!$M$5:$M$19,0)),INDEX(Kobo_Import!$A$2:$CZ$301,$AG145,Field_Map!$B$15)&amp;"")))</f>
        <v/>
      </c>
      <c r="E145" s="49" t="str">
        <f>IF($A145="","",IFERROR(INDEX(Import_Index!$D$5:$D$304,MATCH($A145&amp;"|registration",Import_Index!$I$5:$I$304,0)),F145))</f>
        <v/>
      </c>
      <c r="F145" s="49" t="str">
        <f>IF($AG145="","",INDEX(Import_Index!$D$5:$D$304,$AG145))</f>
        <v/>
      </c>
      <c r="G145" s="46" t="str">
        <f>IF($A145="","",COUNTIFS(Import_Index!$B$5:$B$304,$A145,Import_Index!$C$5:$C$304,"yes"))</f>
        <v/>
      </c>
      <c r="H145" s="46" t="str">
        <f>IF($AG145="","",IFERROR(VALUE(INDEX(Kobo_Import!$A$2:$CZ$301,$AG145,Field_Map!$B$16)&amp;""),0))</f>
        <v/>
      </c>
      <c r="I145" s="46" t="str">
        <f>IF($AG145="","",IF(IFERROR(INDEX(Kobo_Import!$A$2:$CZ$301,$AG145,Field_Map!$B$17)&amp;"","")="","",IFERROR(INDEX(Lists!$N$5:$N$19,MATCH(INDEX(Kobo_Import!$A$2:$CZ$301,$AG145,Field_Map!$B$17)&amp;"",Lists!$M$5:$M$19,0)),INDEX(Kobo_Import!$A$2:$CZ$301,$AG145,Field_Map!$B$17)&amp;"")))</f>
        <v/>
      </c>
      <c r="J145" s="46" t="str">
        <f>IF($AG145="","",IFERROR(VALUE(INDEX(Kobo_Import!$A$2:$CZ$301,$AG145,Field_Map!$B$18)&amp;""),0))</f>
        <v/>
      </c>
      <c r="K145" s="46" t="str">
        <f>IF($AG145="","",IFERROR(VALUE(INDEX(Kobo_Import!$A$2:$CZ$301,$AG145,Field_Map!$B$19)&amp;""),0))</f>
        <v/>
      </c>
      <c r="L145" s="46" t="str">
        <f>IF($AG145="","",IFERROR(VALUE(INDEX(Kobo_Import!$A$2:$CZ$301,$AG145,Field_Map!$B$20)&amp;""),0))</f>
        <v/>
      </c>
      <c r="M145" s="46" t="str">
        <f>IF($AG145="","",IFERROR(VALUE(INDEX(Kobo_Import!$A$2:$CZ$301,$AG145,Field_Map!$B$21)&amp;""),0))</f>
        <v/>
      </c>
      <c r="N145" s="46" t="str">
        <f>IF($AG145="","",IFERROR(VALUE(INDEX(Kobo_Import!$A$2:$CZ$301,$AG145,Field_Map!$B$22)&amp;""),0))</f>
        <v/>
      </c>
      <c r="O145" s="46" t="str">
        <f>IF($AG145="","",IFERROR(VALUE(INDEX(Kobo_Import!$A$2:$CZ$301,$AG145,Field_Map!$B$23)&amp;""),0))</f>
        <v/>
      </c>
      <c r="P145" s="46" t="str">
        <f>IF($AG145="","",IFERROR(VALUE(INDEX(Kobo_Import!$A$2:$CZ$301,$AG145,Field_Map!$B$24)&amp;""),0))</f>
        <v/>
      </c>
      <c r="Q145" s="46" t="str">
        <f>IF($AG145="","",IFERROR(VALUE(INDEX(Kobo_Import!$A$2:$CZ$301,$AG145,Field_Map!$B$25)&amp;""),0))</f>
        <v/>
      </c>
      <c r="R145" s="46" t="str">
        <f>IF($AG145="","",IFERROR(VALUE(INDEX(Kobo_Import!$A$2:$CZ$301,$AG145,Field_Map!$B$26)&amp;""),0))</f>
        <v/>
      </c>
      <c r="S145" s="46" t="str">
        <f>IF($AG145="","",IFERROR(VALUE(INDEX(Kobo_Import!$A$2:$CZ$301,$AG145,Field_Map!$B$27)&amp;""),0))</f>
        <v/>
      </c>
      <c r="T145" s="46" t="str">
        <f>IF($AG145="","",IFERROR(VALUE(INDEX(Kobo_Import!$A$2:$CZ$301,$AG145,Field_Map!$B$28)&amp;""),0))</f>
        <v/>
      </c>
      <c r="U145" s="46" t="str">
        <f>IF($AG145="","",IF(IFERROR(INDEX(Kobo_Import!$A$2:$CZ$301,$AG145,Field_Map!$B$29)&amp;"","")="","",IFERROR(INDEX(Lists!$N$5:$N$19,MATCH(INDEX(Kobo_Import!$A$2:$CZ$301,$AG145,Field_Map!$B$29)&amp;"",Lists!$M$5:$M$19,0)),INDEX(Kobo_Import!$A$2:$CZ$301,$AG145,Field_Map!$B$29)&amp;"")))</f>
        <v/>
      </c>
      <c r="V145" s="50" t="str">
        <f>IF($A145="","",Settings!$B$5-F145)</f>
        <v/>
      </c>
      <c r="W145" s="46" t="str">
        <f>IF($A145="","",(J145&gt;0)*Settings!$B$22+(P145&gt;0)*Settings!$B$23+(M145&gt;0)*Settings!$B$24+(O145&gt;0)*Settings!$B$25+(I145="Yes")*Settings!$B$26+(D145="Unusable")*Settings!$B$27+(D145="Damaged")*Settings!$B$28+(H145&gt;=Settings!$B$30)*Settings!$B$29)</f>
        <v/>
      </c>
      <c r="X145" s="46" t="str">
        <f>IF($A145="","",IF(W145&gt;=Settings!$B$31,"High",IF(W145&gt;=Settings!$B$32,"Medium","Low")))</f>
        <v/>
      </c>
      <c r="Y145" s="46" t="str">
        <f>IF($A145="","",IF(V145&gt;Settings!$B$21,"Yes",""))</f>
        <v/>
      </c>
      <c r="Z145" s="46" t="str">
        <f>IF($A145="","",COUNTIFS(Referrals!$B$5:$B$52,$A145,Referrals!$G$5:$G$52,"Referred")+COUNTIFS(Referrals!$B$5:$B$52,$A145,Referrals!$G$5:$G$52,"Acknowledged"))</f>
        <v/>
      </c>
      <c r="AA145" s="46" t="str">
        <f>IF($A145="","",COUNTIFS(Referrals!$B$5:$B$52,$A145,Referrals!$K$5:$K$52,"Overdue"))</f>
        <v/>
      </c>
      <c r="AB145" s="46" t="str">
        <f>IF($A145="","",IF(AND(J145&gt;0,U145="Yes"),IF(COUNTIFS(Referrals!$B$5:$B$52,$A145,Referrals!$D$5:$D$52,"Nutrition / IYCF")=0,"Referral needed","Referred"),""))</f>
        <v/>
      </c>
      <c r="AC145" s="46" t="str">
        <f>IF($A145="","",IF(N(Needs_Gaps!O145)&gt;0,"Yes",""))</f>
        <v/>
      </c>
      <c r="AD145" s="46" t="str">
        <f>IF($A145="","",IF(COUNTIFS(Maintenance_Log!$C$5:$C$40,$A145,Maintenance_Log!$H$5:$H$40,"&lt;&gt;Resolved")&gt;0,"Yes",""))</f>
        <v/>
      </c>
      <c r="AE145" s="46" t="str">
        <f t="shared" si="8"/>
        <v/>
      </c>
      <c r="AF145" s="46">
        <f t="shared" si="9"/>
        <v>0</v>
      </c>
      <c r="AG145" s="46" t="str">
        <f>IFERROR(MATCH(ROW()-4,Import_Index!$H$5:$H$304,0),"")</f>
        <v/>
      </c>
    </row>
    <row r="146" spans="1:33" x14ac:dyDescent="0.3">
      <c r="A146" s="46" t="str">
        <f>IF($AG146="","",IFERROR(INDEX(Kobo_Import!$A$2:$CZ$301,$AG146,Field_Map!$B$13)&amp;"",""))</f>
        <v/>
      </c>
      <c r="B146" s="46" t="str">
        <f>IF($AG146="","",IF(IFERROR(INDEX(Kobo_Import!$A$2:$CZ$301,$AG146,Field_Map!$B$9)&amp;"","")="","",IFERROR(INDEX(Lists!$N$5:$N$19,MATCH(INDEX(Kobo_Import!$A$2:$CZ$301,$AG146,Field_Map!$B$9)&amp;"",Lists!$M$5:$M$19,0)),INDEX(Kobo_Import!$A$2:$CZ$301,$AG146,Field_Map!$B$9)&amp;"")))</f>
        <v/>
      </c>
      <c r="C146" s="46" t="str">
        <f>IF($AG146="","",IF(IFERROR(INDEX(Kobo_Import!$A$2:$CZ$301,$AG146,Field_Map!$B$14)&amp;"","")="","",IFERROR(INDEX(Lists!$N$5:$N$19,MATCH(INDEX(Kobo_Import!$A$2:$CZ$301,$AG146,Field_Map!$B$14)&amp;"",Lists!$M$5:$M$19,0)),INDEX(Kobo_Import!$A$2:$CZ$301,$AG146,Field_Map!$B$14)&amp;"")))</f>
        <v/>
      </c>
      <c r="D146" s="46" t="str">
        <f>IF($AG146="","",IF(IFERROR(INDEX(Kobo_Import!$A$2:$CZ$301,$AG146,Field_Map!$B$15)&amp;"","")="","",IFERROR(INDEX(Lists!$N$5:$N$19,MATCH(INDEX(Kobo_Import!$A$2:$CZ$301,$AG146,Field_Map!$B$15)&amp;"",Lists!$M$5:$M$19,0)),INDEX(Kobo_Import!$A$2:$CZ$301,$AG146,Field_Map!$B$15)&amp;"")))</f>
        <v/>
      </c>
      <c r="E146" s="49" t="str">
        <f>IF($A146="","",IFERROR(INDEX(Import_Index!$D$5:$D$304,MATCH($A146&amp;"|registration",Import_Index!$I$5:$I$304,0)),F146))</f>
        <v/>
      </c>
      <c r="F146" s="49" t="str">
        <f>IF($AG146="","",INDEX(Import_Index!$D$5:$D$304,$AG146))</f>
        <v/>
      </c>
      <c r="G146" s="46" t="str">
        <f>IF($A146="","",COUNTIFS(Import_Index!$B$5:$B$304,$A146,Import_Index!$C$5:$C$304,"yes"))</f>
        <v/>
      </c>
      <c r="H146" s="46" t="str">
        <f>IF($AG146="","",IFERROR(VALUE(INDEX(Kobo_Import!$A$2:$CZ$301,$AG146,Field_Map!$B$16)&amp;""),0))</f>
        <v/>
      </c>
      <c r="I146" s="46" t="str">
        <f>IF($AG146="","",IF(IFERROR(INDEX(Kobo_Import!$A$2:$CZ$301,$AG146,Field_Map!$B$17)&amp;"","")="","",IFERROR(INDEX(Lists!$N$5:$N$19,MATCH(INDEX(Kobo_Import!$A$2:$CZ$301,$AG146,Field_Map!$B$17)&amp;"",Lists!$M$5:$M$19,0)),INDEX(Kobo_Import!$A$2:$CZ$301,$AG146,Field_Map!$B$17)&amp;"")))</f>
        <v/>
      </c>
      <c r="J146" s="46" t="str">
        <f>IF($AG146="","",IFERROR(VALUE(INDEX(Kobo_Import!$A$2:$CZ$301,$AG146,Field_Map!$B$18)&amp;""),0))</f>
        <v/>
      </c>
      <c r="K146" s="46" t="str">
        <f>IF($AG146="","",IFERROR(VALUE(INDEX(Kobo_Import!$A$2:$CZ$301,$AG146,Field_Map!$B$19)&amp;""),0))</f>
        <v/>
      </c>
      <c r="L146" s="46" t="str">
        <f>IF($AG146="","",IFERROR(VALUE(INDEX(Kobo_Import!$A$2:$CZ$301,$AG146,Field_Map!$B$20)&amp;""),0))</f>
        <v/>
      </c>
      <c r="M146" s="46" t="str">
        <f>IF($AG146="","",IFERROR(VALUE(INDEX(Kobo_Import!$A$2:$CZ$301,$AG146,Field_Map!$B$21)&amp;""),0))</f>
        <v/>
      </c>
      <c r="N146" s="46" t="str">
        <f>IF($AG146="","",IFERROR(VALUE(INDEX(Kobo_Import!$A$2:$CZ$301,$AG146,Field_Map!$B$22)&amp;""),0))</f>
        <v/>
      </c>
      <c r="O146" s="46" t="str">
        <f>IF($AG146="","",IFERROR(VALUE(INDEX(Kobo_Import!$A$2:$CZ$301,$AG146,Field_Map!$B$23)&amp;""),0))</f>
        <v/>
      </c>
      <c r="P146" s="46" t="str">
        <f>IF($AG146="","",IFERROR(VALUE(INDEX(Kobo_Import!$A$2:$CZ$301,$AG146,Field_Map!$B$24)&amp;""),0))</f>
        <v/>
      </c>
      <c r="Q146" s="46" t="str">
        <f>IF($AG146="","",IFERROR(VALUE(INDEX(Kobo_Import!$A$2:$CZ$301,$AG146,Field_Map!$B$25)&amp;""),0))</f>
        <v/>
      </c>
      <c r="R146" s="46" t="str">
        <f>IF($AG146="","",IFERROR(VALUE(INDEX(Kobo_Import!$A$2:$CZ$301,$AG146,Field_Map!$B$26)&amp;""),0))</f>
        <v/>
      </c>
      <c r="S146" s="46" t="str">
        <f>IF($AG146="","",IFERROR(VALUE(INDEX(Kobo_Import!$A$2:$CZ$301,$AG146,Field_Map!$B$27)&amp;""),0))</f>
        <v/>
      </c>
      <c r="T146" s="46" t="str">
        <f>IF($AG146="","",IFERROR(VALUE(INDEX(Kobo_Import!$A$2:$CZ$301,$AG146,Field_Map!$B$28)&amp;""),0))</f>
        <v/>
      </c>
      <c r="U146" s="46" t="str">
        <f>IF($AG146="","",IF(IFERROR(INDEX(Kobo_Import!$A$2:$CZ$301,$AG146,Field_Map!$B$29)&amp;"","")="","",IFERROR(INDEX(Lists!$N$5:$N$19,MATCH(INDEX(Kobo_Import!$A$2:$CZ$301,$AG146,Field_Map!$B$29)&amp;"",Lists!$M$5:$M$19,0)),INDEX(Kobo_Import!$A$2:$CZ$301,$AG146,Field_Map!$B$29)&amp;"")))</f>
        <v/>
      </c>
      <c r="V146" s="50" t="str">
        <f>IF($A146="","",Settings!$B$5-F146)</f>
        <v/>
      </c>
      <c r="W146" s="46" t="str">
        <f>IF($A146="","",(J146&gt;0)*Settings!$B$22+(P146&gt;0)*Settings!$B$23+(M146&gt;0)*Settings!$B$24+(O146&gt;0)*Settings!$B$25+(I146="Yes")*Settings!$B$26+(D146="Unusable")*Settings!$B$27+(D146="Damaged")*Settings!$B$28+(H146&gt;=Settings!$B$30)*Settings!$B$29)</f>
        <v/>
      </c>
      <c r="X146" s="46" t="str">
        <f>IF($A146="","",IF(W146&gt;=Settings!$B$31,"High",IF(W146&gt;=Settings!$B$32,"Medium","Low")))</f>
        <v/>
      </c>
      <c r="Y146" s="46" t="str">
        <f>IF($A146="","",IF(V146&gt;Settings!$B$21,"Yes",""))</f>
        <v/>
      </c>
      <c r="Z146" s="46" t="str">
        <f>IF($A146="","",COUNTIFS(Referrals!$B$5:$B$52,$A146,Referrals!$G$5:$G$52,"Referred")+COUNTIFS(Referrals!$B$5:$B$52,$A146,Referrals!$G$5:$G$52,"Acknowledged"))</f>
        <v/>
      </c>
      <c r="AA146" s="46" t="str">
        <f>IF($A146="","",COUNTIFS(Referrals!$B$5:$B$52,$A146,Referrals!$K$5:$K$52,"Overdue"))</f>
        <v/>
      </c>
      <c r="AB146" s="46" t="str">
        <f>IF($A146="","",IF(AND(J146&gt;0,U146="Yes"),IF(COUNTIFS(Referrals!$B$5:$B$52,$A146,Referrals!$D$5:$D$52,"Nutrition / IYCF")=0,"Referral needed","Referred"),""))</f>
        <v/>
      </c>
      <c r="AC146" s="46" t="str">
        <f>IF($A146="","",IF(N(Needs_Gaps!O146)&gt;0,"Yes",""))</f>
        <v/>
      </c>
      <c r="AD146" s="46" t="str">
        <f>IF($A146="","",IF(COUNTIFS(Maintenance_Log!$C$5:$C$40,$A146,Maintenance_Log!$H$5:$H$40,"&lt;&gt;Resolved")&gt;0,"Yes",""))</f>
        <v/>
      </c>
      <c r="AE146" s="46" t="str">
        <f t="shared" si="8"/>
        <v/>
      </c>
      <c r="AF146" s="46">
        <f t="shared" si="9"/>
        <v>0</v>
      </c>
      <c r="AG146" s="46" t="str">
        <f>IFERROR(MATCH(ROW()-4,Import_Index!$H$5:$H$304,0),"")</f>
        <v/>
      </c>
    </row>
    <row r="147" spans="1:33" x14ac:dyDescent="0.3">
      <c r="A147" s="46" t="str">
        <f>IF($AG147="","",IFERROR(INDEX(Kobo_Import!$A$2:$CZ$301,$AG147,Field_Map!$B$13)&amp;"",""))</f>
        <v/>
      </c>
      <c r="B147" s="46" t="str">
        <f>IF($AG147="","",IF(IFERROR(INDEX(Kobo_Import!$A$2:$CZ$301,$AG147,Field_Map!$B$9)&amp;"","")="","",IFERROR(INDEX(Lists!$N$5:$N$19,MATCH(INDEX(Kobo_Import!$A$2:$CZ$301,$AG147,Field_Map!$B$9)&amp;"",Lists!$M$5:$M$19,0)),INDEX(Kobo_Import!$A$2:$CZ$301,$AG147,Field_Map!$B$9)&amp;"")))</f>
        <v/>
      </c>
      <c r="C147" s="46" t="str">
        <f>IF($AG147="","",IF(IFERROR(INDEX(Kobo_Import!$A$2:$CZ$301,$AG147,Field_Map!$B$14)&amp;"","")="","",IFERROR(INDEX(Lists!$N$5:$N$19,MATCH(INDEX(Kobo_Import!$A$2:$CZ$301,$AG147,Field_Map!$B$14)&amp;"",Lists!$M$5:$M$19,0)),INDEX(Kobo_Import!$A$2:$CZ$301,$AG147,Field_Map!$B$14)&amp;"")))</f>
        <v/>
      </c>
      <c r="D147" s="46" t="str">
        <f>IF($AG147="","",IF(IFERROR(INDEX(Kobo_Import!$A$2:$CZ$301,$AG147,Field_Map!$B$15)&amp;"","")="","",IFERROR(INDEX(Lists!$N$5:$N$19,MATCH(INDEX(Kobo_Import!$A$2:$CZ$301,$AG147,Field_Map!$B$15)&amp;"",Lists!$M$5:$M$19,0)),INDEX(Kobo_Import!$A$2:$CZ$301,$AG147,Field_Map!$B$15)&amp;"")))</f>
        <v/>
      </c>
      <c r="E147" s="49" t="str">
        <f>IF($A147="","",IFERROR(INDEX(Import_Index!$D$5:$D$304,MATCH($A147&amp;"|registration",Import_Index!$I$5:$I$304,0)),F147))</f>
        <v/>
      </c>
      <c r="F147" s="49" t="str">
        <f>IF($AG147="","",INDEX(Import_Index!$D$5:$D$304,$AG147))</f>
        <v/>
      </c>
      <c r="G147" s="46" t="str">
        <f>IF($A147="","",COUNTIFS(Import_Index!$B$5:$B$304,$A147,Import_Index!$C$5:$C$304,"yes"))</f>
        <v/>
      </c>
      <c r="H147" s="46" t="str">
        <f>IF($AG147="","",IFERROR(VALUE(INDEX(Kobo_Import!$A$2:$CZ$301,$AG147,Field_Map!$B$16)&amp;""),0))</f>
        <v/>
      </c>
      <c r="I147" s="46" t="str">
        <f>IF($AG147="","",IF(IFERROR(INDEX(Kobo_Import!$A$2:$CZ$301,$AG147,Field_Map!$B$17)&amp;"","")="","",IFERROR(INDEX(Lists!$N$5:$N$19,MATCH(INDEX(Kobo_Import!$A$2:$CZ$301,$AG147,Field_Map!$B$17)&amp;"",Lists!$M$5:$M$19,0)),INDEX(Kobo_Import!$A$2:$CZ$301,$AG147,Field_Map!$B$17)&amp;"")))</f>
        <v/>
      </c>
      <c r="J147" s="46" t="str">
        <f>IF($AG147="","",IFERROR(VALUE(INDEX(Kobo_Import!$A$2:$CZ$301,$AG147,Field_Map!$B$18)&amp;""),0))</f>
        <v/>
      </c>
      <c r="K147" s="46" t="str">
        <f>IF($AG147="","",IFERROR(VALUE(INDEX(Kobo_Import!$A$2:$CZ$301,$AG147,Field_Map!$B$19)&amp;""),0))</f>
        <v/>
      </c>
      <c r="L147" s="46" t="str">
        <f>IF($AG147="","",IFERROR(VALUE(INDEX(Kobo_Import!$A$2:$CZ$301,$AG147,Field_Map!$B$20)&amp;""),0))</f>
        <v/>
      </c>
      <c r="M147" s="46" t="str">
        <f>IF($AG147="","",IFERROR(VALUE(INDEX(Kobo_Import!$A$2:$CZ$301,$AG147,Field_Map!$B$21)&amp;""),0))</f>
        <v/>
      </c>
      <c r="N147" s="46" t="str">
        <f>IF($AG147="","",IFERROR(VALUE(INDEX(Kobo_Import!$A$2:$CZ$301,$AG147,Field_Map!$B$22)&amp;""),0))</f>
        <v/>
      </c>
      <c r="O147" s="46" t="str">
        <f>IF($AG147="","",IFERROR(VALUE(INDEX(Kobo_Import!$A$2:$CZ$301,$AG147,Field_Map!$B$23)&amp;""),0))</f>
        <v/>
      </c>
      <c r="P147" s="46" t="str">
        <f>IF($AG147="","",IFERROR(VALUE(INDEX(Kobo_Import!$A$2:$CZ$301,$AG147,Field_Map!$B$24)&amp;""),0))</f>
        <v/>
      </c>
      <c r="Q147" s="46" t="str">
        <f>IF($AG147="","",IFERROR(VALUE(INDEX(Kobo_Import!$A$2:$CZ$301,$AG147,Field_Map!$B$25)&amp;""),0))</f>
        <v/>
      </c>
      <c r="R147" s="46" t="str">
        <f>IF($AG147="","",IFERROR(VALUE(INDEX(Kobo_Import!$A$2:$CZ$301,$AG147,Field_Map!$B$26)&amp;""),0))</f>
        <v/>
      </c>
      <c r="S147" s="46" t="str">
        <f>IF($AG147="","",IFERROR(VALUE(INDEX(Kobo_Import!$A$2:$CZ$301,$AG147,Field_Map!$B$27)&amp;""),0))</f>
        <v/>
      </c>
      <c r="T147" s="46" t="str">
        <f>IF($AG147="","",IFERROR(VALUE(INDEX(Kobo_Import!$A$2:$CZ$301,$AG147,Field_Map!$B$28)&amp;""),0))</f>
        <v/>
      </c>
      <c r="U147" s="46" t="str">
        <f>IF($AG147="","",IF(IFERROR(INDEX(Kobo_Import!$A$2:$CZ$301,$AG147,Field_Map!$B$29)&amp;"","")="","",IFERROR(INDEX(Lists!$N$5:$N$19,MATCH(INDEX(Kobo_Import!$A$2:$CZ$301,$AG147,Field_Map!$B$29)&amp;"",Lists!$M$5:$M$19,0)),INDEX(Kobo_Import!$A$2:$CZ$301,$AG147,Field_Map!$B$29)&amp;"")))</f>
        <v/>
      </c>
      <c r="V147" s="50" t="str">
        <f>IF($A147="","",Settings!$B$5-F147)</f>
        <v/>
      </c>
      <c r="W147" s="46" t="str">
        <f>IF($A147="","",(J147&gt;0)*Settings!$B$22+(P147&gt;0)*Settings!$B$23+(M147&gt;0)*Settings!$B$24+(O147&gt;0)*Settings!$B$25+(I147="Yes")*Settings!$B$26+(D147="Unusable")*Settings!$B$27+(D147="Damaged")*Settings!$B$28+(H147&gt;=Settings!$B$30)*Settings!$B$29)</f>
        <v/>
      </c>
      <c r="X147" s="46" t="str">
        <f>IF($A147="","",IF(W147&gt;=Settings!$B$31,"High",IF(W147&gt;=Settings!$B$32,"Medium","Low")))</f>
        <v/>
      </c>
      <c r="Y147" s="46" t="str">
        <f>IF($A147="","",IF(V147&gt;Settings!$B$21,"Yes",""))</f>
        <v/>
      </c>
      <c r="Z147" s="46" t="str">
        <f>IF($A147="","",COUNTIFS(Referrals!$B$5:$B$52,$A147,Referrals!$G$5:$G$52,"Referred")+COUNTIFS(Referrals!$B$5:$B$52,$A147,Referrals!$G$5:$G$52,"Acknowledged"))</f>
        <v/>
      </c>
      <c r="AA147" s="46" t="str">
        <f>IF($A147="","",COUNTIFS(Referrals!$B$5:$B$52,$A147,Referrals!$K$5:$K$52,"Overdue"))</f>
        <v/>
      </c>
      <c r="AB147" s="46" t="str">
        <f>IF($A147="","",IF(AND(J147&gt;0,U147="Yes"),IF(COUNTIFS(Referrals!$B$5:$B$52,$A147,Referrals!$D$5:$D$52,"Nutrition / IYCF")=0,"Referral needed","Referred"),""))</f>
        <v/>
      </c>
      <c r="AC147" s="46" t="str">
        <f>IF($A147="","",IF(N(Needs_Gaps!O147)&gt;0,"Yes",""))</f>
        <v/>
      </c>
      <c r="AD147" s="46" t="str">
        <f>IF($A147="","",IF(COUNTIFS(Maintenance_Log!$C$5:$C$40,$A147,Maintenance_Log!$H$5:$H$40,"&lt;&gt;Resolved")&gt;0,"Yes",""))</f>
        <v/>
      </c>
      <c r="AE147" s="46" t="str">
        <f t="shared" si="8"/>
        <v/>
      </c>
      <c r="AF147" s="46">
        <f t="shared" si="9"/>
        <v>0</v>
      </c>
      <c r="AG147" s="46" t="str">
        <f>IFERROR(MATCH(ROW()-4,Import_Index!$H$5:$H$304,0),"")</f>
        <v/>
      </c>
    </row>
    <row r="148" spans="1:33" x14ac:dyDescent="0.3">
      <c r="A148" s="46" t="str">
        <f>IF($AG148="","",IFERROR(INDEX(Kobo_Import!$A$2:$CZ$301,$AG148,Field_Map!$B$13)&amp;"",""))</f>
        <v/>
      </c>
      <c r="B148" s="46" t="str">
        <f>IF($AG148="","",IF(IFERROR(INDEX(Kobo_Import!$A$2:$CZ$301,$AG148,Field_Map!$B$9)&amp;"","")="","",IFERROR(INDEX(Lists!$N$5:$N$19,MATCH(INDEX(Kobo_Import!$A$2:$CZ$301,$AG148,Field_Map!$B$9)&amp;"",Lists!$M$5:$M$19,0)),INDEX(Kobo_Import!$A$2:$CZ$301,$AG148,Field_Map!$B$9)&amp;"")))</f>
        <v/>
      </c>
      <c r="C148" s="46" t="str">
        <f>IF($AG148="","",IF(IFERROR(INDEX(Kobo_Import!$A$2:$CZ$301,$AG148,Field_Map!$B$14)&amp;"","")="","",IFERROR(INDEX(Lists!$N$5:$N$19,MATCH(INDEX(Kobo_Import!$A$2:$CZ$301,$AG148,Field_Map!$B$14)&amp;"",Lists!$M$5:$M$19,0)),INDEX(Kobo_Import!$A$2:$CZ$301,$AG148,Field_Map!$B$14)&amp;"")))</f>
        <v/>
      </c>
      <c r="D148" s="46" t="str">
        <f>IF($AG148="","",IF(IFERROR(INDEX(Kobo_Import!$A$2:$CZ$301,$AG148,Field_Map!$B$15)&amp;"","")="","",IFERROR(INDEX(Lists!$N$5:$N$19,MATCH(INDEX(Kobo_Import!$A$2:$CZ$301,$AG148,Field_Map!$B$15)&amp;"",Lists!$M$5:$M$19,0)),INDEX(Kobo_Import!$A$2:$CZ$301,$AG148,Field_Map!$B$15)&amp;"")))</f>
        <v/>
      </c>
      <c r="E148" s="49" t="str">
        <f>IF($A148="","",IFERROR(INDEX(Import_Index!$D$5:$D$304,MATCH($A148&amp;"|registration",Import_Index!$I$5:$I$304,0)),F148))</f>
        <v/>
      </c>
      <c r="F148" s="49" t="str">
        <f>IF($AG148="","",INDEX(Import_Index!$D$5:$D$304,$AG148))</f>
        <v/>
      </c>
      <c r="G148" s="46" t="str">
        <f>IF($A148="","",COUNTIFS(Import_Index!$B$5:$B$304,$A148,Import_Index!$C$5:$C$304,"yes"))</f>
        <v/>
      </c>
      <c r="H148" s="46" t="str">
        <f>IF($AG148="","",IFERROR(VALUE(INDEX(Kobo_Import!$A$2:$CZ$301,$AG148,Field_Map!$B$16)&amp;""),0))</f>
        <v/>
      </c>
      <c r="I148" s="46" t="str">
        <f>IF($AG148="","",IF(IFERROR(INDEX(Kobo_Import!$A$2:$CZ$301,$AG148,Field_Map!$B$17)&amp;"","")="","",IFERROR(INDEX(Lists!$N$5:$N$19,MATCH(INDEX(Kobo_Import!$A$2:$CZ$301,$AG148,Field_Map!$B$17)&amp;"",Lists!$M$5:$M$19,0)),INDEX(Kobo_Import!$A$2:$CZ$301,$AG148,Field_Map!$B$17)&amp;"")))</f>
        <v/>
      </c>
      <c r="J148" s="46" t="str">
        <f>IF($AG148="","",IFERROR(VALUE(INDEX(Kobo_Import!$A$2:$CZ$301,$AG148,Field_Map!$B$18)&amp;""),0))</f>
        <v/>
      </c>
      <c r="K148" s="46" t="str">
        <f>IF($AG148="","",IFERROR(VALUE(INDEX(Kobo_Import!$A$2:$CZ$301,$AG148,Field_Map!$B$19)&amp;""),0))</f>
        <v/>
      </c>
      <c r="L148" s="46" t="str">
        <f>IF($AG148="","",IFERROR(VALUE(INDEX(Kobo_Import!$A$2:$CZ$301,$AG148,Field_Map!$B$20)&amp;""),0))</f>
        <v/>
      </c>
      <c r="M148" s="46" t="str">
        <f>IF($AG148="","",IFERROR(VALUE(INDEX(Kobo_Import!$A$2:$CZ$301,$AG148,Field_Map!$B$21)&amp;""),0))</f>
        <v/>
      </c>
      <c r="N148" s="46" t="str">
        <f>IF($AG148="","",IFERROR(VALUE(INDEX(Kobo_Import!$A$2:$CZ$301,$AG148,Field_Map!$B$22)&amp;""),0))</f>
        <v/>
      </c>
      <c r="O148" s="46" t="str">
        <f>IF($AG148="","",IFERROR(VALUE(INDEX(Kobo_Import!$A$2:$CZ$301,$AG148,Field_Map!$B$23)&amp;""),0))</f>
        <v/>
      </c>
      <c r="P148" s="46" t="str">
        <f>IF($AG148="","",IFERROR(VALUE(INDEX(Kobo_Import!$A$2:$CZ$301,$AG148,Field_Map!$B$24)&amp;""),0))</f>
        <v/>
      </c>
      <c r="Q148" s="46" t="str">
        <f>IF($AG148="","",IFERROR(VALUE(INDEX(Kobo_Import!$A$2:$CZ$301,$AG148,Field_Map!$B$25)&amp;""),0))</f>
        <v/>
      </c>
      <c r="R148" s="46" t="str">
        <f>IF($AG148="","",IFERROR(VALUE(INDEX(Kobo_Import!$A$2:$CZ$301,$AG148,Field_Map!$B$26)&amp;""),0))</f>
        <v/>
      </c>
      <c r="S148" s="46" t="str">
        <f>IF($AG148="","",IFERROR(VALUE(INDEX(Kobo_Import!$A$2:$CZ$301,$AG148,Field_Map!$B$27)&amp;""),0))</f>
        <v/>
      </c>
      <c r="T148" s="46" t="str">
        <f>IF($AG148="","",IFERROR(VALUE(INDEX(Kobo_Import!$A$2:$CZ$301,$AG148,Field_Map!$B$28)&amp;""),0))</f>
        <v/>
      </c>
      <c r="U148" s="46" t="str">
        <f>IF($AG148="","",IF(IFERROR(INDEX(Kobo_Import!$A$2:$CZ$301,$AG148,Field_Map!$B$29)&amp;"","")="","",IFERROR(INDEX(Lists!$N$5:$N$19,MATCH(INDEX(Kobo_Import!$A$2:$CZ$301,$AG148,Field_Map!$B$29)&amp;"",Lists!$M$5:$M$19,0)),INDEX(Kobo_Import!$A$2:$CZ$301,$AG148,Field_Map!$B$29)&amp;"")))</f>
        <v/>
      </c>
      <c r="V148" s="50" t="str">
        <f>IF($A148="","",Settings!$B$5-F148)</f>
        <v/>
      </c>
      <c r="W148" s="46" t="str">
        <f>IF($A148="","",(J148&gt;0)*Settings!$B$22+(P148&gt;0)*Settings!$B$23+(M148&gt;0)*Settings!$B$24+(O148&gt;0)*Settings!$B$25+(I148="Yes")*Settings!$B$26+(D148="Unusable")*Settings!$B$27+(D148="Damaged")*Settings!$B$28+(H148&gt;=Settings!$B$30)*Settings!$B$29)</f>
        <v/>
      </c>
      <c r="X148" s="46" t="str">
        <f>IF($A148="","",IF(W148&gt;=Settings!$B$31,"High",IF(W148&gt;=Settings!$B$32,"Medium","Low")))</f>
        <v/>
      </c>
      <c r="Y148" s="46" t="str">
        <f>IF($A148="","",IF(V148&gt;Settings!$B$21,"Yes",""))</f>
        <v/>
      </c>
      <c r="Z148" s="46" t="str">
        <f>IF($A148="","",COUNTIFS(Referrals!$B$5:$B$52,$A148,Referrals!$G$5:$G$52,"Referred")+COUNTIFS(Referrals!$B$5:$B$52,$A148,Referrals!$G$5:$G$52,"Acknowledged"))</f>
        <v/>
      </c>
      <c r="AA148" s="46" t="str">
        <f>IF($A148="","",COUNTIFS(Referrals!$B$5:$B$52,$A148,Referrals!$K$5:$K$52,"Overdue"))</f>
        <v/>
      </c>
      <c r="AB148" s="46" t="str">
        <f>IF($A148="","",IF(AND(J148&gt;0,U148="Yes"),IF(COUNTIFS(Referrals!$B$5:$B$52,$A148,Referrals!$D$5:$D$52,"Nutrition / IYCF")=0,"Referral needed","Referred"),""))</f>
        <v/>
      </c>
      <c r="AC148" s="46" t="str">
        <f>IF($A148="","",IF(N(Needs_Gaps!O148)&gt;0,"Yes",""))</f>
        <v/>
      </c>
      <c r="AD148" s="46" t="str">
        <f>IF($A148="","",IF(COUNTIFS(Maintenance_Log!$C$5:$C$40,$A148,Maintenance_Log!$H$5:$H$40,"&lt;&gt;Resolved")&gt;0,"Yes",""))</f>
        <v/>
      </c>
      <c r="AE148" s="46" t="str">
        <f t="shared" si="8"/>
        <v/>
      </c>
      <c r="AF148" s="46">
        <f t="shared" si="9"/>
        <v>0</v>
      </c>
      <c r="AG148" s="46" t="str">
        <f>IFERROR(MATCH(ROW()-4,Import_Index!$H$5:$H$304,0),"")</f>
        <v/>
      </c>
    </row>
    <row r="149" spans="1:33" x14ac:dyDescent="0.3">
      <c r="A149" s="46" t="str">
        <f>IF($AG149="","",IFERROR(INDEX(Kobo_Import!$A$2:$CZ$301,$AG149,Field_Map!$B$13)&amp;"",""))</f>
        <v/>
      </c>
      <c r="B149" s="46" t="str">
        <f>IF($AG149="","",IF(IFERROR(INDEX(Kobo_Import!$A$2:$CZ$301,$AG149,Field_Map!$B$9)&amp;"","")="","",IFERROR(INDEX(Lists!$N$5:$N$19,MATCH(INDEX(Kobo_Import!$A$2:$CZ$301,$AG149,Field_Map!$B$9)&amp;"",Lists!$M$5:$M$19,0)),INDEX(Kobo_Import!$A$2:$CZ$301,$AG149,Field_Map!$B$9)&amp;"")))</f>
        <v/>
      </c>
      <c r="C149" s="46" t="str">
        <f>IF($AG149="","",IF(IFERROR(INDEX(Kobo_Import!$A$2:$CZ$301,$AG149,Field_Map!$B$14)&amp;"","")="","",IFERROR(INDEX(Lists!$N$5:$N$19,MATCH(INDEX(Kobo_Import!$A$2:$CZ$301,$AG149,Field_Map!$B$14)&amp;"",Lists!$M$5:$M$19,0)),INDEX(Kobo_Import!$A$2:$CZ$301,$AG149,Field_Map!$B$14)&amp;"")))</f>
        <v/>
      </c>
      <c r="D149" s="46" t="str">
        <f>IF($AG149="","",IF(IFERROR(INDEX(Kobo_Import!$A$2:$CZ$301,$AG149,Field_Map!$B$15)&amp;"","")="","",IFERROR(INDEX(Lists!$N$5:$N$19,MATCH(INDEX(Kobo_Import!$A$2:$CZ$301,$AG149,Field_Map!$B$15)&amp;"",Lists!$M$5:$M$19,0)),INDEX(Kobo_Import!$A$2:$CZ$301,$AG149,Field_Map!$B$15)&amp;"")))</f>
        <v/>
      </c>
      <c r="E149" s="49" t="str">
        <f>IF($A149="","",IFERROR(INDEX(Import_Index!$D$5:$D$304,MATCH($A149&amp;"|registration",Import_Index!$I$5:$I$304,0)),F149))</f>
        <v/>
      </c>
      <c r="F149" s="49" t="str">
        <f>IF($AG149="","",INDEX(Import_Index!$D$5:$D$304,$AG149))</f>
        <v/>
      </c>
      <c r="G149" s="46" t="str">
        <f>IF($A149="","",COUNTIFS(Import_Index!$B$5:$B$304,$A149,Import_Index!$C$5:$C$304,"yes"))</f>
        <v/>
      </c>
      <c r="H149" s="46" t="str">
        <f>IF($AG149="","",IFERROR(VALUE(INDEX(Kobo_Import!$A$2:$CZ$301,$AG149,Field_Map!$B$16)&amp;""),0))</f>
        <v/>
      </c>
      <c r="I149" s="46" t="str">
        <f>IF($AG149="","",IF(IFERROR(INDEX(Kobo_Import!$A$2:$CZ$301,$AG149,Field_Map!$B$17)&amp;"","")="","",IFERROR(INDEX(Lists!$N$5:$N$19,MATCH(INDEX(Kobo_Import!$A$2:$CZ$301,$AG149,Field_Map!$B$17)&amp;"",Lists!$M$5:$M$19,0)),INDEX(Kobo_Import!$A$2:$CZ$301,$AG149,Field_Map!$B$17)&amp;"")))</f>
        <v/>
      </c>
      <c r="J149" s="46" t="str">
        <f>IF($AG149="","",IFERROR(VALUE(INDEX(Kobo_Import!$A$2:$CZ$301,$AG149,Field_Map!$B$18)&amp;""),0))</f>
        <v/>
      </c>
      <c r="K149" s="46" t="str">
        <f>IF($AG149="","",IFERROR(VALUE(INDEX(Kobo_Import!$A$2:$CZ$301,$AG149,Field_Map!$B$19)&amp;""),0))</f>
        <v/>
      </c>
      <c r="L149" s="46" t="str">
        <f>IF($AG149="","",IFERROR(VALUE(INDEX(Kobo_Import!$A$2:$CZ$301,$AG149,Field_Map!$B$20)&amp;""),0))</f>
        <v/>
      </c>
      <c r="M149" s="46" t="str">
        <f>IF($AG149="","",IFERROR(VALUE(INDEX(Kobo_Import!$A$2:$CZ$301,$AG149,Field_Map!$B$21)&amp;""),0))</f>
        <v/>
      </c>
      <c r="N149" s="46" t="str">
        <f>IF($AG149="","",IFERROR(VALUE(INDEX(Kobo_Import!$A$2:$CZ$301,$AG149,Field_Map!$B$22)&amp;""),0))</f>
        <v/>
      </c>
      <c r="O149" s="46" t="str">
        <f>IF($AG149="","",IFERROR(VALUE(INDEX(Kobo_Import!$A$2:$CZ$301,$AG149,Field_Map!$B$23)&amp;""),0))</f>
        <v/>
      </c>
      <c r="P149" s="46" t="str">
        <f>IF($AG149="","",IFERROR(VALUE(INDEX(Kobo_Import!$A$2:$CZ$301,$AG149,Field_Map!$B$24)&amp;""),0))</f>
        <v/>
      </c>
      <c r="Q149" s="46" t="str">
        <f>IF($AG149="","",IFERROR(VALUE(INDEX(Kobo_Import!$A$2:$CZ$301,$AG149,Field_Map!$B$25)&amp;""),0))</f>
        <v/>
      </c>
      <c r="R149" s="46" t="str">
        <f>IF($AG149="","",IFERROR(VALUE(INDEX(Kobo_Import!$A$2:$CZ$301,$AG149,Field_Map!$B$26)&amp;""),0))</f>
        <v/>
      </c>
      <c r="S149" s="46" t="str">
        <f>IF($AG149="","",IFERROR(VALUE(INDEX(Kobo_Import!$A$2:$CZ$301,$AG149,Field_Map!$B$27)&amp;""),0))</f>
        <v/>
      </c>
      <c r="T149" s="46" t="str">
        <f>IF($AG149="","",IFERROR(VALUE(INDEX(Kobo_Import!$A$2:$CZ$301,$AG149,Field_Map!$B$28)&amp;""),0))</f>
        <v/>
      </c>
      <c r="U149" s="46" t="str">
        <f>IF($AG149="","",IF(IFERROR(INDEX(Kobo_Import!$A$2:$CZ$301,$AG149,Field_Map!$B$29)&amp;"","")="","",IFERROR(INDEX(Lists!$N$5:$N$19,MATCH(INDEX(Kobo_Import!$A$2:$CZ$301,$AG149,Field_Map!$B$29)&amp;"",Lists!$M$5:$M$19,0)),INDEX(Kobo_Import!$A$2:$CZ$301,$AG149,Field_Map!$B$29)&amp;"")))</f>
        <v/>
      </c>
      <c r="V149" s="50" t="str">
        <f>IF($A149="","",Settings!$B$5-F149)</f>
        <v/>
      </c>
      <c r="W149" s="46" t="str">
        <f>IF($A149="","",(J149&gt;0)*Settings!$B$22+(P149&gt;0)*Settings!$B$23+(M149&gt;0)*Settings!$B$24+(O149&gt;0)*Settings!$B$25+(I149="Yes")*Settings!$B$26+(D149="Unusable")*Settings!$B$27+(D149="Damaged")*Settings!$B$28+(H149&gt;=Settings!$B$30)*Settings!$B$29)</f>
        <v/>
      </c>
      <c r="X149" s="46" t="str">
        <f>IF($A149="","",IF(W149&gt;=Settings!$B$31,"High",IF(W149&gt;=Settings!$B$32,"Medium","Low")))</f>
        <v/>
      </c>
      <c r="Y149" s="46" t="str">
        <f>IF($A149="","",IF(V149&gt;Settings!$B$21,"Yes",""))</f>
        <v/>
      </c>
      <c r="Z149" s="46" t="str">
        <f>IF($A149="","",COUNTIFS(Referrals!$B$5:$B$52,$A149,Referrals!$G$5:$G$52,"Referred")+COUNTIFS(Referrals!$B$5:$B$52,$A149,Referrals!$G$5:$G$52,"Acknowledged"))</f>
        <v/>
      </c>
      <c r="AA149" s="46" t="str">
        <f>IF($A149="","",COUNTIFS(Referrals!$B$5:$B$52,$A149,Referrals!$K$5:$K$52,"Overdue"))</f>
        <v/>
      </c>
      <c r="AB149" s="46" t="str">
        <f>IF($A149="","",IF(AND(J149&gt;0,U149="Yes"),IF(COUNTIFS(Referrals!$B$5:$B$52,$A149,Referrals!$D$5:$D$52,"Nutrition / IYCF")=0,"Referral needed","Referred"),""))</f>
        <v/>
      </c>
      <c r="AC149" s="46" t="str">
        <f>IF($A149="","",IF(N(Needs_Gaps!O149)&gt;0,"Yes",""))</f>
        <v/>
      </c>
      <c r="AD149" s="46" t="str">
        <f>IF($A149="","",IF(COUNTIFS(Maintenance_Log!$C$5:$C$40,$A149,Maintenance_Log!$H$5:$H$40,"&lt;&gt;Resolved")&gt;0,"Yes",""))</f>
        <v/>
      </c>
      <c r="AE149" s="46" t="str">
        <f t="shared" si="8"/>
        <v/>
      </c>
      <c r="AF149" s="46">
        <f t="shared" si="9"/>
        <v>0</v>
      </c>
      <c r="AG149" s="46" t="str">
        <f>IFERROR(MATCH(ROW()-4,Import_Index!$H$5:$H$304,0),"")</f>
        <v/>
      </c>
    </row>
    <row r="150" spans="1:33" x14ac:dyDescent="0.3">
      <c r="A150" s="46" t="str">
        <f>IF($AG150="","",IFERROR(INDEX(Kobo_Import!$A$2:$CZ$301,$AG150,Field_Map!$B$13)&amp;"",""))</f>
        <v/>
      </c>
      <c r="B150" s="46" t="str">
        <f>IF($AG150="","",IF(IFERROR(INDEX(Kobo_Import!$A$2:$CZ$301,$AG150,Field_Map!$B$9)&amp;"","")="","",IFERROR(INDEX(Lists!$N$5:$N$19,MATCH(INDEX(Kobo_Import!$A$2:$CZ$301,$AG150,Field_Map!$B$9)&amp;"",Lists!$M$5:$M$19,0)),INDEX(Kobo_Import!$A$2:$CZ$301,$AG150,Field_Map!$B$9)&amp;"")))</f>
        <v/>
      </c>
      <c r="C150" s="46" t="str">
        <f>IF($AG150="","",IF(IFERROR(INDEX(Kobo_Import!$A$2:$CZ$301,$AG150,Field_Map!$B$14)&amp;"","")="","",IFERROR(INDEX(Lists!$N$5:$N$19,MATCH(INDEX(Kobo_Import!$A$2:$CZ$301,$AG150,Field_Map!$B$14)&amp;"",Lists!$M$5:$M$19,0)),INDEX(Kobo_Import!$A$2:$CZ$301,$AG150,Field_Map!$B$14)&amp;"")))</f>
        <v/>
      </c>
      <c r="D150" s="46" t="str">
        <f>IF($AG150="","",IF(IFERROR(INDEX(Kobo_Import!$A$2:$CZ$301,$AG150,Field_Map!$B$15)&amp;"","")="","",IFERROR(INDEX(Lists!$N$5:$N$19,MATCH(INDEX(Kobo_Import!$A$2:$CZ$301,$AG150,Field_Map!$B$15)&amp;"",Lists!$M$5:$M$19,0)),INDEX(Kobo_Import!$A$2:$CZ$301,$AG150,Field_Map!$B$15)&amp;"")))</f>
        <v/>
      </c>
      <c r="E150" s="49" t="str">
        <f>IF($A150="","",IFERROR(INDEX(Import_Index!$D$5:$D$304,MATCH($A150&amp;"|registration",Import_Index!$I$5:$I$304,0)),F150))</f>
        <v/>
      </c>
      <c r="F150" s="49" t="str">
        <f>IF($AG150="","",INDEX(Import_Index!$D$5:$D$304,$AG150))</f>
        <v/>
      </c>
      <c r="G150" s="46" t="str">
        <f>IF($A150="","",COUNTIFS(Import_Index!$B$5:$B$304,$A150,Import_Index!$C$5:$C$304,"yes"))</f>
        <v/>
      </c>
      <c r="H150" s="46" t="str">
        <f>IF($AG150="","",IFERROR(VALUE(INDEX(Kobo_Import!$A$2:$CZ$301,$AG150,Field_Map!$B$16)&amp;""),0))</f>
        <v/>
      </c>
      <c r="I150" s="46" t="str">
        <f>IF($AG150="","",IF(IFERROR(INDEX(Kobo_Import!$A$2:$CZ$301,$AG150,Field_Map!$B$17)&amp;"","")="","",IFERROR(INDEX(Lists!$N$5:$N$19,MATCH(INDEX(Kobo_Import!$A$2:$CZ$301,$AG150,Field_Map!$B$17)&amp;"",Lists!$M$5:$M$19,0)),INDEX(Kobo_Import!$A$2:$CZ$301,$AG150,Field_Map!$B$17)&amp;"")))</f>
        <v/>
      </c>
      <c r="J150" s="46" t="str">
        <f>IF($AG150="","",IFERROR(VALUE(INDEX(Kobo_Import!$A$2:$CZ$301,$AG150,Field_Map!$B$18)&amp;""),0))</f>
        <v/>
      </c>
      <c r="K150" s="46" t="str">
        <f>IF($AG150="","",IFERROR(VALUE(INDEX(Kobo_Import!$A$2:$CZ$301,$AG150,Field_Map!$B$19)&amp;""),0))</f>
        <v/>
      </c>
      <c r="L150" s="46" t="str">
        <f>IF($AG150="","",IFERROR(VALUE(INDEX(Kobo_Import!$A$2:$CZ$301,$AG150,Field_Map!$B$20)&amp;""),0))</f>
        <v/>
      </c>
      <c r="M150" s="46" t="str">
        <f>IF($AG150="","",IFERROR(VALUE(INDEX(Kobo_Import!$A$2:$CZ$301,$AG150,Field_Map!$B$21)&amp;""),0))</f>
        <v/>
      </c>
      <c r="N150" s="46" t="str">
        <f>IF($AG150="","",IFERROR(VALUE(INDEX(Kobo_Import!$A$2:$CZ$301,$AG150,Field_Map!$B$22)&amp;""),0))</f>
        <v/>
      </c>
      <c r="O150" s="46" t="str">
        <f>IF($AG150="","",IFERROR(VALUE(INDEX(Kobo_Import!$A$2:$CZ$301,$AG150,Field_Map!$B$23)&amp;""),0))</f>
        <v/>
      </c>
      <c r="P150" s="46" t="str">
        <f>IF($AG150="","",IFERROR(VALUE(INDEX(Kobo_Import!$A$2:$CZ$301,$AG150,Field_Map!$B$24)&amp;""),0))</f>
        <v/>
      </c>
      <c r="Q150" s="46" t="str">
        <f>IF($AG150="","",IFERROR(VALUE(INDEX(Kobo_Import!$A$2:$CZ$301,$AG150,Field_Map!$B$25)&amp;""),0))</f>
        <v/>
      </c>
      <c r="R150" s="46" t="str">
        <f>IF($AG150="","",IFERROR(VALUE(INDEX(Kobo_Import!$A$2:$CZ$301,$AG150,Field_Map!$B$26)&amp;""),0))</f>
        <v/>
      </c>
      <c r="S150" s="46" t="str">
        <f>IF($AG150="","",IFERROR(VALUE(INDEX(Kobo_Import!$A$2:$CZ$301,$AG150,Field_Map!$B$27)&amp;""),0))</f>
        <v/>
      </c>
      <c r="T150" s="46" t="str">
        <f>IF($AG150="","",IFERROR(VALUE(INDEX(Kobo_Import!$A$2:$CZ$301,$AG150,Field_Map!$B$28)&amp;""),0))</f>
        <v/>
      </c>
      <c r="U150" s="46" t="str">
        <f>IF($AG150="","",IF(IFERROR(INDEX(Kobo_Import!$A$2:$CZ$301,$AG150,Field_Map!$B$29)&amp;"","")="","",IFERROR(INDEX(Lists!$N$5:$N$19,MATCH(INDEX(Kobo_Import!$A$2:$CZ$301,$AG150,Field_Map!$B$29)&amp;"",Lists!$M$5:$M$19,0)),INDEX(Kobo_Import!$A$2:$CZ$301,$AG150,Field_Map!$B$29)&amp;"")))</f>
        <v/>
      </c>
      <c r="V150" s="50" t="str">
        <f>IF($A150="","",Settings!$B$5-F150)</f>
        <v/>
      </c>
      <c r="W150" s="46" t="str">
        <f>IF($A150="","",(J150&gt;0)*Settings!$B$22+(P150&gt;0)*Settings!$B$23+(M150&gt;0)*Settings!$B$24+(O150&gt;0)*Settings!$B$25+(I150="Yes")*Settings!$B$26+(D150="Unusable")*Settings!$B$27+(D150="Damaged")*Settings!$B$28+(H150&gt;=Settings!$B$30)*Settings!$B$29)</f>
        <v/>
      </c>
      <c r="X150" s="46" t="str">
        <f>IF($A150="","",IF(W150&gt;=Settings!$B$31,"High",IF(W150&gt;=Settings!$B$32,"Medium","Low")))</f>
        <v/>
      </c>
      <c r="Y150" s="46" t="str">
        <f>IF($A150="","",IF(V150&gt;Settings!$B$21,"Yes",""))</f>
        <v/>
      </c>
      <c r="Z150" s="46" t="str">
        <f>IF($A150="","",COUNTIFS(Referrals!$B$5:$B$52,$A150,Referrals!$G$5:$G$52,"Referred")+COUNTIFS(Referrals!$B$5:$B$52,$A150,Referrals!$G$5:$G$52,"Acknowledged"))</f>
        <v/>
      </c>
      <c r="AA150" s="46" t="str">
        <f>IF($A150="","",COUNTIFS(Referrals!$B$5:$B$52,$A150,Referrals!$K$5:$K$52,"Overdue"))</f>
        <v/>
      </c>
      <c r="AB150" s="46" t="str">
        <f>IF($A150="","",IF(AND(J150&gt;0,U150="Yes"),IF(COUNTIFS(Referrals!$B$5:$B$52,$A150,Referrals!$D$5:$D$52,"Nutrition / IYCF")=0,"Referral needed","Referred"),""))</f>
        <v/>
      </c>
      <c r="AC150" s="46" t="str">
        <f>IF($A150="","",IF(N(Needs_Gaps!O150)&gt;0,"Yes",""))</f>
        <v/>
      </c>
      <c r="AD150" s="46" t="str">
        <f>IF($A150="","",IF(COUNTIFS(Maintenance_Log!$C$5:$C$40,$A150,Maintenance_Log!$H$5:$H$40,"&lt;&gt;Resolved")&gt;0,"Yes",""))</f>
        <v/>
      </c>
      <c r="AE150" s="46" t="str">
        <f t="shared" si="8"/>
        <v/>
      </c>
      <c r="AF150" s="46">
        <f t="shared" si="9"/>
        <v>0</v>
      </c>
      <c r="AG150" s="46" t="str">
        <f>IFERROR(MATCH(ROW()-4,Import_Index!$H$5:$H$304,0),"")</f>
        <v/>
      </c>
    </row>
    <row r="151" spans="1:33" x14ac:dyDescent="0.3">
      <c r="A151" s="46" t="str">
        <f>IF($AG151="","",IFERROR(INDEX(Kobo_Import!$A$2:$CZ$301,$AG151,Field_Map!$B$13)&amp;"",""))</f>
        <v/>
      </c>
      <c r="B151" s="46" t="str">
        <f>IF($AG151="","",IF(IFERROR(INDEX(Kobo_Import!$A$2:$CZ$301,$AG151,Field_Map!$B$9)&amp;"","")="","",IFERROR(INDEX(Lists!$N$5:$N$19,MATCH(INDEX(Kobo_Import!$A$2:$CZ$301,$AG151,Field_Map!$B$9)&amp;"",Lists!$M$5:$M$19,0)),INDEX(Kobo_Import!$A$2:$CZ$301,$AG151,Field_Map!$B$9)&amp;"")))</f>
        <v/>
      </c>
      <c r="C151" s="46" t="str">
        <f>IF($AG151="","",IF(IFERROR(INDEX(Kobo_Import!$A$2:$CZ$301,$AG151,Field_Map!$B$14)&amp;"","")="","",IFERROR(INDEX(Lists!$N$5:$N$19,MATCH(INDEX(Kobo_Import!$A$2:$CZ$301,$AG151,Field_Map!$B$14)&amp;"",Lists!$M$5:$M$19,0)),INDEX(Kobo_Import!$A$2:$CZ$301,$AG151,Field_Map!$B$14)&amp;"")))</f>
        <v/>
      </c>
      <c r="D151" s="46" t="str">
        <f>IF($AG151="","",IF(IFERROR(INDEX(Kobo_Import!$A$2:$CZ$301,$AG151,Field_Map!$B$15)&amp;"","")="","",IFERROR(INDEX(Lists!$N$5:$N$19,MATCH(INDEX(Kobo_Import!$A$2:$CZ$301,$AG151,Field_Map!$B$15)&amp;"",Lists!$M$5:$M$19,0)),INDEX(Kobo_Import!$A$2:$CZ$301,$AG151,Field_Map!$B$15)&amp;"")))</f>
        <v/>
      </c>
      <c r="E151" s="49" t="str">
        <f>IF($A151="","",IFERROR(INDEX(Import_Index!$D$5:$D$304,MATCH($A151&amp;"|registration",Import_Index!$I$5:$I$304,0)),F151))</f>
        <v/>
      </c>
      <c r="F151" s="49" t="str">
        <f>IF($AG151="","",INDEX(Import_Index!$D$5:$D$304,$AG151))</f>
        <v/>
      </c>
      <c r="G151" s="46" t="str">
        <f>IF($A151="","",COUNTIFS(Import_Index!$B$5:$B$304,$A151,Import_Index!$C$5:$C$304,"yes"))</f>
        <v/>
      </c>
      <c r="H151" s="46" t="str">
        <f>IF($AG151="","",IFERROR(VALUE(INDEX(Kobo_Import!$A$2:$CZ$301,$AG151,Field_Map!$B$16)&amp;""),0))</f>
        <v/>
      </c>
      <c r="I151" s="46" t="str">
        <f>IF($AG151="","",IF(IFERROR(INDEX(Kobo_Import!$A$2:$CZ$301,$AG151,Field_Map!$B$17)&amp;"","")="","",IFERROR(INDEX(Lists!$N$5:$N$19,MATCH(INDEX(Kobo_Import!$A$2:$CZ$301,$AG151,Field_Map!$B$17)&amp;"",Lists!$M$5:$M$19,0)),INDEX(Kobo_Import!$A$2:$CZ$301,$AG151,Field_Map!$B$17)&amp;"")))</f>
        <v/>
      </c>
      <c r="J151" s="46" t="str">
        <f>IF($AG151="","",IFERROR(VALUE(INDEX(Kobo_Import!$A$2:$CZ$301,$AG151,Field_Map!$B$18)&amp;""),0))</f>
        <v/>
      </c>
      <c r="K151" s="46" t="str">
        <f>IF($AG151="","",IFERROR(VALUE(INDEX(Kobo_Import!$A$2:$CZ$301,$AG151,Field_Map!$B$19)&amp;""),0))</f>
        <v/>
      </c>
      <c r="L151" s="46" t="str">
        <f>IF($AG151="","",IFERROR(VALUE(INDEX(Kobo_Import!$A$2:$CZ$301,$AG151,Field_Map!$B$20)&amp;""),0))</f>
        <v/>
      </c>
      <c r="M151" s="46" t="str">
        <f>IF($AG151="","",IFERROR(VALUE(INDEX(Kobo_Import!$A$2:$CZ$301,$AG151,Field_Map!$B$21)&amp;""),0))</f>
        <v/>
      </c>
      <c r="N151" s="46" t="str">
        <f>IF($AG151="","",IFERROR(VALUE(INDEX(Kobo_Import!$A$2:$CZ$301,$AG151,Field_Map!$B$22)&amp;""),0))</f>
        <v/>
      </c>
      <c r="O151" s="46" t="str">
        <f>IF($AG151="","",IFERROR(VALUE(INDEX(Kobo_Import!$A$2:$CZ$301,$AG151,Field_Map!$B$23)&amp;""),0))</f>
        <v/>
      </c>
      <c r="P151" s="46" t="str">
        <f>IF($AG151="","",IFERROR(VALUE(INDEX(Kobo_Import!$A$2:$CZ$301,$AG151,Field_Map!$B$24)&amp;""),0))</f>
        <v/>
      </c>
      <c r="Q151" s="46" t="str">
        <f>IF($AG151="","",IFERROR(VALUE(INDEX(Kobo_Import!$A$2:$CZ$301,$AG151,Field_Map!$B$25)&amp;""),0))</f>
        <v/>
      </c>
      <c r="R151" s="46" t="str">
        <f>IF($AG151="","",IFERROR(VALUE(INDEX(Kobo_Import!$A$2:$CZ$301,$AG151,Field_Map!$B$26)&amp;""),0))</f>
        <v/>
      </c>
      <c r="S151" s="46" t="str">
        <f>IF($AG151="","",IFERROR(VALUE(INDEX(Kobo_Import!$A$2:$CZ$301,$AG151,Field_Map!$B$27)&amp;""),0))</f>
        <v/>
      </c>
      <c r="T151" s="46" t="str">
        <f>IF($AG151="","",IFERROR(VALUE(INDEX(Kobo_Import!$A$2:$CZ$301,$AG151,Field_Map!$B$28)&amp;""),0))</f>
        <v/>
      </c>
      <c r="U151" s="46" t="str">
        <f>IF($AG151="","",IF(IFERROR(INDEX(Kobo_Import!$A$2:$CZ$301,$AG151,Field_Map!$B$29)&amp;"","")="","",IFERROR(INDEX(Lists!$N$5:$N$19,MATCH(INDEX(Kobo_Import!$A$2:$CZ$301,$AG151,Field_Map!$B$29)&amp;"",Lists!$M$5:$M$19,0)),INDEX(Kobo_Import!$A$2:$CZ$301,$AG151,Field_Map!$B$29)&amp;"")))</f>
        <v/>
      </c>
      <c r="V151" s="50" t="str">
        <f>IF($A151="","",Settings!$B$5-F151)</f>
        <v/>
      </c>
      <c r="W151" s="46" t="str">
        <f>IF($A151="","",(J151&gt;0)*Settings!$B$22+(P151&gt;0)*Settings!$B$23+(M151&gt;0)*Settings!$B$24+(O151&gt;0)*Settings!$B$25+(I151="Yes")*Settings!$B$26+(D151="Unusable")*Settings!$B$27+(D151="Damaged")*Settings!$B$28+(H151&gt;=Settings!$B$30)*Settings!$B$29)</f>
        <v/>
      </c>
      <c r="X151" s="46" t="str">
        <f>IF($A151="","",IF(W151&gt;=Settings!$B$31,"High",IF(W151&gt;=Settings!$B$32,"Medium","Low")))</f>
        <v/>
      </c>
      <c r="Y151" s="46" t="str">
        <f>IF($A151="","",IF(V151&gt;Settings!$B$21,"Yes",""))</f>
        <v/>
      </c>
      <c r="Z151" s="46" t="str">
        <f>IF($A151="","",COUNTIFS(Referrals!$B$5:$B$52,$A151,Referrals!$G$5:$G$52,"Referred")+COUNTIFS(Referrals!$B$5:$B$52,$A151,Referrals!$G$5:$G$52,"Acknowledged"))</f>
        <v/>
      </c>
      <c r="AA151" s="46" t="str">
        <f>IF($A151="","",COUNTIFS(Referrals!$B$5:$B$52,$A151,Referrals!$K$5:$K$52,"Overdue"))</f>
        <v/>
      </c>
      <c r="AB151" s="46" t="str">
        <f>IF($A151="","",IF(AND(J151&gt;0,U151="Yes"),IF(COUNTIFS(Referrals!$B$5:$B$52,$A151,Referrals!$D$5:$D$52,"Nutrition / IYCF")=0,"Referral needed","Referred"),""))</f>
        <v/>
      </c>
      <c r="AC151" s="46" t="str">
        <f>IF($A151="","",IF(N(Needs_Gaps!O151)&gt;0,"Yes",""))</f>
        <v/>
      </c>
      <c r="AD151" s="46" t="str">
        <f>IF($A151="","",IF(COUNTIFS(Maintenance_Log!$C$5:$C$40,$A151,Maintenance_Log!$H$5:$H$40,"&lt;&gt;Resolved")&gt;0,"Yes",""))</f>
        <v/>
      </c>
      <c r="AE151" s="46" t="str">
        <f t="shared" si="8"/>
        <v/>
      </c>
      <c r="AF151" s="46">
        <f t="shared" si="9"/>
        <v>0</v>
      </c>
      <c r="AG151" s="46" t="str">
        <f>IFERROR(MATCH(ROW()-4,Import_Index!$H$5:$H$304,0),"")</f>
        <v/>
      </c>
    </row>
    <row r="152" spans="1:33" x14ac:dyDescent="0.3">
      <c r="A152" s="46" t="str">
        <f>IF($AG152="","",IFERROR(INDEX(Kobo_Import!$A$2:$CZ$301,$AG152,Field_Map!$B$13)&amp;"",""))</f>
        <v/>
      </c>
      <c r="B152" s="46" t="str">
        <f>IF($AG152="","",IF(IFERROR(INDEX(Kobo_Import!$A$2:$CZ$301,$AG152,Field_Map!$B$9)&amp;"","")="","",IFERROR(INDEX(Lists!$N$5:$N$19,MATCH(INDEX(Kobo_Import!$A$2:$CZ$301,$AG152,Field_Map!$B$9)&amp;"",Lists!$M$5:$M$19,0)),INDEX(Kobo_Import!$A$2:$CZ$301,$AG152,Field_Map!$B$9)&amp;"")))</f>
        <v/>
      </c>
      <c r="C152" s="46" t="str">
        <f>IF($AG152="","",IF(IFERROR(INDEX(Kobo_Import!$A$2:$CZ$301,$AG152,Field_Map!$B$14)&amp;"","")="","",IFERROR(INDEX(Lists!$N$5:$N$19,MATCH(INDEX(Kobo_Import!$A$2:$CZ$301,$AG152,Field_Map!$B$14)&amp;"",Lists!$M$5:$M$19,0)),INDEX(Kobo_Import!$A$2:$CZ$301,$AG152,Field_Map!$B$14)&amp;"")))</f>
        <v/>
      </c>
      <c r="D152" s="46" t="str">
        <f>IF($AG152="","",IF(IFERROR(INDEX(Kobo_Import!$A$2:$CZ$301,$AG152,Field_Map!$B$15)&amp;"","")="","",IFERROR(INDEX(Lists!$N$5:$N$19,MATCH(INDEX(Kobo_Import!$A$2:$CZ$301,$AG152,Field_Map!$B$15)&amp;"",Lists!$M$5:$M$19,0)),INDEX(Kobo_Import!$A$2:$CZ$301,$AG152,Field_Map!$B$15)&amp;"")))</f>
        <v/>
      </c>
      <c r="E152" s="49" t="str">
        <f>IF($A152="","",IFERROR(INDEX(Import_Index!$D$5:$D$304,MATCH($A152&amp;"|registration",Import_Index!$I$5:$I$304,0)),F152))</f>
        <v/>
      </c>
      <c r="F152" s="49" t="str">
        <f>IF($AG152="","",INDEX(Import_Index!$D$5:$D$304,$AG152))</f>
        <v/>
      </c>
      <c r="G152" s="46" t="str">
        <f>IF($A152="","",COUNTIFS(Import_Index!$B$5:$B$304,$A152,Import_Index!$C$5:$C$304,"yes"))</f>
        <v/>
      </c>
      <c r="H152" s="46" t="str">
        <f>IF($AG152="","",IFERROR(VALUE(INDEX(Kobo_Import!$A$2:$CZ$301,$AG152,Field_Map!$B$16)&amp;""),0))</f>
        <v/>
      </c>
      <c r="I152" s="46" t="str">
        <f>IF($AG152="","",IF(IFERROR(INDEX(Kobo_Import!$A$2:$CZ$301,$AG152,Field_Map!$B$17)&amp;"","")="","",IFERROR(INDEX(Lists!$N$5:$N$19,MATCH(INDEX(Kobo_Import!$A$2:$CZ$301,$AG152,Field_Map!$B$17)&amp;"",Lists!$M$5:$M$19,0)),INDEX(Kobo_Import!$A$2:$CZ$301,$AG152,Field_Map!$B$17)&amp;"")))</f>
        <v/>
      </c>
      <c r="J152" s="46" t="str">
        <f>IF($AG152="","",IFERROR(VALUE(INDEX(Kobo_Import!$A$2:$CZ$301,$AG152,Field_Map!$B$18)&amp;""),0))</f>
        <v/>
      </c>
      <c r="K152" s="46" t="str">
        <f>IF($AG152="","",IFERROR(VALUE(INDEX(Kobo_Import!$A$2:$CZ$301,$AG152,Field_Map!$B$19)&amp;""),0))</f>
        <v/>
      </c>
      <c r="L152" s="46" t="str">
        <f>IF($AG152="","",IFERROR(VALUE(INDEX(Kobo_Import!$A$2:$CZ$301,$AG152,Field_Map!$B$20)&amp;""),0))</f>
        <v/>
      </c>
      <c r="M152" s="46" t="str">
        <f>IF($AG152="","",IFERROR(VALUE(INDEX(Kobo_Import!$A$2:$CZ$301,$AG152,Field_Map!$B$21)&amp;""),0))</f>
        <v/>
      </c>
      <c r="N152" s="46" t="str">
        <f>IF($AG152="","",IFERROR(VALUE(INDEX(Kobo_Import!$A$2:$CZ$301,$AG152,Field_Map!$B$22)&amp;""),0))</f>
        <v/>
      </c>
      <c r="O152" s="46" t="str">
        <f>IF($AG152="","",IFERROR(VALUE(INDEX(Kobo_Import!$A$2:$CZ$301,$AG152,Field_Map!$B$23)&amp;""),0))</f>
        <v/>
      </c>
      <c r="P152" s="46" t="str">
        <f>IF($AG152="","",IFERROR(VALUE(INDEX(Kobo_Import!$A$2:$CZ$301,$AG152,Field_Map!$B$24)&amp;""),0))</f>
        <v/>
      </c>
      <c r="Q152" s="46" t="str">
        <f>IF($AG152="","",IFERROR(VALUE(INDEX(Kobo_Import!$A$2:$CZ$301,$AG152,Field_Map!$B$25)&amp;""),0))</f>
        <v/>
      </c>
      <c r="R152" s="46" t="str">
        <f>IF($AG152="","",IFERROR(VALUE(INDEX(Kobo_Import!$A$2:$CZ$301,$AG152,Field_Map!$B$26)&amp;""),0))</f>
        <v/>
      </c>
      <c r="S152" s="46" t="str">
        <f>IF($AG152="","",IFERROR(VALUE(INDEX(Kobo_Import!$A$2:$CZ$301,$AG152,Field_Map!$B$27)&amp;""),0))</f>
        <v/>
      </c>
      <c r="T152" s="46" t="str">
        <f>IF($AG152="","",IFERROR(VALUE(INDEX(Kobo_Import!$A$2:$CZ$301,$AG152,Field_Map!$B$28)&amp;""),0))</f>
        <v/>
      </c>
      <c r="U152" s="46" t="str">
        <f>IF($AG152="","",IF(IFERROR(INDEX(Kobo_Import!$A$2:$CZ$301,$AG152,Field_Map!$B$29)&amp;"","")="","",IFERROR(INDEX(Lists!$N$5:$N$19,MATCH(INDEX(Kobo_Import!$A$2:$CZ$301,$AG152,Field_Map!$B$29)&amp;"",Lists!$M$5:$M$19,0)),INDEX(Kobo_Import!$A$2:$CZ$301,$AG152,Field_Map!$B$29)&amp;"")))</f>
        <v/>
      </c>
      <c r="V152" s="50" t="str">
        <f>IF($A152="","",Settings!$B$5-F152)</f>
        <v/>
      </c>
      <c r="W152" s="46" t="str">
        <f>IF($A152="","",(J152&gt;0)*Settings!$B$22+(P152&gt;0)*Settings!$B$23+(M152&gt;0)*Settings!$B$24+(O152&gt;0)*Settings!$B$25+(I152="Yes")*Settings!$B$26+(D152="Unusable")*Settings!$B$27+(D152="Damaged")*Settings!$B$28+(H152&gt;=Settings!$B$30)*Settings!$B$29)</f>
        <v/>
      </c>
      <c r="X152" s="46" t="str">
        <f>IF($A152="","",IF(W152&gt;=Settings!$B$31,"High",IF(W152&gt;=Settings!$B$32,"Medium","Low")))</f>
        <v/>
      </c>
      <c r="Y152" s="46" t="str">
        <f>IF($A152="","",IF(V152&gt;Settings!$B$21,"Yes",""))</f>
        <v/>
      </c>
      <c r="Z152" s="46" t="str">
        <f>IF($A152="","",COUNTIFS(Referrals!$B$5:$B$52,$A152,Referrals!$G$5:$G$52,"Referred")+COUNTIFS(Referrals!$B$5:$B$52,$A152,Referrals!$G$5:$G$52,"Acknowledged"))</f>
        <v/>
      </c>
      <c r="AA152" s="46" t="str">
        <f>IF($A152="","",COUNTIFS(Referrals!$B$5:$B$52,$A152,Referrals!$K$5:$K$52,"Overdue"))</f>
        <v/>
      </c>
      <c r="AB152" s="46" t="str">
        <f>IF($A152="","",IF(AND(J152&gt;0,U152="Yes"),IF(COUNTIFS(Referrals!$B$5:$B$52,$A152,Referrals!$D$5:$D$52,"Nutrition / IYCF")=0,"Referral needed","Referred"),""))</f>
        <v/>
      </c>
      <c r="AC152" s="46" t="str">
        <f>IF($A152="","",IF(N(Needs_Gaps!O152)&gt;0,"Yes",""))</f>
        <v/>
      </c>
      <c r="AD152" s="46" t="str">
        <f>IF($A152="","",IF(COUNTIFS(Maintenance_Log!$C$5:$C$40,$A152,Maintenance_Log!$H$5:$H$40,"&lt;&gt;Resolved")&gt;0,"Yes",""))</f>
        <v/>
      </c>
      <c r="AE152" s="46" t="str">
        <f t="shared" si="8"/>
        <v/>
      </c>
      <c r="AF152" s="46">
        <f t="shared" si="9"/>
        <v>0</v>
      </c>
      <c r="AG152" s="46" t="str">
        <f>IFERROR(MATCH(ROW()-4,Import_Index!$H$5:$H$304,0),"")</f>
        <v/>
      </c>
    </row>
    <row r="153" spans="1:33" x14ac:dyDescent="0.3">
      <c r="A153" s="46" t="str">
        <f>IF($AG153="","",IFERROR(INDEX(Kobo_Import!$A$2:$CZ$301,$AG153,Field_Map!$B$13)&amp;"",""))</f>
        <v/>
      </c>
      <c r="B153" s="46" t="str">
        <f>IF($AG153="","",IF(IFERROR(INDEX(Kobo_Import!$A$2:$CZ$301,$AG153,Field_Map!$B$9)&amp;"","")="","",IFERROR(INDEX(Lists!$N$5:$N$19,MATCH(INDEX(Kobo_Import!$A$2:$CZ$301,$AG153,Field_Map!$B$9)&amp;"",Lists!$M$5:$M$19,0)),INDEX(Kobo_Import!$A$2:$CZ$301,$AG153,Field_Map!$B$9)&amp;"")))</f>
        <v/>
      </c>
      <c r="C153" s="46" t="str">
        <f>IF($AG153="","",IF(IFERROR(INDEX(Kobo_Import!$A$2:$CZ$301,$AG153,Field_Map!$B$14)&amp;"","")="","",IFERROR(INDEX(Lists!$N$5:$N$19,MATCH(INDEX(Kobo_Import!$A$2:$CZ$301,$AG153,Field_Map!$B$14)&amp;"",Lists!$M$5:$M$19,0)),INDEX(Kobo_Import!$A$2:$CZ$301,$AG153,Field_Map!$B$14)&amp;"")))</f>
        <v/>
      </c>
      <c r="D153" s="46" t="str">
        <f>IF($AG153="","",IF(IFERROR(INDEX(Kobo_Import!$A$2:$CZ$301,$AG153,Field_Map!$B$15)&amp;"","")="","",IFERROR(INDEX(Lists!$N$5:$N$19,MATCH(INDEX(Kobo_Import!$A$2:$CZ$301,$AG153,Field_Map!$B$15)&amp;"",Lists!$M$5:$M$19,0)),INDEX(Kobo_Import!$A$2:$CZ$301,$AG153,Field_Map!$B$15)&amp;"")))</f>
        <v/>
      </c>
      <c r="E153" s="49" t="str">
        <f>IF($A153="","",IFERROR(INDEX(Import_Index!$D$5:$D$304,MATCH($A153&amp;"|registration",Import_Index!$I$5:$I$304,0)),F153))</f>
        <v/>
      </c>
      <c r="F153" s="49" t="str">
        <f>IF($AG153="","",INDEX(Import_Index!$D$5:$D$304,$AG153))</f>
        <v/>
      </c>
      <c r="G153" s="46" t="str">
        <f>IF($A153="","",COUNTIFS(Import_Index!$B$5:$B$304,$A153,Import_Index!$C$5:$C$304,"yes"))</f>
        <v/>
      </c>
      <c r="H153" s="46" t="str">
        <f>IF($AG153="","",IFERROR(VALUE(INDEX(Kobo_Import!$A$2:$CZ$301,$AG153,Field_Map!$B$16)&amp;""),0))</f>
        <v/>
      </c>
      <c r="I153" s="46" t="str">
        <f>IF($AG153="","",IF(IFERROR(INDEX(Kobo_Import!$A$2:$CZ$301,$AG153,Field_Map!$B$17)&amp;"","")="","",IFERROR(INDEX(Lists!$N$5:$N$19,MATCH(INDEX(Kobo_Import!$A$2:$CZ$301,$AG153,Field_Map!$B$17)&amp;"",Lists!$M$5:$M$19,0)),INDEX(Kobo_Import!$A$2:$CZ$301,$AG153,Field_Map!$B$17)&amp;"")))</f>
        <v/>
      </c>
      <c r="J153" s="46" t="str">
        <f>IF($AG153="","",IFERROR(VALUE(INDEX(Kobo_Import!$A$2:$CZ$301,$AG153,Field_Map!$B$18)&amp;""),0))</f>
        <v/>
      </c>
      <c r="K153" s="46" t="str">
        <f>IF($AG153="","",IFERROR(VALUE(INDEX(Kobo_Import!$A$2:$CZ$301,$AG153,Field_Map!$B$19)&amp;""),0))</f>
        <v/>
      </c>
      <c r="L153" s="46" t="str">
        <f>IF($AG153="","",IFERROR(VALUE(INDEX(Kobo_Import!$A$2:$CZ$301,$AG153,Field_Map!$B$20)&amp;""),0))</f>
        <v/>
      </c>
      <c r="M153" s="46" t="str">
        <f>IF($AG153="","",IFERROR(VALUE(INDEX(Kobo_Import!$A$2:$CZ$301,$AG153,Field_Map!$B$21)&amp;""),0))</f>
        <v/>
      </c>
      <c r="N153" s="46" t="str">
        <f>IF($AG153="","",IFERROR(VALUE(INDEX(Kobo_Import!$A$2:$CZ$301,$AG153,Field_Map!$B$22)&amp;""),0))</f>
        <v/>
      </c>
      <c r="O153" s="46" t="str">
        <f>IF($AG153="","",IFERROR(VALUE(INDEX(Kobo_Import!$A$2:$CZ$301,$AG153,Field_Map!$B$23)&amp;""),0))</f>
        <v/>
      </c>
      <c r="P153" s="46" t="str">
        <f>IF($AG153="","",IFERROR(VALUE(INDEX(Kobo_Import!$A$2:$CZ$301,$AG153,Field_Map!$B$24)&amp;""),0))</f>
        <v/>
      </c>
      <c r="Q153" s="46" t="str">
        <f>IF($AG153="","",IFERROR(VALUE(INDEX(Kobo_Import!$A$2:$CZ$301,$AG153,Field_Map!$B$25)&amp;""),0))</f>
        <v/>
      </c>
      <c r="R153" s="46" t="str">
        <f>IF($AG153="","",IFERROR(VALUE(INDEX(Kobo_Import!$A$2:$CZ$301,$AG153,Field_Map!$B$26)&amp;""),0))</f>
        <v/>
      </c>
      <c r="S153" s="46" t="str">
        <f>IF($AG153="","",IFERROR(VALUE(INDEX(Kobo_Import!$A$2:$CZ$301,$AG153,Field_Map!$B$27)&amp;""),0))</f>
        <v/>
      </c>
      <c r="T153" s="46" t="str">
        <f>IF($AG153="","",IFERROR(VALUE(INDEX(Kobo_Import!$A$2:$CZ$301,$AG153,Field_Map!$B$28)&amp;""),0))</f>
        <v/>
      </c>
      <c r="U153" s="46" t="str">
        <f>IF($AG153="","",IF(IFERROR(INDEX(Kobo_Import!$A$2:$CZ$301,$AG153,Field_Map!$B$29)&amp;"","")="","",IFERROR(INDEX(Lists!$N$5:$N$19,MATCH(INDEX(Kobo_Import!$A$2:$CZ$301,$AG153,Field_Map!$B$29)&amp;"",Lists!$M$5:$M$19,0)),INDEX(Kobo_Import!$A$2:$CZ$301,$AG153,Field_Map!$B$29)&amp;"")))</f>
        <v/>
      </c>
      <c r="V153" s="50" t="str">
        <f>IF($A153="","",Settings!$B$5-F153)</f>
        <v/>
      </c>
      <c r="W153" s="46" t="str">
        <f>IF($A153="","",(J153&gt;0)*Settings!$B$22+(P153&gt;0)*Settings!$B$23+(M153&gt;0)*Settings!$B$24+(O153&gt;0)*Settings!$B$25+(I153="Yes")*Settings!$B$26+(D153="Unusable")*Settings!$B$27+(D153="Damaged")*Settings!$B$28+(H153&gt;=Settings!$B$30)*Settings!$B$29)</f>
        <v/>
      </c>
      <c r="X153" s="46" t="str">
        <f>IF($A153="","",IF(W153&gt;=Settings!$B$31,"High",IF(W153&gt;=Settings!$B$32,"Medium","Low")))</f>
        <v/>
      </c>
      <c r="Y153" s="46" t="str">
        <f>IF($A153="","",IF(V153&gt;Settings!$B$21,"Yes",""))</f>
        <v/>
      </c>
      <c r="Z153" s="46" t="str">
        <f>IF($A153="","",COUNTIFS(Referrals!$B$5:$B$52,$A153,Referrals!$G$5:$G$52,"Referred")+COUNTIFS(Referrals!$B$5:$B$52,$A153,Referrals!$G$5:$G$52,"Acknowledged"))</f>
        <v/>
      </c>
      <c r="AA153" s="46" t="str">
        <f>IF($A153="","",COUNTIFS(Referrals!$B$5:$B$52,$A153,Referrals!$K$5:$K$52,"Overdue"))</f>
        <v/>
      </c>
      <c r="AB153" s="46" t="str">
        <f>IF($A153="","",IF(AND(J153&gt;0,U153="Yes"),IF(COUNTIFS(Referrals!$B$5:$B$52,$A153,Referrals!$D$5:$D$52,"Nutrition / IYCF")=0,"Referral needed","Referred"),""))</f>
        <v/>
      </c>
      <c r="AC153" s="46" t="str">
        <f>IF($A153="","",IF(N(Needs_Gaps!O153)&gt;0,"Yes",""))</f>
        <v/>
      </c>
      <c r="AD153" s="46" t="str">
        <f>IF($A153="","",IF(COUNTIFS(Maintenance_Log!$C$5:$C$40,$A153,Maintenance_Log!$H$5:$H$40,"&lt;&gt;Resolved")&gt;0,"Yes",""))</f>
        <v/>
      </c>
      <c r="AE153" s="46" t="str">
        <f t="shared" si="8"/>
        <v/>
      </c>
      <c r="AF153" s="46">
        <f t="shared" si="9"/>
        <v>0</v>
      </c>
      <c r="AG153" s="46" t="str">
        <f>IFERROR(MATCH(ROW()-4,Import_Index!$H$5:$H$304,0),"")</f>
        <v/>
      </c>
    </row>
    <row r="154" spans="1:33" x14ac:dyDescent="0.3">
      <c r="A154" s="46" t="str">
        <f>IF($AG154="","",IFERROR(INDEX(Kobo_Import!$A$2:$CZ$301,$AG154,Field_Map!$B$13)&amp;"",""))</f>
        <v/>
      </c>
      <c r="B154" s="46" t="str">
        <f>IF($AG154="","",IF(IFERROR(INDEX(Kobo_Import!$A$2:$CZ$301,$AG154,Field_Map!$B$9)&amp;"","")="","",IFERROR(INDEX(Lists!$N$5:$N$19,MATCH(INDEX(Kobo_Import!$A$2:$CZ$301,$AG154,Field_Map!$B$9)&amp;"",Lists!$M$5:$M$19,0)),INDEX(Kobo_Import!$A$2:$CZ$301,$AG154,Field_Map!$B$9)&amp;"")))</f>
        <v/>
      </c>
      <c r="C154" s="46" t="str">
        <f>IF($AG154="","",IF(IFERROR(INDEX(Kobo_Import!$A$2:$CZ$301,$AG154,Field_Map!$B$14)&amp;"","")="","",IFERROR(INDEX(Lists!$N$5:$N$19,MATCH(INDEX(Kobo_Import!$A$2:$CZ$301,$AG154,Field_Map!$B$14)&amp;"",Lists!$M$5:$M$19,0)),INDEX(Kobo_Import!$A$2:$CZ$301,$AG154,Field_Map!$B$14)&amp;"")))</f>
        <v/>
      </c>
      <c r="D154" s="46" t="str">
        <f>IF($AG154="","",IF(IFERROR(INDEX(Kobo_Import!$A$2:$CZ$301,$AG154,Field_Map!$B$15)&amp;"","")="","",IFERROR(INDEX(Lists!$N$5:$N$19,MATCH(INDEX(Kobo_Import!$A$2:$CZ$301,$AG154,Field_Map!$B$15)&amp;"",Lists!$M$5:$M$19,0)),INDEX(Kobo_Import!$A$2:$CZ$301,$AG154,Field_Map!$B$15)&amp;"")))</f>
        <v/>
      </c>
      <c r="E154" s="49" t="str">
        <f>IF($A154="","",IFERROR(INDEX(Import_Index!$D$5:$D$304,MATCH($A154&amp;"|registration",Import_Index!$I$5:$I$304,0)),F154))</f>
        <v/>
      </c>
      <c r="F154" s="49" t="str">
        <f>IF($AG154="","",INDEX(Import_Index!$D$5:$D$304,$AG154))</f>
        <v/>
      </c>
      <c r="G154" s="46" t="str">
        <f>IF($A154="","",COUNTIFS(Import_Index!$B$5:$B$304,$A154,Import_Index!$C$5:$C$304,"yes"))</f>
        <v/>
      </c>
      <c r="H154" s="46" t="str">
        <f>IF($AG154="","",IFERROR(VALUE(INDEX(Kobo_Import!$A$2:$CZ$301,$AG154,Field_Map!$B$16)&amp;""),0))</f>
        <v/>
      </c>
      <c r="I154" s="46" t="str">
        <f>IF($AG154="","",IF(IFERROR(INDEX(Kobo_Import!$A$2:$CZ$301,$AG154,Field_Map!$B$17)&amp;"","")="","",IFERROR(INDEX(Lists!$N$5:$N$19,MATCH(INDEX(Kobo_Import!$A$2:$CZ$301,$AG154,Field_Map!$B$17)&amp;"",Lists!$M$5:$M$19,0)),INDEX(Kobo_Import!$A$2:$CZ$301,$AG154,Field_Map!$B$17)&amp;"")))</f>
        <v/>
      </c>
      <c r="J154" s="46" t="str">
        <f>IF($AG154="","",IFERROR(VALUE(INDEX(Kobo_Import!$A$2:$CZ$301,$AG154,Field_Map!$B$18)&amp;""),0))</f>
        <v/>
      </c>
      <c r="K154" s="46" t="str">
        <f>IF($AG154="","",IFERROR(VALUE(INDEX(Kobo_Import!$A$2:$CZ$301,$AG154,Field_Map!$B$19)&amp;""),0))</f>
        <v/>
      </c>
      <c r="L154" s="46" t="str">
        <f>IF($AG154="","",IFERROR(VALUE(INDEX(Kobo_Import!$A$2:$CZ$301,$AG154,Field_Map!$B$20)&amp;""),0))</f>
        <v/>
      </c>
      <c r="M154" s="46" t="str">
        <f>IF($AG154="","",IFERROR(VALUE(INDEX(Kobo_Import!$A$2:$CZ$301,$AG154,Field_Map!$B$21)&amp;""),0))</f>
        <v/>
      </c>
      <c r="N154" s="46" t="str">
        <f>IF($AG154="","",IFERROR(VALUE(INDEX(Kobo_Import!$A$2:$CZ$301,$AG154,Field_Map!$B$22)&amp;""),0))</f>
        <v/>
      </c>
      <c r="O154" s="46" t="str">
        <f>IF($AG154="","",IFERROR(VALUE(INDEX(Kobo_Import!$A$2:$CZ$301,$AG154,Field_Map!$B$23)&amp;""),0))</f>
        <v/>
      </c>
      <c r="P154" s="46" t="str">
        <f>IF($AG154="","",IFERROR(VALUE(INDEX(Kobo_Import!$A$2:$CZ$301,$AG154,Field_Map!$B$24)&amp;""),0))</f>
        <v/>
      </c>
      <c r="Q154" s="46" t="str">
        <f>IF($AG154="","",IFERROR(VALUE(INDEX(Kobo_Import!$A$2:$CZ$301,$AG154,Field_Map!$B$25)&amp;""),0))</f>
        <v/>
      </c>
      <c r="R154" s="46" t="str">
        <f>IF($AG154="","",IFERROR(VALUE(INDEX(Kobo_Import!$A$2:$CZ$301,$AG154,Field_Map!$B$26)&amp;""),0))</f>
        <v/>
      </c>
      <c r="S154" s="46" t="str">
        <f>IF($AG154="","",IFERROR(VALUE(INDEX(Kobo_Import!$A$2:$CZ$301,$AG154,Field_Map!$B$27)&amp;""),0))</f>
        <v/>
      </c>
      <c r="T154" s="46" t="str">
        <f>IF($AG154="","",IFERROR(VALUE(INDEX(Kobo_Import!$A$2:$CZ$301,$AG154,Field_Map!$B$28)&amp;""),0))</f>
        <v/>
      </c>
      <c r="U154" s="46" t="str">
        <f>IF($AG154="","",IF(IFERROR(INDEX(Kobo_Import!$A$2:$CZ$301,$AG154,Field_Map!$B$29)&amp;"","")="","",IFERROR(INDEX(Lists!$N$5:$N$19,MATCH(INDEX(Kobo_Import!$A$2:$CZ$301,$AG154,Field_Map!$B$29)&amp;"",Lists!$M$5:$M$19,0)),INDEX(Kobo_Import!$A$2:$CZ$301,$AG154,Field_Map!$B$29)&amp;"")))</f>
        <v/>
      </c>
      <c r="V154" s="50" t="str">
        <f>IF($A154="","",Settings!$B$5-F154)</f>
        <v/>
      </c>
      <c r="W154" s="46" t="str">
        <f>IF($A154="","",(J154&gt;0)*Settings!$B$22+(P154&gt;0)*Settings!$B$23+(M154&gt;0)*Settings!$B$24+(O154&gt;0)*Settings!$B$25+(I154="Yes")*Settings!$B$26+(D154="Unusable")*Settings!$B$27+(D154="Damaged")*Settings!$B$28+(H154&gt;=Settings!$B$30)*Settings!$B$29)</f>
        <v/>
      </c>
      <c r="X154" s="46" t="str">
        <f>IF($A154="","",IF(W154&gt;=Settings!$B$31,"High",IF(W154&gt;=Settings!$B$32,"Medium","Low")))</f>
        <v/>
      </c>
      <c r="Y154" s="46" t="str">
        <f>IF($A154="","",IF(V154&gt;Settings!$B$21,"Yes",""))</f>
        <v/>
      </c>
      <c r="Z154" s="46" t="str">
        <f>IF($A154="","",COUNTIFS(Referrals!$B$5:$B$52,$A154,Referrals!$G$5:$G$52,"Referred")+COUNTIFS(Referrals!$B$5:$B$52,$A154,Referrals!$G$5:$G$52,"Acknowledged"))</f>
        <v/>
      </c>
      <c r="AA154" s="46" t="str">
        <f>IF($A154="","",COUNTIFS(Referrals!$B$5:$B$52,$A154,Referrals!$K$5:$K$52,"Overdue"))</f>
        <v/>
      </c>
      <c r="AB154" s="46" t="str">
        <f>IF($A154="","",IF(AND(J154&gt;0,U154="Yes"),IF(COUNTIFS(Referrals!$B$5:$B$52,$A154,Referrals!$D$5:$D$52,"Nutrition / IYCF")=0,"Referral needed","Referred"),""))</f>
        <v/>
      </c>
      <c r="AC154" s="46" t="str">
        <f>IF($A154="","",IF(N(Needs_Gaps!O154)&gt;0,"Yes",""))</f>
        <v/>
      </c>
      <c r="AD154" s="46" t="str">
        <f>IF($A154="","",IF(COUNTIFS(Maintenance_Log!$C$5:$C$40,$A154,Maintenance_Log!$H$5:$H$40,"&lt;&gt;Resolved")&gt;0,"Yes",""))</f>
        <v/>
      </c>
      <c r="AE154" s="46" t="str">
        <f t="shared" si="8"/>
        <v/>
      </c>
      <c r="AF154" s="46">
        <f t="shared" si="9"/>
        <v>0</v>
      </c>
      <c r="AG154" s="46" t="str">
        <f>IFERROR(MATCH(ROW()-4,Import_Index!$H$5:$H$304,0),"")</f>
        <v/>
      </c>
    </row>
  </sheetData>
  <autoFilter ref="A4:AG154" xr:uid="{00000000-0009-0000-0000-000003000000}"/>
  <conditionalFormatting sqref="X5:X154">
    <cfRule type="cellIs" dxfId="24" priority="2" operator="equal">
      <formula>"High"</formula>
    </cfRule>
    <cfRule type="cellIs" dxfId="23" priority="3" operator="equal">
      <formula>"Medium"</formula>
    </cfRule>
  </conditionalFormatting>
  <conditionalFormatting sqref="Y5:Y154">
    <cfRule type="cellIs" dxfId="22" priority="4" operator="equal">
      <formula>"Yes"</formula>
    </cfRule>
  </conditionalFormatting>
  <conditionalFormatting sqref="AB5:AB154">
    <cfRule type="cellIs" dxfId="21" priority="5" operator="equal">
      <formula>"Referral needed"</formula>
    </cfRule>
  </conditionalFormatting>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I154"/>
  <sheetViews>
    <sheetView showGridLines="0" zoomScale="55" zoomScaleNormal="55" workbookViewId="0">
      <pane xSplit="3" ySplit="4" topLeftCell="D65" activePane="bottomRight" state="frozen"/>
      <selection pane="topRight" activeCell="D1" sqref="D1"/>
      <selection pane="bottomLeft" activeCell="A5" sqref="A5"/>
      <selection pane="bottomRight"/>
    </sheetView>
  </sheetViews>
  <sheetFormatPr defaultColWidth="8.6640625" defaultRowHeight="14.4" x14ac:dyDescent="0.3"/>
  <cols>
    <col min="1" max="1" width="10" customWidth="1"/>
    <col min="2" max="2" width="26" customWidth="1"/>
    <col min="3" max="3" width="10" customWidth="1"/>
    <col min="4" max="33" width="9" customWidth="1"/>
    <col min="34" max="35" width="10" customWidth="1"/>
  </cols>
  <sheetData>
    <row r="1" spans="1:35" ht="17.399999999999999" x14ac:dyDescent="0.3">
      <c r="A1" s="6" t="s">
        <v>158</v>
      </c>
    </row>
    <row r="2" spans="1:35" x14ac:dyDescent="0.3">
      <c r="A2" s="7" t="s">
        <v>159</v>
      </c>
    </row>
    <row r="3" spans="1:35" ht="30" customHeight="1" x14ac:dyDescent="0.3">
      <c r="D3" s="1" t="s">
        <v>54</v>
      </c>
      <c r="E3" s="1"/>
      <c r="F3" s="1"/>
      <c r="G3" s="1" t="s">
        <v>56</v>
      </c>
      <c r="H3" s="1"/>
      <c r="I3" s="1"/>
      <c r="J3" s="1" t="s">
        <v>57</v>
      </c>
      <c r="K3" s="1"/>
      <c r="L3" s="1"/>
      <c r="M3" s="1" t="s">
        <v>59</v>
      </c>
      <c r="N3" s="1"/>
      <c r="O3" s="1"/>
      <c r="P3" s="1" t="s">
        <v>61</v>
      </c>
      <c r="Q3" s="1"/>
      <c r="R3" s="1"/>
      <c r="S3" s="1" t="s">
        <v>63</v>
      </c>
      <c r="T3" s="1"/>
      <c r="U3" s="1"/>
      <c r="V3" s="1" t="s">
        <v>65</v>
      </c>
      <c r="W3" s="1"/>
      <c r="X3" s="1"/>
      <c r="Y3" s="1" t="s">
        <v>66</v>
      </c>
      <c r="Z3" s="1"/>
      <c r="AA3" s="1"/>
      <c r="AB3" s="1" t="s">
        <v>68</v>
      </c>
      <c r="AC3" s="1"/>
      <c r="AD3" s="1"/>
      <c r="AE3" s="1" t="s">
        <v>70</v>
      </c>
      <c r="AF3" s="1"/>
      <c r="AG3" s="1"/>
    </row>
    <row r="4" spans="1:35" ht="31.5" customHeight="1" x14ac:dyDescent="0.3">
      <c r="A4" s="15" t="s">
        <v>122</v>
      </c>
      <c r="B4" s="15" t="s">
        <v>72</v>
      </c>
      <c r="C4" s="15" t="s">
        <v>124</v>
      </c>
      <c r="D4" s="15" t="s">
        <v>160</v>
      </c>
      <c r="E4" s="15" t="s">
        <v>161</v>
      </c>
      <c r="F4" s="15" t="s">
        <v>51</v>
      </c>
      <c r="G4" s="15" t="s">
        <v>160</v>
      </c>
      <c r="H4" s="15" t="s">
        <v>161</v>
      </c>
      <c r="I4" s="15" t="s">
        <v>51</v>
      </c>
      <c r="J4" s="15" t="s">
        <v>162</v>
      </c>
      <c r="K4" s="15" t="s">
        <v>161</v>
      </c>
      <c r="L4" s="15" t="s">
        <v>51</v>
      </c>
      <c r="M4" s="15" t="s">
        <v>163</v>
      </c>
      <c r="N4" s="15" t="s">
        <v>161</v>
      </c>
      <c r="O4" s="15" t="s">
        <v>51</v>
      </c>
      <c r="P4" s="15" t="s">
        <v>164</v>
      </c>
      <c r="Q4" s="15" t="s">
        <v>161</v>
      </c>
      <c r="R4" s="15" t="s">
        <v>51</v>
      </c>
      <c r="S4" s="15" t="s">
        <v>165</v>
      </c>
      <c r="T4" s="15" t="s">
        <v>161</v>
      </c>
      <c r="U4" s="15" t="s">
        <v>51</v>
      </c>
      <c r="V4" s="15" t="s">
        <v>165</v>
      </c>
      <c r="W4" s="15" t="s">
        <v>161</v>
      </c>
      <c r="X4" s="15" t="s">
        <v>51</v>
      </c>
      <c r="Y4" s="15" t="s">
        <v>166</v>
      </c>
      <c r="Z4" s="15" t="s">
        <v>161</v>
      </c>
      <c r="AA4" s="15" t="s">
        <v>51</v>
      </c>
      <c r="AB4" s="15" t="s">
        <v>167</v>
      </c>
      <c r="AC4" s="15" t="s">
        <v>161</v>
      </c>
      <c r="AD4" s="15" t="s">
        <v>51</v>
      </c>
      <c r="AE4" s="15" t="s">
        <v>167</v>
      </c>
      <c r="AF4" s="15" t="s">
        <v>161</v>
      </c>
      <c r="AG4" s="15" t="s">
        <v>51</v>
      </c>
      <c r="AH4" s="15" t="s">
        <v>168</v>
      </c>
      <c r="AI4" s="15" t="s">
        <v>169</v>
      </c>
    </row>
    <row r="5" spans="1:35" x14ac:dyDescent="0.3">
      <c r="A5" s="24" t="str">
        <f>IF(Households!A5="","",Households!A5)</f>
        <v>HH-001</v>
      </c>
      <c r="B5" s="24" t="str">
        <f>IF($A5="","",Households!B5)</f>
        <v>Site A – School Shelter</v>
      </c>
      <c r="C5" s="24" t="str">
        <f>IF($A5="","",Households!X5)</f>
        <v>Medium</v>
      </c>
      <c r="D5" s="24">
        <f>IF($A5="","",MAX(0,Households!H5*Settings!$B$9-Households!Q5))</f>
        <v>13</v>
      </c>
      <c r="E5" s="24">
        <f>IF($A5="","",SUMIFS(Assistance_Log!$F$5:$F$367,Assistance_Log!$C$5:$C$367,$A5,Assistance_Log!$E$5:$E$367,"Blankets",Assistance_Log!$B$5:$B$367,"&gt;="&amp;Households!F5))</f>
        <v>0</v>
      </c>
      <c r="F5" s="25">
        <f t="shared" ref="F5:F36" si="0">IF($A5="","",MAX(0,D5-E5))</f>
        <v>13</v>
      </c>
      <c r="G5" s="24">
        <f>IF($A5="","",MAX(0,Households!H5*Settings!$B$10-Households!R5))</f>
        <v>7</v>
      </c>
      <c r="H5" s="24">
        <f>IF($A5="","",SUMIFS(Assistance_Log!$F$5:$F$367,Assistance_Log!$C$5:$C$367,$A5,Assistance_Log!$E$5:$E$367,"Mattresses",Assistance_Log!$B$5:$B$367,"&gt;="&amp;Households!F5))</f>
        <v>0</v>
      </c>
      <c r="I5" s="25">
        <f t="shared" ref="I5:I36" si="1">IF($A5="","",MAX(0,G5-H5))</f>
        <v>7</v>
      </c>
      <c r="J5" s="24">
        <f>IF($A5="","",IF(AND(OR(Households!C5="Tent",Households!C5="Makeshift shelter"),Households!D5="Damaged"),Settings!$B$11,0))</f>
        <v>0</v>
      </c>
      <c r="K5" s="24">
        <f>IF($A5="","",SUMIFS(Assistance_Log!$F$5:$F$367,Assistance_Log!$C$5:$C$367,$A5,Assistance_Log!$E$5:$E$367,"Tarpaulins",Assistance_Log!$B$5:$B$367,"&gt;="&amp;Households!F5))</f>
        <v>0</v>
      </c>
      <c r="L5" s="25">
        <f t="shared" ref="L5:L36" si="2">IF($A5="","",MAX(0,J5-K5))</f>
        <v>0</v>
      </c>
      <c r="M5" s="24">
        <f>IF($A5="","",IF(AND(OR(Households!C5="Tent",Households!C5="Makeshift shelter"),Households!D5="Unusable"),Settings!$B$12,0))</f>
        <v>0</v>
      </c>
      <c r="N5" s="24">
        <f>IF($A5="","",SUMIFS(Assistance_Log!$F$5:$F$367,Assistance_Log!$C$5:$C$367,$A5,Assistance_Log!$E$5:$E$367,"Tent replacement",Assistance_Log!$B$5:$B$367,"&gt;="&amp;Households!F5))</f>
        <v>0</v>
      </c>
      <c r="O5" s="25">
        <f t="shared" ref="O5:O36" si="3">IF($A5="","",MAX(0,M5-N5))</f>
        <v>0</v>
      </c>
      <c r="P5" s="24">
        <f>IF($A5="","",IF(Households!D5="Damaged",Settings!$B$13,0))</f>
        <v>0</v>
      </c>
      <c r="Q5" s="24">
        <f>IF($A5="","",SUMIFS(Assistance_Log!$F$5:$F$367,Assistance_Log!$C$5:$C$367,$A5,Assistance_Log!$E$5:$E$367,"Shelter repair kits",Assistance_Log!$B$5:$B$367,"&gt;="&amp;Households!F5))</f>
        <v>0</v>
      </c>
      <c r="R5" s="24">
        <f t="shared" ref="R5:R36" si="4">IF($A5="","",MAX(0,P5-Q5))</f>
        <v>0</v>
      </c>
      <c r="S5" s="24">
        <f>IF($A5="","",Households!S5*Settings!$B$14)</f>
        <v>2</v>
      </c>
      <c r="T5" s="24">
        <f>IF($A5="","",SUMIFS(Assistance_Log!$F$5:$F$367,Assistance_Log!$C$5:$C$367,$A5,Assistance_Log!$E$5:$E$367,"Winter clothing – children",Assistance_Log!$B$5:$B$367,"&gt;="&amp;Households!F5))</f>
        <v>0</v>
      </c>
      <c r="U5" s="24">
        <f t="shared" ref="U5:U36" si="5">IF($A5="","",MAX(0,S5-T5))</f>
        <v>2</v>
      </c>
      <c r="V5" s="24">
        <f>IF($A5="","",Households!T5*Settings!$B$14)</f>
        <v>1</v>
      </c>
      <c r="W5" s="24">
        <f>IF($A5="","",SUMIFS(Assistance_Log!$F$5:$F$367,Assistance_Log!$C$5:$C$367,$A5,Assistance_Log!$E$5:$E$367,"Winter clothing – adults",Assistance_Log!$B$5:$B$367,"&gt;="&amp;Households!F5))</f>
        <v>1</v>
      </c>
      <c r="X5" s="24">
        <f t="shared" ref="X5:X36" si="6">IF($A5="","",MAX(0,V5-W5))</f>
        <v>0</v>
      </c>
      <c r="Y5" s="24">
        <f>IF($A5="","",Households!J5*Settings!$B$15)</f>
        <v>4</v>
      </c>
      <c r="Z5" s="24">
        <f>IF($A5="","",SUMIFS(Assistance_Log!$F$5:$F$367,Assistance_Log!$C$5:$C$367,$A5,Assistance_Log!$E$5:$E$367,"Diapers",Assistance_Log!$B$5:$B$367,"&gt;="&amp;Households!F5))</f>
        <v>0</v>
      </c>
      <c r="AA5" s="24">
        <f t="shared" ref="AA5:AA36" si="7">IF($A5="","",MAX(0,Y5-Z5))</f>
        <v>4</v>
      </c>
      <c r="AB5" s="24">
        <f>IF($A5="","",Settings!$B$16)</f>
        <v>1</v>
      </c>
      <c r="AC5" s="24">
        <f>IF($A5="","",SUMIFS(Assistance_Log!$F$5:$F$367,Assistance_Log!$C$5:$C$367,$A5,Assistance_Log!$E$5:$E$367,"Family hygiene kits",Assistance_Log!$B$5:$B$367,"&gt;="&amp;Households!F5))</f>
        <v>1</v>
      </c>
      <c r="AD5" s="24">
        <f t="shared" ref="AD5:AD36" si="8">IF($A5="","",MAX(0,AB5-AC5))</f>
        <v>0</v>
      </c>
      <c r="AE5" s="24">
        <f>IF($A5="","",Households!N5*Settings!$B$17)</f>
        <v>1</v>
      </c>
      <c r="AF5" s="24">
        <f>IF($A5="","",SUMIFS(Assistance_Log!$F$5:$F$367,Assistance_Log!$C$5:$C$367,$A5,Assistance_Log!$E$5:$E$367,"Menstrual hygiene kits",Assistance_Log!$B$5:$B$367,"&gt;="&amp;Households!F5))</f>
        <v>1</v>
      </c>
      <c r="AG5" s="24">
        <f t="shared" ref="AG5:AG36" si="9">IF($A5="","",MAX(0,AE5-AF5))</f>
        <v>0</v>
      </c>
      <c r="AH5" s="25" t="str">
        <f t="shared" ref="AH5:AH36" si="10">IF($A5="","",IF(F5+I5+L5+O5+R5+U5+X5+AA5+AD5+AG5&gt;0,"Yes","No"))</f>
        <v>Yes</v>
      </c>
      <c r="AI5" s="24">
        <f t="shared" ref="AI5:AI36" si="11">IF($A5="","",(F5&gt;0)+(I5&gt;0)+(L5&gt;0)+(O5&gt;0)+(R5&gt;0)+(U5&gt;0)+(X5&gt;0)+(AA5&gt;0)+(AD5&gt;0)+(AG5&gt;0))</f>
        <v>4</v>
      </c>
    </row>
    <row r="6" spans="1:35" x14ac:dyDescent="0.3">
      <c r="A6" s="24" t="str">
        <f>IF(Households!A6="","",Households!A6)</f>
        <v>HH-002</v>
      </c>
      <c r="B6" s="24" t="str">
        <f>IF($A6="","",Households!B6)</f>
        <v>Site A – School Shelter</v>
      </c>
      <c r="C6" s="24" t="str">
        <f>IF($A6="","",Households!X6)</f>
        <v>Low</v>
      </c>
      <c r="D6" s="24">
        <f>IF($A6="","",MAX(0,Households!H6*Settings!$B$9-Households!Q6))</f>
        <v>1</v>
      </c>
      <c r="E6" s="24">
        <f>IF($A6="","",SUMIFS(Assistance_Log!$F$5:$F$367,Assistance_Log!$C$5:$C$367,$A6,Assistance_Log!$E$5:$E$367,"Blankets",Assistance_Log!$B$5:$B$367,"&gt;="&amp;Households!F6))</f>
        <v>0</v>
      </c>
      <c r="F6" s="25">
        <f t="shared" si="0"/>
        <v>1</v>
      </c>
      <c r="G6" s="24">
        <f>IF($A6="","",MAX(0,Households!H6*Settings!$B$10-Households!R6))</f>
        <v>0</v>
      </c>
      <c r="H6" s="24">
        <f>IF($A6="","",SUMIFS(Assistance_Log!$F$5:$F$367,Assistance_Log!$C$5:$C$367,$A6,Assistance_Log!$E$5:$E$367,"Mattresses",Assistance_Log!$B$5:$B$367,"&gt;="&amp;Households!F6))</f>
        <v>0</v>
      </c>
      <c r="I6" s="25">
        <f t="shared" si="1"/>
        <v>0</v>
      </c>
      <c r="J6" s="24">
        <f>IF($A6="","",IF(AND(OR(Households!C6="Tent",Households!C6="Makeshift shelter"),Households!D6="Damaged"),Settings!$B$11,0))</f>
        <v>0</v>
      </c>
      <c r="K6" s="24">
        <f>IF($A6="","",SUMIFS(Assistance_Log!$F$5:$F$367,Assistance_Log!$C$5:$C$367,$A6,Assistance_Log!$E$5:$E$367,"Tarpaulins",Assistance_Log!$B$5:$B$367,"&gt;="&amp;Households!F6))</f>
        <v>0</v>
      </c>
      <c r="L6" s="25">
        <f t="shared" si="2"/>
        <v>0</v>
      </c>
      <c r="M6" s="24">
        <f>IF($A6="","",IF(AND(OR(Households!C6="Tent",Households!C6="Makeshift shelter"),Households!D6="Unusable"),Settings!$B$12,0))</f>
        <v>0</v>
      </c>
      <c r="N6" s="24">
        <f>IF($A6="","",SUMIFS(Assistance_Log!$F$5:$F$367,Assistance_Log!$C$5:$C$367,$A6,Assistance_Log!$E$5:$E$367,"Tent replacement",Assistance_Log!$B$5:$B$367,"&gt;="&amp;Households!F6))</f>
        <v>0</v>
      </c>
      <c r="O6" s="25">
        <f t="shared" si="3"/>
        <v>0</v>
      </c>
      <c r="P6" s="24">
        <f>IF($A6="","",IF(Households!D6="Damaged",Settings!$B$13,0))</f>
        <v>0</v>
      </c>
      <c r="Q6" s="24">
        <f>IF($A6="","",SUMIFS(Assistance_Log!$F$5:$F$367,Assistance_Log!$C$5:$C$367,$A6,Assistance_Log!$E$5:$E$367,"Shelter repair kits",Assistance_Log!$B$5:$B$367,"&gt;="&amp;Households!F6))</f>
        <v>0</v>
      </c>
      <c r="R6" s="24">
        <f t="shared" si="4"/>
        <v>0</v>
      </c>
      <c r="S6" s="24">
        <f>IF($A6="","",Households!S6*Settings!$B$14)</f>
        <v>0</v>
      </c>
      <c r="T6" s="24">
        <f>IF($A6="","",SUMIFS(Assistance_Log!$F$5:$F$367,Assistance_Log!$C$5:$C$367,$A6,Assistance_Log!$E$5:$E$367,"Winter clothing – children",Assistance_Log!$B$5:$B$367,"&gt;="&amp;Households!F6))</f>
        <v>0</v>
      </c>
      <c r="U6" s="24">
        <f t="shared" si="5"/>
        <v>0</v>
      </c>
      <c r="V6" s="24">
        <f>IF($A6="","",Households!T6*Settings!$B$14)</f>
        <v>1</v>
      </c>
      <c r="W6" s="24">
        <f>IF($A6="","",SUMIFS(Assistance_Log!$F$5:$F$367,Assistance_Log!$C$5:$C$367,$A6,Assistance_Log!$E$5:$E$367,"Winter clothing – adults",Assistance_Log!$B$5:$B$367,"&gt;="&amp;Households!F6))</f>
        <v>0</v>
      </c>
      <c r="X6" s="24">
        <f t="shared" si="6"/>
        <v>1</v>
      </c>
      <c r="Y6" s="24">
        <f>IF($A6="","",Households!J6*Settings!$B$15)</f>
        <v>0</v>
      </c>
      <c r="Z6" s="24">
        <f>IF($A6="","",SUMIFS(Assistance_Log!$F$5:$F$367,Assistance_Log!$C$5:$C$367,$A6,Assistance_Log!$E$5:$E$367,"Diapers",Assistance_Log!$B$5:$B$367,"&gt;="&amp;Households!F6))</f>
        <v>0</v>
      </c>
      <c r="AA6" s="24">
        <f t="shared" si="7"/>
        <v>0</v>
      </c>
      <c r="AB6" s="24">
        <f>IF($A6="","",Settings!$B$16)</f>
        <v>1</v>
      </c>
      <c r="AC6" s="24">
        <f>IF($A6="","",SUMIFS(Assistance_Log!$F$5:$F$367,Assistance_Log!$C$5:$C$367,$A6,Assistance_Log!$E$5:$E$367,"Family hygiene kits",Assistance_Log!$B$5:$B$367,"&gt;="&amp;Households!F6))</f>
        <v>0</v>
      </c>
      <c r="AD6" s="24">
        <f t="shared" si="8"/>
        <v>1</v>
      </c>
      <c r="AE6" s="24">
        <f>IF($A6="","",Households!N6*Settings!$B$17)</f>
        <v>2</v>
      </c>
      <c r="AF6" s="24">
        <f>IF($A6="","",SUMIFS(Assistance_Log!$F$5:$F$367,Assistance_Log!$C$5:$C$367,$A6,Assistance_Log!$E$5:$E$367,"Menstrual hygiene kits",Assistance_Log!$B$5:$B$367,"&gt;="&amp;Households!F6))</f>
        <v>2</v>
      </c>
      <c r="AG6" s="24">
        <f t="shared" si="9"/>
        <v>0</v>
      </c>
      <c r="AH6" s="25" t="str">
        <f t="shared" si="10"/>
        <v>Yes</v>
      </c>
      <c r="AI6" s="24">
        <f t="shared" si="11"/>
        <v>3</v>
      </c>
    </row>
    <row r="7" spans="1:35" x14ac:dyDescent="0.3">
      <c r="A7" s="24" t="str">
        <f>IF(Households!A7="","",Households!A7)</f>
        <v>HH-003</v>
      </c>
      <c r="B7" s="24" t="str">
        <f>IF($A7="","",Households!B7)</f>
        <v>Site A – School Shelter</v>
      </c>
      <c r="C7" s="24" t="str">
        <f>IF($A7="","",Households!X7)</f>
        <v>Low</v>
      </c>
      <c r="D7" s="24">
        <f>IF($A7="","",MAX(0,Households!H7*Settings!$B$9-Households!Q7))</f>
        <v>7</v>
      </c>
      <c r="E7" s="24">
        <f>IF($A7="","",SUMIFS(Assistance_Log!$F$5:$F$367,Assistance_Log!$C$5:$C$367,$A7,Assistance_Log!$E$5:$E$367,"Blankets",Assistance_Log!$B$5:$B$367,"&gt;="&amp;Households!F7))</f>
        <v>7</v>
      </c>
      <c r="F7" s="25">
        <f t="shared" si="0"/>
        <v>0</v>
      </c>
      <c r="G7" s="24">
        <f>IF($A7="","",MAX(0,Households!H7*Settings!$B$10-Households!R7))</f>
        <v>6</v>
      </c>
      <c r="H7" s="24">
        <f>IF($A7="","",SUMIFS(Assistance_Log!$F$5:$F$367,Assistance_Log!$C$5:$C$367,$A7,Assistance_Log!$E$5:$E$367,"Mattresses",Assistance_Log!$B$5:$B$367,"&gt;="&amp;Households!F7))</f>
        <v>6</v>
      </c>
      <c r="I7" s="25">
        <f t="shared" si="1"/>
        <v>0</v>
      </c>
      <c r="J7" s="24">
        <f>IF($A7="","",IF(AND(OR(Households!C7="Tent",Households!C7="Makeshift shelter"),Households!D7="Damaged"),Settings!$B$11,0))</f>
        <v>0</v>
      </c>
      <c r="K7" s="24">
        <f>IF($A7="","",SUMIFS(Assistance_Log!$F$5:$F$367,Assistance_Log!$C$5:$C$367,$A7,Assistance_Log!$E$5:$E$367,"Tarpaulins",Assistance_Log!$B$5:$B$367,"&gt;="&amp;Households!F7))</f>
        <v>0</v>
      </c>
      <c r="L7" s="25">
        <f t="shared" si="2"/>
        <v>0</v>
      </c>
      <c r="M7" s="24">
        <f>IF($A7="","",IF(AND(OR(Households!C7="Tent",Households!C7="Makeshift shelter"),Households!D7="Unusable"),Settings!$B$12,0))</f>
        <v>0</v>
      </c>
      <c r="N7" s="24">
        <f>IF($A7="","",SUMIFS(Assistance_Log!$F$5:$F$367,Assistance_Log!$C$5:$C$367,$A7,Assistance_Log!$E$5:$E$367,"Tent replacement",Assistance_Log!$B$5:$B$367,"&gt;="&amp;Households!F7))</f>
        <v>0</v>
      </c>
      <c r="O7" s="25">
        <f t="shared" si="3"/>
        <v>0</v>
      </c>
      <c r="P7" s="24">
        <f>IF($A7="","",IF(Households!D7="Damaged",Settings!$B$13,0))</f>
        <v>0</v>
      </c>
      <c r="Q7" s="24">
        <f>IF($A7="","",SUMIFS(Assistance_Log!$F$5:$F$367,Assistance_Log!$C$5:$C$367,$A7,Assistance_Log!$E$5:$E$367,"Shelter repair kits",Assistance_Log!$B$5:$B$367,"&gt;="&amp;Households!F7))</f>
        <v>0</v>
      </c>
      <c r="R7" s="24">
        <f t="shared" si="4"/>
        <v>0</v>
      </c>
      <c r="S7" s="24">
        <f>IF($A7="","",Households!S7*Settings!$B$14)</f>
        <v>1</v>
      </c>
      <c r="T7" s="24">
        <f>IF($A7="","",SUMIFS(Assistance_Log!$F$5:$F$367,Assistance_Log!$C$5:$C$367,$A7,Assistance_Log!$E$5:$E$367,"Winter clothing – children",Assistance_Log!$B$5:$B$367,"&gt;="&amp;Households!F7))</f>
        <v>0</v>
      </c>
      <c r="U7" s="24">
        <f t="shared" si="5"/>
        <v>1</v>
      </c>
      <c r="V7" s="24">
        <f>IF($A7="","",Households!T7*Settings!$B$14)</f>
        <v>0</v>
      </c>
      <c r="W7" s="24">
        <f>IF($A7="","",SUMIFS(Assistance_Log!$F$5:$F$367,Assistance_Log!$C$5:$C$367,$A7,Assistance_Log!$E$5:$E$367,"Winter clothing – adults",Assistance_Log!$B$5:$B$367,"&gt;="&amp;Households!F7))</f>
        <v>0</v>
      </c>
      <c r="X7" s="24">
        <f t="shared" si="6"/>
        <v>0</v>
      </c>
      <c r="Y7" s="24">
        <f>IF($A7="","",Households!J7*Settings!$B$15)</f>
        <v>0</v>
      </c>
      <c r="Z7" s="24">
        <f>IF($A7="","",SUMIFS(Assistance_Log!$F$5:$F$367,Assistance_Log!$C$5:$C$367,$A7,Assistance_Log!$E$5:$E$367,"Diapers",Assistance_Log!$B$5:$B$367,"&gt;="&amp;Households!F7))</f>
        <v>0</v>
      </c>
      <c r="AA7" s="24">
        <f t="shared" si="7"/>
        <v>0</v>
      </c>
      <c r="AB7" s="24">
        <f>IF($A7="","",Settings!$B$16)</f>
        <v>1</v>
      </c>
      <c r="AC7" s="24">
        <f>IF($A7="","",SUMIFS(Assistance_Log!$F$5:$F$367,Assistance_Log!$C$5:$C$367,$A7,Assistance_Log!$E$5:$E$367,"Family hygiene kits",Assistance_Log!$B$5:$B$367,"&gt;="&amp;Households!F7))</f>
        <v>1</v>
      </c>
      <c r="AD7" s="24">
        <f t="shared" si="8"/>
        <v>0</v>
      </c>
      <c r="AE7" s="24">
        <f>IF($A7="","",Households!N7*Settings!$B$17)</f>
        <v>1</v>
      </c>
      <c r="AF7" s="24">
        <f>IF($A7="","",SUMIFS(Assistance_Log!$F$5:$F$367,Assistance_Log!$C$5:$C$367,$A7,Assistance_Log!$E$5:$E$367,"Menstrual hygiene kits",Assistance_Log!$B$5:$B$367,"&gt;="&amp;Households!F7))</f>
        <v>1</v>
      </c>
      <c r="AG7" s="24">
        <f t="shared" si="9"/>
        <v>0</v>
      </c>
      <c r="AH7" s="25" t="str">
        <f t="shared" si="10"/>
        <v>Yes</v>
      </c>
      <c r="AI7" s="24">
        <f t="shared" si="11"/>
        <v>1</v>
      </c>
    </row>
    <row r="8" spans="1:35" x14ac:dyDescent="0.3">
      <c r="A8" s="24" t="str">
        <f>IF(Households!A8="","",Households!A8)</f>
        <v>HH-004</v>
      </c>
      <c r="B8" s="24" t="str">
        <f>IF($A8="","",Households!B8)</f>
        <v>Site A – School Shelter</v>
      </c>
      <c r="C8" s="24" t="str">
        <f>IF($A8="","",Households!X8)</f>
        <v>Medium</v>
      </c>
      <c r="D8" s="24">
        <f>IF($A8="","",MAX(0,Households!H8*Settings!$B$9-Households!Q8))</f>
        <v>12</v>
      </c>
      <c r="E8" s="24">
        <f>IF($A8="","",SUMIFS(Assistance_Log!$F$5:$F$367,Assistance_Log!$C$5:$C$367,$A8,Assistance_Log!$E$5:$E$367,"Blankets",Assistance_Log!$B$5:$B$367,"&gt;="&amp;Households!F8))</f>
        <v>12</v>
      </c>
      <c r="F8" s="25">
        <f t="shared" si="0"/>
        <v>0</v>
      </c>
      <c r="G8" s="24">
        <f>IF($A8="","",MAX(0,Households!H8*Settings!$B$10-Households!R8))</f>
        <v>4</v>
      </c>
      <c r="H8" s="24">
        <f>IF($A8="","",SUMIFS(Assistance_Log!$F$5:$F$367,Assistance_Log!$C$5:$C$367,$A8,Assistance_Log!$E$5:$E$367,"Mattresses",Assistance_Log!$B$5:$B$367,"&gt;="&amp;Households!F8))</f>
        <v>4</v>
      </c>
      <c r="I8" s="25">
        <f t="shared" si="1"/>
        <v>0</v>
      </c>
      <c r="J8" s="24">
        <f>IF($A8="","",IF(AND(OR(Households!C8="Tent",Households!C8="Makeshift shelter"),Households!D8="Damaged"),Settings!$B$11,0))</f>
        <v>0</v>
      </c>
      <c r="K8" s="24">
        <f>IF($A8="","",SUMIFS(Assistance_Log!$F$5:$F$367,Assistance_Log!$C$5:$C$367,$A8,Assistance_Log!$E$5:$E$367,"Tarpaulins",Assistance_Log!$B$5:$B$367,"&gt;="&amp;Households!F8))</f>
        <v>0</v>
      </c>
      <c r="L8" s="25">
        <f t="shared" si="2"/>
        <v>0</v>
      </c>
      <c r="M8" s="24">
        <f>IF($A8="","",IF(AND(OR(Households!C8="Tent",Households!C8="Makeshift shelter"),Households!D8="Unusable"),Settings!$B$12,0))</f>
        <v>0</v>
      </c>
      <c r="N8" s="24">
        <f>IF($A8="","",SUMIFS(Assistance_Log!$F$5:$F$367,Assistance_Log!$C$5:$C$367,$A8,Assistance_Log!$E$5:$E$367,"Tent replacement",Assistance_Log!$B$5:$B$367,"&gt;="&amp;Households!F8))</f>
        <v>0</v>
      </c>
      <c r="O8" s="25">
        <f t="shared" si="3"/>
        <v>0</v>
      </c>
      <c r="P8" s="24">
        <f>IF($A8="","",IF(Households!D8="Damaged",Settings!$B$13,0))</f>
        <v>0</v>
      </c>
      <c r="Q8" s="24">
        <f>IF($A8="","",SUMIFS(Assistance_Log!$F$5:$F$367,Assistance_Log!$C$5:$C$367,$A8,Assistance_Log!$E$5:$E$367,"Shelter repair kits",Assistance_Log!$B$5:$B$367,"&gt;="&amp;Households!F8))</f>
        <v>0</v>
      </c>
      <c r="R8" s="24">
        <f t="shared" si="4"/>
        <v>0</v>
      </c>
      <c r="S8" s="24">
        <f>IF($A8="","",Households!S8*Settings!$B$14)</f>
        <v>5</v>
      </c>
      <c r="T8" s="24">
        <f>IF($A8="","",SUMIFS(Assistance_Log!$F$5:$F$367,Assistance_Log!$C$5:$C$367,$A8,Assistance_Log!$E$5:$E$367,"Winter clothing – children",Assistance_Log!$B$5:$B$367,"&gt;="&amp;Households!F8))</f>
        <v>5</v>
      </c>
      <c r="U8" s="24">
        <f t="shared" si="5"/>
        <v>0</v>
      </c>
      <c r="V8" s="24">
        <f>IF($A8="","",Households!T8*Settings!$B$14)</f>
        <v>0</v>
      </c>
      <c r="W8" s="24">
        <f>IF($A8="","",SUMIFS(Assistance_Log!$F$5:$F$367,Assistance_Log!$C$5:$C$367,$A8,Assistance_Log!$E$5:$E$367,"Winter clothing – adults",Assistance_Log!$B$5:$B$367,"&gt;="&amp;Households!F8))</f>
        <v>0</v>
      </c>
      <c r="X8" s="24">
        <f t="shared" si="6"/>
        <v>0</v>
      </c>
      <c r="Y8" s="24">
        <f>IF($A8="","",Households!J8*Settings!$B$15)</f>
        <v>8</v>
      </c>
      <c r="Z8" s="24">
        <f>IF($A8="","",SUMIFS(Assistance_Log!$F$5:$F$367,Assistance_Log!$C$5:$C$367,$A8,Assistance_Log!$E$5:$E$367,"Diapers",Assistance_Log!$B$5:$B$367,"&gt;="&amp;Households!F8))</f>
        <v>0</v>
      </c>
      <c r="AA8" s="24">
        <f t="shared" si="7"/>
        <v>8</v>
      </c>
      <c r="AB8" s="24">
        <f>IF($A8="","",Settings!$B$16)</f>
        <v>1</v>
      </c>
      <c r="AC8" s="24">
        <f>IF($A8="","",SUMIFS(Assistance_Log!$F$5:$F$367,Assistance_Log!$C$5:$C$367,$A8,Assistance_Log!$E$5:$E$367,"Family hygiene kits",Assistance_Log!$B$5:$B$367,"&gt;="&amp;Households!F8))</f>
        <v>1</v>
      </c>
      <c r="AD8" s="24">
        <f t="shared" si="8"/>
        <v>0</v>
      </c>
      <c r="AE8" s="24">
        <f>IF($A8="","",Households!N8*Settings!$B$17)</f>
        <v>1</v>
      </c>
      <c r="AF8" s="24">
        <f>IF($A8="","",SUMIFS(Assistance_Log!$F$5:$F$367,Assistance_Log!$C$5:$C$367,$A8,Assistance_Log!$E$5:$E$367,"Menstrual hygiene kits",Assistance_Log!$B$5:$B$367,"&gt;="&amp;Households!F8))</f>
        <v>0</v>
      </c>
      <c r="AG8" s="24">
        <f t="shared" si="9"/>
        <v>1</v>
      </c>
      <c r="AH8" s="25" t="str">
        <f t="shared" si="10"/>
        <v>Yes</v>
      </c>
      <c r="AI8" s="24">
        <f t="shared" si="11"/>
        <v>2</v>
      </c>
    </row>
    <row r="9" spans="1:35" x14ac:dyDescent="0.3">
      <c r="A9" s="24" t="str">
        <f>IF(Households!A9="","",Households!A9)</f>
        <v>HH-005</v>
      </c>
      <c r="B9" s="24" t="str">
        <f>IF($A9="","",Households!B9)</f>
        <v>Site A – School Shelter</v>
      </c>
      <c r="C9" s="24" t="str">
        <f>IF($A9="","",Households!X9)</f>
        <v>Medium</v>
      </c>
      <c r="D9" s="24">
        <f>IF($A9="","",MAX(0,Households!H9*Settings!$B$9-Households!Q9))</f>
        <v>6</v>
      </c>
      <c r="E9" s="24">
        <f>IF($A9="","",SUMIFS(Assistance_Log!$F$5:$F$367,Assistance_Log!$C$5:$C$367,$A9,Assistance_Log!$E$5:$E$367,"Blankets",Assistance_Log!$B$5:$B$367,"&gt;="&amp;Households!F9))</f>
        <v>0</v>
      </c>
      <c r="F9" s="25">
        <f t="shared" si="0"/>
        <v>6</v>
      </c>
      <c r="G9" s="24">
        <f>IF($A9="","",MAX(0,Households!H9*Settings!$B$10-Households!R9))</f>
        <v>3</v>
      </c>
      <c r="H9" s="24">
        <f>IF($A9="","",SUMIFS(Assistance_Log!$F$5:$F$367,Assistance_Log!$C$5:$C$367,$A9,Assistance_Log!$E$5:$E$367,"Mattresses",Assistance_Log!$B$5:$B$367,"&gt;="&amp;Households!F9))</f>
        <v>3</v>
      </c>
      <c r="I9" s="25">
        <f t="shared" si="1"/>
        <v>0</v>
      </c>
      <c r="J9" s="24">
        <f>IF($A9="","",IF(AND(OR(Households!C9="Tent",Households!C9="Makeshift shelter"),Households!D9="Damaged"),Settings!$B$11,0))</f>
        <v>0</v>
      </c>
      <c r="K9" s="24">
        <f>IF($A9="","",SUMIFS(Assistance_Log!$F$5:$F$367,Assistance_Log!$C$5:$C$367,$A9,Assistance_Log!$E$5:$E$367,"Tarpaulins",Assistance_Log!$B$5:$B$367,"&gt;="&amp;Households!F9))</f>
        <v>0</v>
      </c>
      <c r="L9" s="25">
        <f t="shared" si="2"/>
        <v>0</v>
      </c>
      <c r="M9" s="24">
        <f>IF($A9="","",IF(AND(OR(Households!C9="Tent",Households!C9="Makeshift shelter"),Households!D9="Unusable"),Settings!$B$12,0))</f>
        <v>0</v>
      </c>
      <c r="N9" s="24">
        <f>IF($A9="","",SUMIFS(Assistance_Log!$F$5:$F$367,Assistance_Log!$C$5:$C$367,$A9,Assistance_Log!$E$5:$E$367,"Tent replacement",Assistance_Log!$B$5:$B$367,"&gt;="&amp;Households!F9))</f>
        <v>0</v>
      </c>
      <c r="O9" s="25">
        <f t="shared" si="3"/>
        <v>0</v>
      </c>
      <c r="P9" s="24">
        <f>IF($A9="","",IF(Households!D9="Damaged",Settings!$B$13,0))</f>
        <v>0</v>
      </c>
      <c r="Q9" s="24">
        <f>IF($A9="","",SUMIFS(Assistance_Log!$F$5:$F$367,Assistance_Log!$C$5:$C$367,$A9,Assistance_Log!$E$5:$E$367,"Shelter repair kits",Assistance_Log!$B$5:$B$367,"&gt;="&amp;Households!F9))</f>
        <v>0</v>
      </c>
      <c r="R9" s="24">
        <f t="shared" si="4"/>
        <v>0</v>
      </c>
      <c r="S9" s="24">
        <f>IF($A9="","",Households!S9*Settings!$B$14)</f>
        <v>3</v>
      </c>
      <c r="T9" s="24">
        <f>IF($A9="","",SUMIFS(Assistance_Log!$F$5:$F$367,Assistance_Log!$C$5:$C$367,$A9,Assistance_Log!$E$5:$E$367,"Winter clothing – children",Assistance_Log!$B$5:$B$367,"&gt;="&amp;Households!F9))</f>
        <v>0</v>
      </c>
      <c r="U9" s="24">
        <f t="shared" si="5"/>
        <v>3</v>
      </c>
      <c r="V9" s="24">
        <f>IF($A9="","",Households!T9*Settings!$B$14)</f>
        <v>0</v>
      </c>
      <c r="W9" s="24">
        <f>IF($A9="","",SUMIFS(Assistance_Log!$F$5:$F$367,Assistance_Log!$C$5:$C$367,$A9,Assistance_Log!$E$5:$E$367,"Winter clothing – adults",Assistance_Log!$B$5:$B$367,"&gt;="&amp;Households!F9))</f>
        <v>0</v>
      </c>
      <c r="X9" s="24">
        <f t="shared" si="6"/>
        <v>0</v>
      </c>
      <c r="Y9" s="24">
        <f>IF($A9="","",Households!J9*Settings!$B$15)</f>
        <v>4</v>
      </c>
      <c r="Z9" s="24">
        <f>IF($A9="","",SUMIFS(Assistance_Log!$F$5:$F$367,Assistance_Log!$C$5:$C$367,$A9,Assistance_Log!$E$5:$E$367,"Diapers",Assistance_Log!$B$5:$B$367,"&gt;="&amp;Households!F9))</f>
        <v>0</v>
      </c>
      <c r="AA9" s="24">
        <f t="shared" si="7"/>
        <v>4</v>
      </c>
      <c r="AB9" s="24">
        <f>IF($A9="","",Settings!$B$16)</f>
        <v>1</v>
      </c>
      <c r="AC9" s="24">
        <f>IF($A9="","",SUMIFS(Assistance_Log!$F$5:$F$367,Assistance_Log!$C$5:$C$367,$A9,Assistance_Log!$E$5:$E$367,"Family hygiene kits",Assistance_Log!$B$5:$B$367,"&gt;="&amp;Households!F9))</f>
        <v>0</v>
      </c>
      <c r="AD9" s="24">
        <f t="shared" si="8"/>
        <v>1</v>
      </c>
      <c r="AE9" s="24">
        <f>IF($A9="","",Households!N9*Settings!$B$17)</f>
        <v>1</v>
      </c>
      <c r="AF9" s="24">
        <f>IF($A9="","",SUMIFS(Assistance_Log!$F$5:$F$367,Assistance_Log!$C$5:$C$367,$A9,Assistance_Log!$E$5:$E$367,"Menstrual hygiene kits",Assistance_Log!$B$5:$B$367,"&gt;="&amp;Households!F9))</f>
        <v>0</v>
      </c>
      <c r="AG9" s="24">
        <f t="shared" si="9"/>
        <v>1</v>
      </c>
      <c r="AH9" s="25" t="str">
        <f t="shared" si="10"/>
        <v>Yes</v>
      </c>
      <c r="AI9" s="24">
        <f t="shared" si="11"/>
        <v>5</v>
      </c>
    </row>
    <row r="10" spans="1:35" x14ac:dyDescent="0.3">
      <c r="A10" s="24" t="str">
        <f>IF(Households!A10="","",Households!A10)</f>
        <v>HH-006</v>
      </c>
      <c r="B10" s="24" t="str">
        <f>IF($A10="","",Households!B10)</f>
        <v>Site A – School Shelter</v>
      </c>
      <c r="C10" s="24" t="str">
        <f>IF($A10="","",Households!X10)</f>
        <v>High</v>
      </c>
      <c r="D10" s="24">
        <f>IF($A10="","",MAX(0,Households!H10*Settings!$B$9-Households!Q10))</f>
        <v>11</v>
      </c>
      <c r="E10" s="24">
        <f>IF($A10="","",SUMIFS(Assistance_Log!$F$5:$F$367,Assistance_Log!$C$5:$C$367,$A10,Assistance_Log!$E$5:$E$367,"Blankets",Assistance_Log!$B$5:$B$367,"&gt;="&amp;Households!F10))</f>
        <v>0</v>
      </c>
      <c r="F10" s="25">
        <f t="shared" si="0"/>
        <v>11</v>
      </c>
      <c r="G10" s="24">
        <f>IF($A10="","",MAX(0,Households!H10*Settings!$B$10-Households!R10))</f>
        <v>7</v>
      </c>
      <c r="H10" s="24">
        <f>IF($A10="","",SUMIFS(Assistance_Log!$F$5:$F$367,Assistance_Log!$C$5:$C$367,$A10,Assistance_Log!$E$5:$E$367,"Mattresses",Assistance_Log!$B$5:$B$367,"&gt;="&amp;Households!F10))</f>
        <v>3</v>
      </c>
      <c r="I10" s="25">
        <f t="shared" si="1"/>
        <v>4</v>
      </c>
      <c r="J10" s="24">
        <f>IF($A10="","",IF(AND(OR(Households!C10="Tent",Households!C10="Makeshift shelter"),Households!D10="Damaged"),Settings!$B$11,0))</f>
        <v>0</v>
      </c>
      <c r="K10" s="24">
        <f>IF($A10="","",SUMIFS(Assistance_Log!$F$5:$F$367,Assistance_Log!$C$5:$C$367,$A10,Assistance_Log!$E$5:$E$367,"Tarpaulins",Assistance_Log!$B$5:$B$367,"&gt;="&amp;Households!F10))</f>
        <v>0</v>
      </c>
      <c r="L10" s="25">
        <f t="shared" si="2"/>
        <v>0</v>
      </c>
      <c r="M10" s="24">
        <f>IF($A10="","",IF(AND(OR(Households!C10="Tent",Households!C10="Makeshift shelter"),Households!D10="Unusable"),Settings!$B$12,0))</f>
        <v>0</v>
      </c>
      <c r="N10" s="24">
        <f>IF($A10="","",SUMIFS(Assistance_Log!$F$5:$F$367,Assistance_Log!$C$5:$C$367,$A10,Assistance_Log!$E$5:$E$367,"Tent replacement",Assistance_Log!$B$5:$B$367,"&gt;="&amp;Households!F10))</f>
        <v>0</v>
      </c>
      <c r="O10" s="25">
        <f t="shared" si="3"/>
        <v>0</v>
      </c>
      <c r="P10" s="24">
        <f>IF($A10="","",IF(Households!D10="Damaged",Settings!$B$13,0))</f>
        <v>0</v>
      </c>
      <c r="Q10" s="24">
        <f>IF($A10="","",SUMIFS(Assistance_Log!$F$5:$F$367,Assistance_Log!$C$5:$C$367,$A10,Assistance_Log!$E$5:$E$367,"Shelter repair kits",Assistance_Log!$B$5:$B$367,"&gt;="&amp;Households!F10))</f>
        <v>0</v>
      </c>
      <c r="R10" s="24">
        <f t="shared" si="4"/>
        <v>0</v>
      </c>
      <c r="S10" s="24">
        <f>IF($A10="","",Households!S10*Settings!$B$14)</f>
        <v>6</v>
      </c>
      <c r="T10" s="24">
        <f>IF($A10="","",SUMIFS(Assistance_Log!$F$5:$F$367,Assistance_Log!$C$5:$C$367,$A10,Assistance_Log!$E$5:$E$367,"Winter clothing – children",Assistance_Log!$B$5:$B$367,"&gt;="&amp;Households!F10))</f>
        <v>0</v>
      </c>
      <c r="U10" s="24">
        <f t="shared" si="5"/>
        <v>6</v>
      </c>
      <c r="V10" s="24">
        <f>IF($A10="","",Households!T10*Settings!$B$14)</f>
        <v>2</v>
      </c>
      <c r="W10" s="24">
        <f>IF($A10="","",SUMIFS(Assistance_Log!$F$5:$F$367,Assistance_Log!$C$5:$C$367,$A10,Assistance_Log!$E$5:$E$367,"Winter clothing – adults",Assistance_Log!$B$5:$B$367,"&gt;="&amp;Households!F10))</f>
        <v>0</v>
      </c>
      <c r="X10" s="24">
        <f t="shared" si="6"/>
        <v>2</v>
      </c>
      <c r="Y10" s="24">
        <f>IF($A10="","",Households!J10*Settings!$B$15)</f>
        <v>4</v>
      </c>
      <c r="Z10" s="24">
        <f>IF($A10="","",SUMIFS(Assistance_Log!$F$5:$F$367,Assistance_Log!$C$5:$C$367,$A10,Assistance_Log!$E$5:$E$367,"Diapers",Assistance_Log!$B$5:$B$367,"&gt;="&amp;Households!F10))</f>
        <v>0</v>
      </c>
      <c r="AA10" s="24">
        <f t="shared" si="7"/>
        <v>4</v>
      </c>
      <c r="AB10" s="24">
        <f>IF($A10="","",Settings!$B$16)</f>
        <v>1</v>
      </c>
      <c r="AC10" s="24">
        <f>IF($A10="","",SUMIFS(Assistance_Log!$F$5:$F$367,Assistance_Log!$C$5:$C$367,$A10,Assistance_Log!$E$5:$E$367,"Family hygiene kits",Assistance_Log!$B$5:$B$367,"&gt;="&amp;Households!F10))</f>
        <v>1</v>
      </c>
      <c r="AD10" s="24">
        <f t="shared" si="8"/>
        <v>0</v>
      </c>
      <c r="AE10" s="24">
        <f>IF($A10="","",Households!N10*Settings!$B$17)</f>
        <v>2</v>
      </c>
      <c r="AF10" s="24">
        <f>IF($A10="","",SUMIFS(Assistance_Log!$F$5:$F$367,Assistance_Log!$C$5:$C$367,$A10,Assistance_Log!$E$5:$E$367,"Menstrual hygiene kits",Assistance_Log!$B$5:$B$367,"&gt;="&amp;Households!F10))</f>
        <v>0</v>
      </c>
      <c r="AG10" s="24">
        <f t="shared" si="9"/>
        <v>2</v>
      </c>
      <c r="AH10" s="25" t="str">
        <f t="shared" si="10"/>
        <v>Yes</v>
      </c>
      <c r="AI10" s="24">
        <f t="shared" si="11"/>
        <v>6</v>
      </c>
    </row>
    <row r="11" spans="1:35" x14ac:dyDescent="0.3">
      <c r="A11" s="24" t="str">
        <f>IF(Households!A11="","",Households!A11)</f>
        <v>HH-007</v>
      </c>
      <c r="B11" s="24" t="str">
        <f>IF($A11="","",Households!B11)</f>
        <v>Site A – School Shelter</v>
      </c>
      <c r="C11" s="24" t="str">
        <f>IF($A11="","",Households!X11)</f>
        <v>Medium</v>
      </c>
      <c r="D11" s="24">
        <f>IF($A11="","",MAX(0,Households!H11*Settings!$B$9-Households!Q11))</f>
        <v>6</v>
      </c>
      <c r="E11" s="24">
        <f>IF($A11="","",SUMIFS(Assistance_Log!$F$5:$F$367,Assistance_Log!$C$5:$C$367,$A11,Assistance_Log!$E$5:$E$367,"Blankets",Assistance_Log!$B$5:$B$367,"&gt;="&amp;Households!F11))</f>
        <v>0</v>
      </c>
      <c r="F11" s="25">
        <f t="shared" si="0"/>
        <v>6</v>
      </c>
      <c r="G11" s="24">
        <f>IF($A11="","",MAX(0,Households!H11*Settings!$B$10-Households!R11))</f>
        <v>1</v>
      </c>
      <c r="H11" s="24">
        <f>IF($A11="","",SUMIFS(Assistance_Log!$F$5:$F$367,Assistance_Log!$C$5:$C$367,$A11,Assistance_Log!$E$5:$E$367,"Mattresses",Assistance_Log!$B$5:$B$367,"&gt;="&amp;Households!F11))</f>
        <v>1</v>
      </c>
      <c r="I11" s="25">
        <f t="shared" si="1"/>
        <v>0</v>
      </c>
      <c r="J11" s="24">
        <f>IF($A11="","",IF(AND(OR(Households!C11="Tent",Households!C11="Makeshift shelter"),Households!D11="Damaged"),Settings!$B$11,0))</f>
        <v>0</v>
      </c>
      <c r="K11" s="24">
        <f>IF($A11="","",SUMIFS(Assistance_Log!$F$5:$F$367,Assistance_Log!$C$5:$C$367,$A11,Assistance_Log!$E$5:$E$367,"Tarpaulins",Assistance_Log!$B$5:$B$367,"&gt;="&amp;Households!F11))</f>
        <v>0</v>
      </c>
      <c r="L11" s="25">
        <f t="shared" si="2"/>
        <v>0</v>
      </c>
      <c r="M11" s="24">
        <f>IF($A11="","",IF(AND(OR(Households!C11="Tent",Households!C11="Makeshift shelter"),Households!D11="Unusable"),Settings!$B$12,0))</f>
        <v>0</v>
      </c>
      <c r="N11" s="24">
        <f>IF($A11="","",SUMIFS(Assistance_Log!$F$5:$F$367,Assistance_Log!$C$5:$C$367,$A11,Assistance_Log!$E$5:$E$367,"Tent replacement",Assistance_Log!$B$5:$B$367,"&gt;="&amp;Households!F11))</f>
        <v>0</v>
      </c>
      <c r="O11" s="25">
        <f t="shared" si="3"/>
        <v>0</v>
      </c>
      <c r="P11" s="24">
        <f>IF($A11="","",IF(Households!D11="Damaged",Settings!$B$13,0))</f>
        <v>0</v>
      </c>
      <c r="Q11" s="24">
        <f>IF($A11="","",SUMIFS(Assistance_Log!$F$5:$F$367,Assistance_Log!$C$5:$C$367,$A11,Assistance_Log!$E$5:$E$367,"Shelter repair kits",Assistance_Log!$B$5:$B$367,"&gt;="&amp;Households!F11))</f>
        <v>0</v>
      </c>
      <c r="R11" s="24">
        <f t="shared" si="4"/>
        <v>0</v>
      </c>
      <c r="S11" s="24">
        <f>IF($A11="","",Households!S11*Settings!$B$14)</f>
        <v>5</v>
      </c>
      <c r="T11" s="24">
        <f>IF($A11="","",SUMIFS(Assistance_Log!$F$5:$F$367,Assistance_Log!$C$5:$C$367,$A11,Assistance_Log!$E$5:$E$367,"Winter clothing – children",Assistance_Log!$B$5:$B$367,"&gt;="&amp;Households!F11))</f>
        <v>0</v>
      </c>
      <c r="U11" s="24">
        <f t="shared" si="5"/>
        <v>5</v>
      </c>
      <c r="V11" s="24">
        <f>IF($A11="","",Households!T11*Settings!$B$14)</f>
        <v>1</v>
      </c>
      <c r="W11" s="24">
        <f>IF($A11="","",SUMIFS(Assistance_Log!$F$5:$F$367,Assistance_Log!$C$5:$C$367,$A11,Assistance_Log!$E$5:$E$367,"Winter clothing – adults",Assistance_Log!$B$5:$B$367,"&gt;="&amp;Households!F11))</f>
        <v>0</v>
      </c>
      <c r="X11" s="24">
        <f t="shared" si="6"/>
        <v>1</v>
      </c>
      <c r="Y11" s="24">
        <f>IF($A11="","",Households!J11*Settings!$B$15)</f>
        <v>4</v>
      </c>
      <c r="Z11" s="24">
        <f>IF($A11="","",SUMIFS(Assistance_Log!$F$5:$F$367,Assistance_Log!$C$5:$C$367,$A11,Assistance_Log!$E$5:$E$367,"Diapers",Assistance_Log!$B$5:$B$367,"&gt;="&amp;Households!F11))</f>
        <v>0</v>
      </c>
      <c r="AA11" s="24">
        <f t="shared" si="7"/>
        <v>4</v>
      </c>
      <c r="AB11" s="24">
        <f>IF($A11="","",Settings!$B$16)</f>
        <v>1</v>
      </c>
      <c r="AC11" s="24">
        <f>IF($A11="","",SUMIFS(Assistance_Log!$F$5:$F$367,Assistance_Log!$C$5:$C$367,$A11,Assistance_Log!$E$5:$E$367,"Family hygiene kits",Assistance_Log!$B$5:$B$367,"&gt;="&amp;Households!F11))</f>
        <v>0</v>
      </c>
      <c r="AD11" s="24">
        <f t="shared" si="8"/>
        <v>1</v>
      </c>
      <c r="AE11" s="24">
        <f>IF($A11="","",Households!N11*Settings!$B$17)</f>
        <v>1</v>
      </c>
      <c r="AF11" s="24">
        <f>IF($A11="","",SUMIFS(Assistance_Log!$F$5:$F$367,Assistance_Log!$C$5:$C$367,$A11,Assistance_Log!$E$5:$E$367,"Menstrual hygiene kits",Assistance_Log!$B$5:$B$367,"&gt;="&amp;Households!F11))</f>
        <v>1</v>
      </c>
      <c r="AG11" s="24">
        <f t="shared" si="9"/>
        <v>0</v>
      </c>
      <c r="AH11" s="25" t="str">
        <f t="shared" si="10"/>
        <v>Yes</v>
      </c>
      <c r="AI11" s="24">
        <f t="shared" si="11"/>
        <v>5</v>
      </c>
    </row>
    <row r="12" spans="1:35" x14ac:dyDescent="0.3">
      <c r="A12" s="24" t="str">
        <f>IF(Households!A12="","",Households!A12)</f>
        <v>HH-008</v>
      </c>
      <c r="B12" s="24" t="str">
        <f>IF($A12="","",Households!B12)</f>
        <v>Site A – School Shelter</v>
      </c>
      <c r="C12" s="24" t="str">
        <f>IF($A12="","",Households!X12)</f>
        <v>Medium</v>
      </c>
      <c r="D12" s="24">
        <f>IF($A12="","",MAX(0,Households!H12*Settings!$B$9-Households!Q12))</f>
        <v>8</v>
      </c>
      <c r="E12" s="24">
        <f>IF($A12="","",SUMIFS(Assistance_Log!$F$5:$F$367,Assistance_Log!$C$5:$C$367,$A12,Assistance_Log!$E$5:$E$367,"Blankets",Assistance_Log!$B$5:$B$367,"&gt;="&amp;Households!F12))</f>
        <v>0</v>
      </c>
      <c r="F12" s="25">
        <f t="shared" si="0"/>
        <v>8</v>
      </c>
      <c r="G12" s="24">
        <f>IF($A12="","",MAX(0,Households!H12*Settings!$B$10-Households!R12))</f>
        <v>3</v>
      </c>
      <c r="H12" s="24">
        <f>IF($A12="","",SUMIFS(Assistance_Log!$F$5:$F$367,Assistance_Log!$C$5:$C$367,$A12,Assistance_Log!$E$5:$E$367,"Mattresses",Assistance_Log!$B$5:$B$367,"&gt;="&amp;Households!F12))</f>
        <v>0</v>
      </c>
      <c r="I12" s="25">
        <f t="shared" si="1"/>
        <v>3</v>
      </c>
      <c r="J12" s="24">
        <f>IF($A12="","",IF(AND(OR(Households!C12="Tent",Households!C12="Makeshift shelter"),Households!D12="Damaged"),Settings!$B$11,0))</f>
        <v>0</v>
      </c>
      <c r="K12" s="24">
        <f>IF($A12="","",SUMIFS(Assistance_Log!$F$5:$F$367,Assistance_Log!$C$5:$C$367,$A12,Assistance_Log!$E$5:$E$367,"Tarpaulins",Assistance_Log!$B$5:$B$367,"&gt;="&amp;Households!F12))</f>
        <v>0</v>
      </c>
      <c r="L12" s="25">
        <f t="shared" si="2"/>
        <v>0</v>
      </c>
      <c r="M12" s="24">
        <f>IF($A12="","",IF(AND(OR(Households!C12="Tent",Households!C12="Makeshift shelter"),Households!D12="Unusable"),Settings!$B$12,0))</f>
        <v>0</v>
      </c>
      <c r="N12" s="24">
        <f>IF($A12="","",SUMIFS(Assistance_Log!$F$5:$F$367,Assistance_Log!$C$5:$C$367,$A12,Assistance_Log!$E$5:$E$367,"Tent replacement",Assistance_Log!$B$5:$B$367,"&gt;="&amp;Households!F12))</f>
        <v>0</v>
      </c>
      <c r="O12" s="25">
        <f t="shared" si="3"/>
        <v>0</v>
      </c>
      <c r="P12" s="24">
        <f>IF($A12="","",IF(Households!D12="Damaged",Settings!$B$13,0))</f>
        <v>0</v>
      </c>
      <c r="Q12" s="24">
        <f>IF($A12="","",SUMIFS(Assistance_Log!$F$5:$F$367,Assistance_Log!$C$5:$C$367,$A12,Assistance_Log!$E$5:$E$367,"Shelter repair kits",Assistance_Log!$B$5:$B$367,"&gt;="&amp;Households!F12))</f>
        <v>0</v>
      </c>
      <c r="R12" s="24">
        <f t="shared" si="4"/>
        <v>0</v>
      </c>
      <c r="S12" s="24">
        <f>IF($A12="","",Households!S12*Settings!$B$14)</f>
        <v>4</v>
      </c>
      <c r="T12" s="24">
        <f>IF($A12="","",SUMIFS(Assistance_Log!$F$5:$F$367,Assistance_Log!$C$5:$C$367,$A12,Assistance_Log!$E$5:$E$367,"Winter clothing – children",Assistance_Log!$B$5:$B$367,"&gt;="&amp;Households!F12))</f>
        <v>4</v>
      </c>
      <c r="U12" s="24">
        <f t="shared" si="5"/>
        <v>0</v>
      </c>
      <c r="V12" s="24">
        <f>IF($A12="","",Households!T12*Settings!$B$14)</f>
        <v>0</v>
      </c>
      <c r="W12" s="24">
        <f>IF($A12="","",SUMIFS(Assistance_Log!$F$5:$F$367,Assistance_Log!$C$5:$C$367,$A12,Assistance_Log!$E$5:$E$367,"Winter clothing – adults",Assistance_Log!$B$5:$B$367,"&gt;="&amp;Households!F12))</f>
        <v>0</v>
      </c>
      <c r="X12" s="24">
        <f t="shared" si="6"/>
        <v>0</v>
      </c>
      <c r="Y12" s="24">
        <f>IF($A12="","",Households!J12*Settings!$B$15)</f>
        <v>4</v>
      </c>
      <c r="Z12" s="24">
        <f>IF($A12="","",SUMIFS(Assistance_Log!$F$5:$F$367,Assistance_Log!$C$5:$C$367,$A12,Assistance_Log!$E$5:$E$367,"Diapers",Assistance_Log!$B$5:$B$367,"&gt;="&amp;Households!F12))</f>
        <v>0</v>
      </c>
      <c r="AA12" s="24">
        <f t="shared" si="7"/>
        <v>4</v>
      </c>
      <c r="AB12" s="24">
        <f>IF($A12="","",Settings!$B$16)</f>
        <v>1</v>
      </c>
      <c r="AC12" s="24">
        <f>IF($A12="","",SUMIFS(Assistance_Log!$F$5:$F$367,Assistance_Log!$C$5:$C$367,$A12,Assistance_Log!$E$5:$E$367,"Family hygiene kits",Assistance_Log!$B$5:$B$367,"&gt;="&amp;Households!F12))</f>
        <v>1</v>
      </c>
      <c r="AD12" s="24">
        <f t="shared" si="8"/>
        <v>0</v>
      </c>
      <c r="AE12" s="24">
        <f>IF($A12="","",Households!N12*Settings!$B$17)</f>
        <v>1</v>
      </c>
      <c r="AF12" s="24">
        <f>IF($A12="","",SUMIFS(Assistance_Log!$F$5:$F$367,Assistance_Log!$C$5:$C$367,$A12,Assistance_Log!$E$5:$E$367,"Menstrual hygiene kits",Assistance_Log!$B$5:$B$367,"&gt;="&amp;Households!F12))</f>
        <v>0</v>
      </c>
      <c r="AG12" s="24">
        <f t="shared" si="9"/>
        <v>1</v>
      </c>
      <c r="AH12" s="25" t="str">
        <f t="shared" si="10"/>
        <v>Yes</v>
      </c>
      <c r="AI12" s="24">
        <f t="shared" si="11"/>
        <v>4</v>
      </c>
    </row>
    <row r="13" spans="1:35" x14ac:dyDescent="0.3">
      <c r="A13" s="24" t="str">
        <f>IF(Households!A13="","",Households!A13)</f>
        <v>HH-009</v>
      </c>
      <c r="B13" s="24" t="str">
        <f>IF($A13="","",Households!B13)</f>
        <v>Site A – School Shelter</v>
      </c>
      <c r="C13" s="24" t="str">
        <f>IF($A13="","",Households!X13)</f>
        <v>Low</v>
      </c>
      <c r="D13" s="24">
        <f>IF($A13="","",MAX(0,Households!H13*Settings!$B$9-Households!Q13))</f>
        <v>13</v>
      </c>
      <c r="E13" s="24">
        <f>IF($A13="","",SUMIFS(Assistance_Log!$F$5:$F$367,Assistance_Log!$C$5:$C$367,$A13,Assistance_Log!$E$5:$E$367,"Blankets",Assistance_Log!$B$5:$B$367,"&gt;="&amp;Households!F13))</f>
        <v>0</v>
      </c>
      <c r="F13" s="25">
        <f t="shared" si="0"/>
        <v>13</v>
      </c>
      <c r="G13" s="24">
        <f>IF($A13="","",MAX(0,Households!H13*Settings!$B$10-Households!R13))</f>
        <v>0</v>
      </c>
      <c r="H13" s="24">
        <f>IF($A13="","",SUMIFS(Assistance_Log!$F$5:$F$367,Assistance_Log!$C$5:$C$367,$A13,Assistance_Log!$E$5:$E$367,"Mattresses",Assistance_Log!$B$5:$B$367,"&gt;="&amp;Households!F13))</f>
        <v>0</v>
      </c>
      <c r="I13" s="25">
        <f t="shared" si="1"/>
        <v>0</v>
      </c>
      <c r="J13" s="24">
        <f>IF($A13="","",IF(AND(OR(Households!C13="Tent",Households!C13="Makeshift shelter"),Households!D13="Damaged"),Settings!$B$11,0))</f>
        <v>0</v>
      </c>
      <c r="K13" s="24">
        <f>IF($A13="","",SUMIFS(Assistance_Log!$F$5:$F$367,Assistance_Log!$C$5:$C$367,$A13,Assistance_Log!$E$5:$E$367,"Tarpaulins",Assistance_Log!$B$5:$B$367,"&gt;="&amp;Households!F13))</f>
        <v>0</v>
      </c>
      <c r="L13" s="25">
        <f t="shared" si="2"/>
        <v>0</v>
      </c>
      <c r="M13" s="24">
        <f>IF($A13="","",IF(AND(OR(Households!C13="Tent",Households!C13="Makeshift shelter"),Households!D13="Unusable"),Settings!$B$12,0))</f>
        <v>0</v>
      </c>
      <c r="N13" s="24">
        <f>IF($A13="","",SUMIFS(Assistance_Log!$F$5:$F$367,Assistance_Log!$C$5:$C$367,$A13,Assistance_Log!$E$5:$E$367,"Tent replacement",Assistance_Log!$B$5:$B$367,"&gt;="&amp;Households!F13))</f>
        <v>0</v>
      </c>
      <c r="O13" s="25">
        <f t="shared" si="3"/>
        <v>0</v>
      </c>
      <c r="P13" s="24">
        <f>IF($A13="","",IF(Households!D13="Damaged",Settings!$B$13,0))</f>
        <v>0</v>
      </c>
      <c r="Q13" s="24">
        <f>IF($A13="","",SUMIFS(Assistance_Log!$F$5:$F$367,Assistance_Log!$C$5:$C$367,$A13,Assistance_Log!$E$5:$E$367,"Shelter repair kits",Assistance_Log!$B$5:$B$367,"&gt;="&amp;Households!F13))</f>
        <v>0</v>
      </c>
      <c r="R13" s="24">
        <f t="shared" si="4"/>
        <v>0</v>
      </c>
      <c r="S13" s="24">
        <f>IF($A13="","",Households!S13*Settings!$B$14)</f>
        <v>4</v>
      </c>
      <c r="T13" s="24">
        <f>IF($A13="","",SUMIFS(Assistance_Log!$F$5:$F$367,Assistance_Log!$C$5:$C$367,$A13,Assistance_Log!$E$5:$E$367,"Winter clothing – children",Assistance_Log!$B$5:$B$367,"&gt;="&amp;Households!F13))</f>
        <v>0</v>
      </c>
      <c r="U13" s="24">
        <f t="shared" si="5"/>
        <v>4</v>
      </c>
      <c r="V13" s="24">
        <f>IF($A13="","",Households!T13*Settings!$B$14)</f>
        <v>0</v>
      </c>
      <c r="W13" s="24">
        <f>IF($A13="","",SUMIFS(Assistance_Log!$F$5:$F$367,Assistance_Log!$C$5:$C$367,$A13,Assistance_Log!$E$5:$E$367,"Winter clothing – adults",Assistance_Log!$B$5:$B$367,"&gt;="&amp;Households!F13))</f>
        <v>0</v>
      </c>
      <c r="X13" s="24">
        <f t="shared" si="6"/>
        <v>0</v>
      </c>
      <c r="Y13" s="24">
        <f>IF($A13="","",Households!J13*Settings!$B$15)</f>
        <v>0</v>
      </c>
      <c r="Z13" s="24">
        <f>IF($A13="","",SUMIFS(Assistance_Log!$F$5:$F$367,Assistance_Log!$C$5:$C$367,$A13,Assistance_Log!$E$5:$E$367,"Diapers",Assistance_Log!$B$5:$B$367,"&gt;="&amp;Households!F13))</f>
        <v>0</v>
      </c>
      <c r="AA13" s="24">
        <f t="shared" si="7"/>
        <v>0</v>
      </c>
      <c r="AB13" s="24">
        <f>IF($A13="","",Settings!$B$16)</f>
        <v>1</v>
      </c>
      <c r="AC13" s="24">
        <f>IF($A13="","",SUMIFS(Assistance_Log!$F$5:$F$367,Assistance_Log!$C$5:$C$367,$A13,Assistance_Log!$E$5:$E$367,"Family hygiene kits",Assistance_Log!$B$5:$B$367,"&gt;="&amp;Households!F13))</f>
        <v>1</v>
      </c>
      <c r="AD13" s="24">
        <f t="shared" si="8"/>
        <v>0</v>
      </c>
      <c r="AE13" s="24">
        <f>IF($A13="","",Households!N13*Settings!$B$17)</f>
        <v>2</v>
      </c>
      <c r="AF13" s="24">
        <f>IF($A13="","",SUMIFS(Assistance_Log!$F$5:$F$367,Assistance_Log!$C$5:$C$367,$A13,Assistance_Log!$E$5:$E$367,"Menstrual hygiene kits",Assistance_Log!$B$5:$B$367,"&gt;="&amp;Households!F13))</f>
        <v>0</v>
      </c>
      <c r="AG13" s="24">
        <f t="shared" si="9"/>
        <v>2</v>
      </c>
      <c r="AH13" s="25" t="str">
        <f t="shared" si="10"/>
        <v>Yes</v>
      </c>
      <c r="AI13" s="24">
        <f t="shared" si="11"/>
        <v>3</v>
      </c>
    </row>
    <row r="14" spans="1:35" x14ac:dyDescent="0.3">
      <c r="A14" s="24" t="str">
        <f>IF(Households!A14="","",Households!A14)</f>
        <v>HH-010</v>
      </c>
      <c r="B14" s="24" t="str">
        <f>IF($A14="","",Households!B14)</f>
        <v>Site A – School Shelter</v>
      </c>
      <c r="C14" s="24" t="str">
        <f>IF($A14="","",Households!X14)</f>
        <v>Medium</v>
      </c>
      <c r="D14" s="24">
        <f>IF($A14="","",MAX(0,Households!H14*Settings!$B$9-Households!Q14))</f>
        <v>18</v>
      </c>
      <c r="E14" s="24">
        <f>IF($A14="","",SUMIFS(Assistance_Log!$F$5:$F$367,Assistance_Log!$C$5:$C$367,$A14,Assistance_Log!$E$5:$E$367,"Blankets",Assistance_Log!$B$5:$B$367,"&gt;="&amp;Households!F14))</f>
        <v>0</v>
      </c>
      <c r="F14" s="25">
        <f t="shared" si="0"/>
        <v>18</v>
      </c>
      <c r="G14" s="24">
        <f>IF($A14="","",MAX(0,Households!H14*Settings!$B$10-Households!R14))</f>
        <v>3</v>
      </c>
      <c r="H14" s="24">
        <f>IF($A14="","",SUMIFS(Assistance_Log!$F$5:$F$367,Assistance_Log!$C$5:$C$367,$A14,Assistance_Log!$E$5:$E$367,"Mattresses",Assistance_Log!$B$5:$B$367,"&gt;="&amp;Households!F14))</f>
        <v>0</v>
      </c>
      <c r="I14" s="25">
        <f t="shared" si="1"/>
        <v>3</v>
      </c>
      <c r="J14" s="24">
        <f>IF($A14="","",IF(AND(OR(Households!C14="Tent",Households!C14="Makeshift shelter"),Households!D14="Damaged"),Settings!$B$11,0))</f>
        <v>0</v>
      </c>
      <c r="K14" s="24">
        <f>IF($A14="","",SUMIFS(Assistance_Log!$F$5:$F$367,Assistance_Log!$C$5:$C$367,$A14,Assistance_Log!$E$5:$E$367,"Tarpaulins",Assistance_Log!$B$5:$B$367,"&gt;="&amp;Households!F14))</f>
        <v>0</v>
      </c>
      <c r="L14" s="25">
        <f t="shared" si="2"/>
        <v>0</v>
      </c>
      <c r="M14" s="24">
        <f>IF($A14="","",IF(AND(OR(Households!C14="Tent",Households!C14="Makeshift shelter"),Households!D14="Unusable"),Settings!$B$12,0))</f>
        <v>0</v>
      </c>
      <c r="N14" s="24">
        <f>IF($A14="","",SUMIFS(Assistance_Log!$F$5:$F$367,Assistance_Log!$C$5:$C$367,$A14,Assistance_Log!$E$5:$E$367,"Tent replacement",Assistance_Log!$B$5:$B$367,"&gt;="&amp;Households!F14))</f>
        <v>0</v>
      </c>
      <c r="O14" s="25">
        <f t="shared" si="3"/>
        <v>0</v>
      </c>
      <c r="P14" s="24">
        <f>IF($A14="","",IF(Households!D14="Damaged",Settings!$B$13,0))</f>
        <v>0</v>
      </c>
      <c r="Q14" s="24">
        <f>IF($A14="","",SUMIFS(Assistance_Log!$F$5:$F$367,Assistance_Log!$C$5:$C$367,$A14,Assistance_Log!$E$5:$E$367,"Shelter repair kits",Assistance_Log!$B$5:$B$367,"&gt;="&amp;Households!F14))</f>
        <v>0</v>
      </c>
      <c r="R14" s="24">
        <f t="shared" si="4"/>
        <v>0</v>
      </c>
      <c r="S14" s="24">
        <f>IF($A14="","",Households!S14*Settings!$B$14)</f>
        <v>4</v>
      </c>
      <c r="T14" s="24">
        <f>IF($A14="","",SUMIFS(Assistance_Log!$F$5:$F$367,Assistance_Log!$C$5:$C$367,$A14,Assistance_Log!$E$5:$E$367,"Winter clothing – children",Assistance_Log!$B$5:$B$367,"&gt;="&amp;Households!F14))</f>
        <v>0</v>
      </c>
      <c r="U14" s="24">
        <f t="shared" si="5"/>
        <v>4</v>
      </c>
      <c r="V14" s="24">
        <f>IF($A14="","",Households!T14*Settings!$B$14)</f>
        <v>1</v>
      </c>
      <c r="W14" s="24">
        <f>IF($A14="","",SUMIFS(Assistance_Log!$F$5:$F$367,Assistance_Log!$C$5:$C$367,$A14,Assistance_Log!$E$5:$E$367,"Winter clothing – adults",Assistance_Log!$B$5:$B$367,"&gt;="&amp;Households!F14))</f>
        <v>0</v>
      </c>
      <c r="X14" s="24">
        <f t="shared" si="6"/>
        <v>1</v>
      </c>
      <c r="Y14" s="24">
        <f>IF($A14="","",Households!J14*Settings!$B$15)</f>
        <v>4</v>
      </c>
      <c r="Z14" s="24">
        <f>IF($A14="","",SUMIFS(Assistance_Log!$F$5:$F$367,Assistance_Log!$C$5:$C$367,$A14,Assistance_Log!$E$5:$E$367,"Diapers",Assistance_Log!$B$5:$B$367,"&gt;="&amp;Households!F14))</f>
        <v>4</v>
      </c>
      <c r="AA14" s="24">
        <f t="shared" si="7"/>
        <v>0</v>
      </c>
      <c r="AB14" s="24">
        <f>IF($A14="","",Settings!$B$16)</f>
        <v>1</v>
      </c>
      <c r="AC14" s="24">
        <f>IF($A14="","",SUMIFS(Assistance_Log!$F$5:$F$367,Assistance_Log!$C$5:$C$367,$A14,Assistance_Log!$E$5:$E$367,"Family hygiene kits",Assistance_Log!$B$5:$B$367,"&gt;="&amp;Households!F14))</f>
        <v>0</v>
      </c>
      <c r="AD14" s="24">
        <f t="shared" si="8"/>
        <v>1</v>
      </c>
      <c r="AE14" s="24">
        <f>IF($A14="","",Households!N14*Settings!$B$17)</f>
        <v>2</v>
      </c>
      <c r="AF14" s="24">
        <f>IF($A14="","",SUMIFS(Assistance_Log!$F$5:$F$367,Assistance_Log!$C$5:$C$367,$A14,Assistance_Log!$E$5:$E$367,"Menstrual hygiene kits",Assistance_Log!$B$5:$B$367,"&gt;="&amp;Households!F14))</f>
        <v>0</v>
      </c>
      <c r="AG14" s="24">
        <f t="shared" si="9"/>
        <v>2</v>
      </c>
      <c r="AH14" s="25" t="str">
        <f t="shared" si="10"/>
        <v>Yes</v>
      </c>
      <c r="AI14" s="24">
        <f t="shared" si="11"/>
        <v>6</v>
      </c>
    </row>
    <row r="15" spans="1:35" x14ac:dyDescent="0.3">
      <c r="A15" s="24" t="str">
        <f>IF(Households!A15="","",Households!A15)</f>
        <v>HH-011</v>
      </c>
      <c r="B15" s="24" t="str">
        <f>IF($A15="","",Households!B15)</f>
        <v>Site A – School Shelter</v>
      </c>
      <c r="C15" s="24" t="str">
        <f>IF($A15="","",Households!X15)</f>
        <v>Medium</v>
      </c>
      <c r="D15" s="24">
        <f>IF($A15="","",MAX(0,Households!H15*Settings!$B$9-Households!Q15))</f>
        <v>16</v>
      </c>
      <c r="E15" s="24">
        <f>IF($A15="","",SUMIFS(Assistance_Log!$F$5:$F$367,Assistance_Log!$C$5:$C$367,$A15,Assistance_Log!$E$5:$E$367,"Blankets",Assistance_Log!$B$5:$B$367,"&gt;="&amp;Households!F15))</f>
        <v>0</v>
      </c>
      <c r="F15" s="25">
        <f t="shared" si="0"/>
        <v>16</v>
      </c>
      <c r="G15" s="24">
        <f>IF($A15="","",MAX(0,Households!H15*Settings!$B$10-Households!R15))</f>
        <v>0</v>
      </c>
      <c r="H15" s="24">
        <f>IF($A15="","",SUMIFS(Assistance_Log!$F$5:$F$367,Assistance_Log!$C$5:$C$367,$A15,Assistance_Log!$E$5:$E$367,"Mattresses",Assistance_Log!$B$5:$B$367,"&gt;="&amp;Households!F15))</f>
        <v>0</v>
      </c>
      <c r="I15" s="25">
        <f t="shared" si="1"/>
        <v>0</v>
      </c>
      <c r="J15" s="24">
        <f>IF($A15="","",IF(AND(OR(Households!C15="Tent",Households!C15="Makeshift shelter"),Households!D15="Damaged"),Settings!$B$11,0))</f>
        <v>0</v>
      </c>
      <c r="K15" s="24">
        <f>IF($A15="","",SUMIFS(Assistance_Log!$F$5:$F$367,Assistance_Log!$C$5:$C$367,$A15,Assistance_Log!$E$5:$E$367,"Tarpaulins",Assistance_Log!$B$5:$B$367,"&gt;="&amp;Households!F15))</f>
        <v>0</v>
      </c>
      <c r="L15" s="25">
        <f t="shared" si="2"/>
        <v>0</v>
      </c>
      <c r="M15" s="24">
        <f>IF($A15="","",IF(AND(OR(Households!C15="Tent",Households!C15="Makeshift shelter"),Households!D15="Unusable"),Settings!$B$12,0))</f>
        <v>0</v>
      </c>
      <c r="N15" s="24">
        <f>IF($A15="","",SUMIFS(Assistance_Log!$F$5:$F$367,Assistance_Log!$C$5:$C$367,$A15,Assistance_Log!$E$5:$E$367,"Tent replacement",Assistance_Log!$B$5:$B$367,"&gt;="&amp;Households!F15))</f>
        <v>0</v>
      </c>
      <c r="O15" s="25">
        <f t="shared" si="3"/>
        <v>0</v>
      </c>
      <c r="P15" s="24">
        <f>IF($A15="","",IF(Households!D15="Damaged",Settings!$B$13,0))</f>
        <v>0</v>
      </c>
      <c r="Q15" s="24">
        <f>IF($A15="","",SUMIFS(Assistance_Log!$F$5:$F$367,Assistance_Log!$C$5:$C$367,$A15,Assistance_Log!$E$5:$E$367,"Shelter repair kits",Assistance_Log!$B$5:$B$367,"&gt;="&amp;Households!F15))</f>
        <v>0</v>
      </c>
      <c r="R15" s="24">
        <f t="shared" si="4"/>
        <v>0</v>
      </c>
      <c r="S15" s="24">
        <f>IF($A15="","",Households!S15*Settings!$B$14)</f>
        <v>0</v>
      </c>
      <c r="T15" s="24">
        <f>IF($A15="","",SUMIFS(Assistance_Log!$F$5:$F$367,Assistance_Log!$C$5:$C$367,$A15,Assistance_Log!$E$5:$E$367,"Winter clothing – children",Assistance_Log!$B$5:$B$367,"&gt;="&amp;Households!F15))</f>
        <v>0</v>
      </c>
      <c r="U15" s="24">
        <f t="shared" si="5"/>
        <v>0</v>
      </c>
      <c r="V15" s="24">
        <f>IF($A15="","",Households!T15*Settings!$B$14)</f>
        <v>2</v>
      </c>
      <c r="W15" s="24">
        <f>IF($A15="","",SUMIFS(Assistance_Log!$F$5:$F$367,Assistance_Log!$C$5:$C$367,$A15,Assistance_Log!$E$5:$E$367,"Winter clothing – adults",Assistance_Log!$B$5:$B$367,"&gt;="&amp;Households!F15))</f>
        <v>0</v>
      </c>
      <c r="X15" s="24">
        <f t="shared" si="6"/>
        <v>2</v>
      </c>
      <c r="Y15" s="24">
        <f>IF($A15="","",Households!J15*Settings!$B$15)</f>
        <v>0</v>
      </c>
      <c r="Z15" s="24">
        <f>IF($A15="","",SUMIFS(Assistance_Log!$F$5:$F$367,Assistance_Log!$C$5:$C$367,$A15,Assistance_Log!$E$5:$E$367,"Diapers",Assistance_Log!$B$5:$B$367,"&gt;="&amp;Households!F15))</f>
        <v>0</v>
      </c>
      <c r="AA15" s="24">
        <f t="shared" si="7"/>
        <v>0</v>
      </c>
      <c r="AB15" s="24">
        <f>IF($A15="","",Settings!$B$16)</f>
        <v>1</v>
      </c>
      <c r="AC15" s="24">
        <f>IF($A15="","",SUMIFS(Assistance_Log!$F$5:$F$367,Assistance_Log!$C$5:$C$367,$A15,Assistance_Log!$E$5:$E$367,"Family hygiene kits",Assistance_Log!$B$5:$B$367,"&gt;="&amp;Households!F15))</f>
        <v>0</v>
      </c>
      <c r="AD15" s="24">
        <f t="shared" si="8"/>
        <v>1</v>
      </c>
      <c r="AE15" s="24">
        <f>IF($A15="","",Households!N15*Settings!$B$17)</f>
        <v>1</v>
      </c>
      <c r="AF15" s="24">
        <f>IF($A15="","",SUMIFS(Assistance_Log!$F$5:$F$367,Assistance_Log!$C$5:$C$367,$A15,Assistance_Log!$E$5:$E$367,"Menstrual hygiene kits",Assistance_Log!$B$5:$B$367,"&gt;="&amp;Households!F15))</f>
        <v>0</v>
      </c>
      <c r="AG15" s="24">
        <f t="shared" si="9"/>
        <v>1</v>
      </c>
      <c r="AH15" s="25" t="str">
        <f t="shared" si="10"/>
        <v>Yes</v>
      </c>
      <c r="AI15" s="24">
        <f t="shared" si="11"/>
        <v>4</v>
      </c>
    </row>
    <row r="16" spans="1:35" x14ac:dyDescent="0.3">
      <c r="A16" s="24" t="str">
        <f>IF(Households!A16="","",Households!A16)</f>
        <v>HH-012</v>
      </c>
      <c r="B16" s="24" t="str">
        <f>IF($A16="","",Households!B16)</f>
        <v>Site A – School Shelter</v>
      </c>
      <c r="C16" s="24" t="str">
        <f>IF($A16="","",Households!X16)</f>
        <v>Medium</v>
      </c>
      <c r="D16" s="24">
        <f>IF($A16="","",MAX(0,Households!H16*Settings!$B$9-Households!Q16))</f>
        <v>1</v>
      </c>
      <c r="E16" s="24">
        <f>IF($A16="","",SUMIFS(Assistance_Log!$F$5:$F$367,Assistance_Log!$C$5:$C$367,$A16,Assistance_Log!$E$5:$E$367,"Blankets",Assistance_Log!$B$5:$B$367,"&gt;="&amp;Households!F16))</f>
        <v>0</v>
      </c>
      <c r="F16" s="25">
        <f t="shared" si="0"/>
        <v>1</v>
      </c>
      <c r="G16" s="24">
        <f>IF($A16="","",MAX(0,Households!H16*Settings!$B$10-Households!R16))</f>
        <v>4</v>
      </c>
      <c r="H16" s="24">
        <f>IF($A16="","",SUMIFS(Assistance_Log!$F$5:$F$367,Assistance_Log!$C$5:$C$367,$A16,Assistance_Log!$E$5:$E$367,"Mattresses",Assistance_Log!$B$5:$B$367,"&gt;="&amp;Households!F16))</f>
        <v>0</v>
      </c>
      <c r="I16" s="25">
        <f t="shared" si="1"/>
        <v>4</v>
      </c>
      <c r="J16" s="24">
        <f>IF($A16="","",IF(AND(OR(Households!C16="Tent",Households!C16="Makeshift shelter"),Households!D16="Damaged"),Settings!$B$11,0))</f>
        <v>0</v>
      </c>
      <c r="K16" s="24">
        <f>IF($A16="","",SUMIFS(Assistance_Log!$F$5:$F$367,Assistance_Log!$C$5:$C$367,$A16,Assistance_Log!$E$5:$E$367,"Tarpaulins",Assistance_Log!$B$5:$B$367,"&gt;="&amp;Households!F16))</f>
        <v>0</v>
      </c>
      <c r="L16" s="25">
        <f t="shared" si="2"/>
        <v>0</v>
      </c>
      <c r="M16" s="24">
        <f>IF($A16="","",IF(AND(OR(Households!C16="Tent",Households!C16="Makeshift shelter"),Households!D16="Unusable"),Settings!$B$12,0))</f>
        <v>0</v>
      </c>
      <c r="N16" s="24">
        <f>IF($A16="","",SUMIFS(Assistance_Log!$F$5:$F$367,Assistance_Log!$C$5:$C$367,$A16,Assistance_Log!$E$5:$E$367,"Tent replacement",Assistance_Log!$B$5:$B$367,"&gt;="&amp;Households!F16))</f>
        <v>0</v>
      </c>
      <c r="O16" s="25">
        <f t="shared" si="3"/>
        <v>0</v>
      </c>
      <c r="P16" s="24">
        <f>IF($A16="","",IF(Households!D16="Damaged",Settings!$B$13,0))</f>
        <v>0</v>
      </c>
      <c r="Q16" s="24">
        <f>IF($A16="","",SUMIFS(Assistance_Log!$F$5:$F$367,Assistance_Log!$C$5:$C$367,$A16,Assistance_Log!$E$5:$E$367,"Shelter repair kits",Assistance_Log!$B$5:$B$367,"&gt;="&amp;Households!F16))</f>
        <v>0</v>
      </c>
      <c r="R16" s="24">
        <f t="shared" si="4"/>
        <v>0</v>
      </c>
      <c r="S16" s="24">
        <f>IF($A16="","",Households!S16*Settings!$B$14)</f>
        <v>0</v>
      </c>
      <c r="T16" s="24">
        <f>IF($A16="","",SUMIFS(Assistance_Log!$F$5:$F$367,Assistance_Log!$C$5:$C$367,$A16,Assistance_Log!$E$5:$E$367,"Winter clothing – children",Assistance_Log!$B$5:$B$367,"&gt;="&amp;Households!F16))</f>
        <v>0</v>
      </c>
      <c r="U16" s="24">
        <f t="shared" si="5"/>
        <v>0</v>
      </c>
      <c r="V16" s="24">
        <f>IF($A16="","",Households!T16*Settings!$B$14)</f>
        <v>3</v>
      </c>
      <c r="W16" s="24">
        <f>IF($A16="","",SUMIFS(Assistance_Log!$F$5:$F$367,Assistance_Log!$C$5:$C$367,$A16,Assistance_Log!$E$5:$E$367,"Winter clothing – adults",Assistance_Log!$B$5:$B$367,"&gt;="&amp;Households!F16))</f>
        <v>3</v>
      </c>
      <c r="X16" s="24">
        <f t="shared" si="6"/>
        <v>0</v>
      </c>
      <c r="Y16" s="24">
        <f>IF($A16="","",Households!J16*Settings!$B$15)</f>
        <v>4</v>
      </c>
      <c r="Z16" s="24">
        <f>IF($A16="","",SUMIFS(Assistance_Log!$F$5:$F$367,Assistance_Log!$C$5:$C$367,$A16,Assistance_Log!$E$5:$E$367,"Diapers",Assistance_Log!$B$5:$B$367,"&gt;="&amp;Households!F16))</f>
        <v>0</v>
      </c>
      <c r="AA16" s="24">
        <f t="shared" si="7"/>
        <v>4</v>
      </c>
      <c r="AB16" s="24">
        <f>IF($A16="","",Settings!$B$16)</f>
        <v>1</v>
      </c>
      <c r="AC16" s="24">
        <f>IF($A16="","",SUMIFS(Assistance_Log!$F$5:$F$367,Assistance_Log!$C$5:$C$367,$A16,Assistance_Log!$E$5:$E$367,"Family hygiene kits",Assistance_Log!$B$5:$B$367,"&gt;="&amp;Households!F16))</f>
        <v>1</v>
      </c>
      <c r="AD16" s="24">
        <f t="shared" si="8"/>
        <v>0</v>
      </c>
      <c r="AE16" s="24">
        <f>IF($A16="","",Households!N16*Settings!$B$17)</f>
        <v>2</v>
      </c>
      <c r="AF16" s="24">
        <f>IF($A16="","",SUMIFS(Assistance_Log!$F$5:$F$367,Assistance_Log!$C$5:$C$367,$A16,Assistance_Log!$E$5:$E$367,"Menstrual hygiene kits",Assistance_Log!$B$5:$B$367,"&gt;="&amp;Households!F16))</f>
        <v>0</v>
      </c>
      <c r="AG16" s="24">
        <f t="shared" si="9"/>
        <v>2</v>
      </c>
      <c r="AH16" s="25" t="str">
        <f t="shared" si="10"/>
        <v>Yes</v>
      </c>
      <c r="AI16" s="24">
        <f t="shared" si="11"/>
        <v>4</v>
      </c>
    </row>
    <row r="17" spans="1:35" x14ac:dyDescent="0.3">
      <c r="A17" s="24" t="str">
        <f>IF(Households!A17="","",Households!A17)</f>
        <v>HH-013</v>
      </c>
      <c r="B17" s="24" t="str">
        <f>IF($A17="","",Households!B17)</f>
        <v>Site A – School Shelter</v>
      </c>
      <c r="C17" s="24" t="str">
        <f>IF($A17="","",Households!X17)</f>
        <v>Low</v>
      </c>
      <c r="D17" s="24">
        <f>IF($A17="","",MAX(0,Households!H17*Settings!$B$9-Households!Q17))</f>
        <v>15</v>
      </c>
      <c r="E17" s="24">
        <f>IF($A17="","",SUMIFS(Assistance_Log!$F$5:$F$367,Assistance_Log!$C$5:$C$367,$A17,Assistance_Log!$E$5:$E$367,"Blankets",Assistance_Log!$B$5:$B$367,"&gt;="&amp;Households!F17))</f>
        <v>15</v>
      </c>
      <c r="F17" s="25">
        <f t="shared" si="0"/>
        <v>0</v>
      </c>
      <c r="G17" s="24">
        <f>IF($A17="","",MAX(0,Households!H17*Settings!$B$10-Households!R17))</f>
        <v>2</v>
      </c>
      <c r="H17" s="24">
        <f>IF($A17="","",SUMIFS(Assistance_Log!$F$5:$F$367,Assistance_Log!$C$5:$C$367,$A17,Assistance_Log!$E$5:$E$367,"Mattresses",Assistance_Log!$B$5:$B$367,"&gt;="&amp;Households!F17))</f>
        <v>0</v>
      </c>
      <c r="I17" s="25">
        <f t="shared" si="1"/>
        <v>2</v>
      </c>
      <c r="J17" s="24">
        <f>IF($A17="","",IF(AND(OR(Households!C17="Tent",Households!C17="Makeshift shelter"),Households!D17="Damaged"),Settings!$B$11,0))</f>
        <v>0</v>
      </c>
      <c r="K17" s="24">
        <f>IF($A17="","",SUMIFS(Assistance_Log!$F$5:$F$367,Assistance_Log!$C$5:$C$367,$A17,Assistance_Log!$E$5:$E$367,"Tarpaulins",Assistance_Log!$B$5:$B$367,"&gt;="&amp;Households!F17))</f>
        <v>0</v>
      </c>
      <c r="L17" s="25">
        <f t="shared" si="2"/>
        <v>0</v>
      </c>
      <c r="M17" s="24">
        <f>IF($A17="","",IF(AND(OR(Households!C17="Tent",Households!C17="Makeshift shelter"),Households!D17="Unusable"),Settings!$B$12,0))</f>
        <v>0</v>
      </c>
      <c r="N17" s="24">
        <f>IF($A17="","",SUMIFS(Assistance_Log!$F$5:$F$367,Assistance_Log!$C$5:$C$367,$A17,Assistance_Log!$E$5:$E$367,"Tent replacement",Assistance_Log!$B$5:$B$367,"&gt;="&amp;Households!F17))</f>
        <v>0</v>
      </c>
      <c r="O17" s="25">
        <f t="shared" si="3"/>
        <v>0</v>
      </c>
      <c r="P17" s="24">
        <f>IF($A17="","",IF(Households!D17="Damaged",Settings!$B$13,0))</f>
        <v>0</v>
      </c>
      <c r="Q17" s="24">
        <f>IF($A17="","",SUMIFS(Assistance_Log!$F$5:$F$367,Assistance_Log!$C$5:$C$367,$A17,Assistance_Log!$E$5:$E$367,"Shelter repair kits",Assistance_Log!$B$5:$B$367,"&gt;="&amp;Households!F17))</f>
        <v>0</v>
      </c>
      <c r="R17" s="24">
        <f t="shared" si="4"/>
        <v>0</v>
      </c>
      <c r="S17" s="24">
        <f>IF($A17="","",Households!S17*Settings!$B$14)</f>
        <v>4</v>
      </c>
      <c r="T17" s="24">
        <f>IF($A17="","",SUMIFS(Assistance_Log!$F$5:$F$367,Assistance_Log!$C$5:$C$367,$A17,Assistance_Log!$E$5:$E$367,"Winter clothing – children",Assistance_Log!$B$5:$B$367,"&gt;="&amp;Households!F17))</f>
        <v>0</v>
      </c>
      <c r="U17" s="24">
        <f t="shared" si="5"/>
        <v>4</v>
      </c>
      <c r="V17" s="24">
        <f>IF($A17="","",Households!T17*Settings!$B$14)</f>
        <v>0</v>
      </c>
      <c r="W17" s="24">
        <f>IF($A17="","",SUMIFS(Assistance_Log!$F$5:$F$367,Assistance_Log!$C$5:$C$367,$A17,Assistance_Log!$E$5:$E$367,"Winter clothing – adults",Assistance_Log!$B$5:$B$367,"&gt;="&amp;Households!F17))</f>
        <v>0</v>
      </c>
      <c r="X17" s="24">
        <f t="shared" si="6"/>
        <v>0</v>
      </c>
      <c r="Y17" s="24">
        <f>IF($A17="","",Households!J17*Settings!$B$15)</f>
        <v>0</v>
      </c>
      <c r="Z17" s="24">
        <f>IF($A17="","",SUMIFS(Assistance_Log!$F$5:$F$367,Assistance_Log!$C$5:$C$367,$A17,Assistance_Log!$E$5:$E$367,"Diapers",Assistance_Log!$B$5:$B$367,"&gt;="&amp;Households!F17))</f>
        <v>0</v>
      </c>
      <c r="AA17" s="24">
        <f t="shared" si="7"/>
        <v>0</v>
      </c>
      <c r="AB17" s="24">
        <f>IF($A17="","",Settings!$B$16)</f>
        <v>1</v>
      </c>
      <c r="AC17" s="24">
        <f>IF($A17="","",SUMIFS(Assistance_Log!$F$5:$F$367,Assistance_Log!$C$5:$C$367,$A17,Assistance_Log!$E$5:$E$367,"Family hygiene kits",Assistance_Log!$B$5:$B$367,"&gt;="&amp;Households!F17))</f>
        <v>1</v>
      </c>
      <c r="AD17" s="24">
        <f t="shared" si="8"/>
        <v>0</v>
      </c>
      <c r="AE17" s="24">
        <f>IF($A17="","",Households!N17*Settings!$B$17)</f>
        <v>1</v>
      </c>
      <c r="AF17" s="24">
        <f>IF($A17="","",SUMIFS(Assistance_Log!$F$5:$F$367,Assistance_Log!$C$5:$C$367,$A17,Assistance_Log!$E$5:$E$367,"Menstrual hygiene kits",Assistance_Log!$B$5:$B$367,"&gt;="&amp;Households!F17))</f>
        <v>0</v>
      </c>
      <c r="AG17" s="24">
        <f t="shared" si="9"/>
        <v>1</v>
      </c>
      <c r="AH17" s="25" t="str">
        <f t="shared" si="10"/>
        <v>Yes</v>
      </c>
      <c r="AI17" s="24">
        <f t="shared" si="11"/>
        <v>3</v>
      </c>
    </row>
    <row r="18" spans="1:35" x14ac:dyDescent="0.3">
      <c r="A18" s="24" t="str">
        <f>IF(Households!A18="","",Households!A18)</f>
        <v>HH-014</v>
      </c>
      <c r="B18" s="24" t="str">
        <f>IF($A18="","",Households!B18)</f>
        <v>Site A – School Shelter</v>
      </c>
      <c r="C18" s="24" t="str">
        <f>IF($A18="","",Households!X18)</f>
        <v>High</v>
      </c>
      <c r="D18" s="24">
        <f>IF($A18="","",MAX(0,Households!H18*Settings!$B$9-Households!Q18))</f>
        <v>4</v>
      </c>
      <c r="E18" s="24">
        <f>IF($A18="","",SUMIFS(Assistance_Log!$F$5:$F$367,Assistance_Log!$C$5:$C$367,$A18,Assistance_Log!$E$5:$E$367,"Blankets",Assistance_Log!$B$5:$B$367,"&gt;="&amp;Households!F18))</f>
        <v>4</v>
      </c>
      <c r="F18" s="25">
        <f t="shared" si="0"/>
        <v>0</v>
      </c>
      <c r="G18" s="24">
        <f>IF($A18="","",MAX(0,Households!H18*Settings!$B$10-Households!R18))</f>
        <v>4</v>
      </c>
      <c r="H18" s="24">
        <f>IF($A18="","",SUMIFS(Assistance_Log!$F$5:$F$367,Assistance_Log!$C$5:$C$367,$A18,Assistance_Log!$E$5:$E$367,"Mattresses",Assistance_Log!$B$5:$B$367,"&gt;="&amp;Households!F18))</f>
        <v>0</v>
      </c>
      <c r="I18" s="25">
        <f t="shared" si="1"/>
        <v>4</v>
      </c>
      <c r="J18" s="24">
        <f>IF($A18="","",IF(AND(OR(Households!C18="Tent",Households!C18="Makeshift shelter"),Households!D18="Damaged"),Settings!$B$11,0))</f>
        <v>0</v>
      </c>
      <c r="K18" s="24">
        <f>IF($A18="","",SUMIFS(Assistance_Log!$F$5:$F$367,Assistance_Log!$C$5:$C$367,$A18,Assistance_Log!$E$5:$E$367,"Tarpaulins",Assistance_Log!$B$5:$B$367,"&gt;="&amp;Households!F18))</f>
        <v>0</v>
      </c>
      <c r="L18" s="25">
        <f t="shared" si="2"/>
        <v>0</v>
      </c>
      <c r="M18" s="24">
        <f>IF($A18="","",IF(AND(OR(Households!C18="Tent",Households!C18="Makeshift shelter"),Households!D18="Unusable"),Settings!$B$12,0))</f>
        <v>0</v>
      </c>
      <c r="N18" s="24">
        <f>IF($A18="","",SUMIFS(Assistance_Log!$F$5:$F$367,Assistance_Log!$C$5:$C$367,$A18,Assistance_Log!$E$5:$E$367,"Tent replacement",Assistance_Log!$B$5:$B$367,"&gt;="&amp;Households!F18))</f>
        <v>0</v>
      </c>
      <c r="O18" s="25">
        <f t="shared" si="3"/>
        <v>0</v>
      </c>
      <c r="P18" s="24">
        <f>IF($A18="","",IF(Households!D18="Damaged",Settings!$B$13,0))</f>
        <v>0</v>
      </c>
      <c r="Q18" s="24">
        <f>IF($A18="","",SUMIFS(Assistance_Log!$F$5:$F$367,Assistance_Log!$C$5:$C$367,$A18,Assistance_Log!$E$5:$E$367,"Shelter repair kits",Assistance_Log!$B$5:$B$367,"&gt;="&amp;Households!F18))</f>
        <v>0</v>
      </c>
      <c r="R18" s="24">
        <f t="shared" si="4"/>
        <v>0</v>
      </c>
      <c r="S18" s="24">
        <f>IF($A18="","",Households!S18*Settings!$B$14)</f>
        <v>1</v>
      </c>
      <c r="T18" s="24">
        <f>IF($A18="","",SUMIFS(Assistance_Log!$F$5:$F$367,Assistance_Log!$C$5:$C$367,$A18,Assistance_Log!$E$5:$E$367,"Winter clothing – children",Assistance_Log!$B$5:$B$367,"&gt;="&amp;Households!F18))</f>
        <v>1</v>
      </c>
      <c r="U18" s="24">
        <f t="shared" si="5"/>
        <v>0</v>
      </c>
      <c r="V18" s="24">
        <f>IF($A18="","",Households!T18*Settings!$B$14)</f>
        <v>1</v>
      </c>
      <c r="W18" s="24">
        <f>IF($A18="","",SUMIFS(Assistance_Log!$F$5:$F$367,Assistance_Log!$C$5:$C$367,$A18,Assistance_Log!$E$5:$E$367,"Winter clothing – adults",Assistance_Log!$B$5:$B$367,"&gt;="&amp;Households!F18))</f>
        <v>1</v>
      </c>
      <c r="X18" s="24">
        <f t="shared" si="6"/>
        <v>0</v>
      </c>
      <c r="Y18" s="24">
        <f>IF($A18="","",Households!J18*Settings!$B$15)</f>
        <v>4</v>
      </c>
      <c r="Z18" s="24">
        <f>IF($A18="","",SUMIFS(Assistance_Log!$F$5:$F$367,Assistance_Log!$C$5:$C$367,$A18,Assistance_Log!$E$5:$E$367,"Diapers",Assistance_Log!$B$5:$B$367,"&gt;="&amp;Households!F18))</f>
        <v>4</v>
      </c>
      <c r="AA18" s="24">
        <f t="shared" si="7"/>
        <v>0</v>
      </c>
      <c r="AB18" s="24">
        <f>IF($A18="","",Settings!$B$16)</f>
        <v>1</v>
      </c>
      <c r="AC18" s="24">
        <f>IF($A18="","",SUMIFS(Assistance_Log!$F$5:$F$367,Assistance_Log!$C$5:$C$367,$A18,Assistance_Log!$E$5:$E$367,"Family hygiene kits",Assistance_Log!$B$5:$B$367,"&gt;="&amp;Households!F18))</f>
        <v>1</v>
      </c>
      <c r="AD18" s="24">
        <f t="shared" si="8"/>
        <v>0</v>
      </c>
      <c r="AE18" s="24">
        <f>IF($A18="","",Households!N18*Settings!$B$17)</f>
        <v>2</v>
      </c>
      <c r="AF18" s="24">
        <f>IF($A18="","",SUMIFS(Assistance_Log!$F$5:$F$367,Assistance_Log!$C$5:$C$367,$A18,Assistance_Log!$E$5:$E$367,"Menstrual hygiene kits",Assistance_Log!$B$5:$B$367,"&gt;="&amp;Households!F18))</f>
        <v>0</v>
      </c>
      <c r="AG18" s="24">
        <f t="shared" si="9"/>
        <v>2</v>
      </c>
      <c r="AH18" s="25" t="str">
        <f t="shared" si="10"/>
        <v>Yes</v>
      </c>
      <c r="AI18" s="24">
        <f t="shared" si="11"/>
        <v>2</v>
      </c>
    </row>
    <row r="19" spans="1:35" x14ac:dyDescent="0.3">
      <c r="A19" s="24" t="str">
        <f>IF(Households!A19="","",Households!A19)</f>
        <v>HH-015</v>
      </c>
      <c r="B19" s="24" t="str">
        <f>IF($A19="","",Households!B19)</f>
        <v>Site A – School Shelter</v>
      </c>
      <c r="C19" s="24" t="str">
        <f>IF($A19="","",Households!X19)</f>
        <v>Medium</v>
      </c>
      <c r="D19" s="24">
        <f>IF($A19="","",MAX(0,Households!H19*Settings!$B$9-Households!Q19))</f>
        <v>5</v>
      </c>
      <c r="E19" s="24">
        <f>IF($A19="","",SUMIFS(Assistance_Log!$F$5:$F$367,Assistance_Log!$C$5:$C$367,$A19,Assistance_Log!$E$5:$E$367,"Blankets",Assistance_Log!$B$5:$B$367,"&gt;="&amp;Households!F19))</f>
        <v>5</v>
      </c>
      <c r="F19" s="25">
        <f t="shared" si="0"/>
        <v>0</v>
      </c>
      <c r="G19" s="24">
        <f>IF($A19="","",MAX(0,Households!H19*Settings!$B$10-Households!R19))</f>
        <v>1</v>
      </c>
      <c r="H19" s="24">
        <f>IF($A19="","",SUMIFS(Assistance_Log!$F$5:$F$367,Assistance_Log!$C$5:$C$367,$A19,Assistance_Log!$E$5:$E$367,"Mattresses",Assistance_Log!$B$5:$B$367,"&gt;="&amp;Households!F19))</f>
        <v>1</v>
      </c>
      <c r="I19" s="25">
        <f t="shared" si="1"/>
        <v>0</v>
      </c>
      <c r="J19" s="24">
        <f>IF($A19="","",IF(AND(OR(Households!C19="Tent",Households!C19="Makeshift shelter"),Households!D19="Damaged"),Settings!$B$11,0))</f>
        <v>0</v>
      </c>
      <c r="K19" s="24">
        <f>IF($A19="","",SUMIFS(Assistance_Log!$F$5:$F$367,Assistance_Log!$C$5:$C$367,$A19,Assistance_Log!$E$5:$E$367,"Tarpaulins",Assistance_Log!$B$5:$B$367,"&gt;="&amp;Households!F19))</f>
        <v>0</v>
      </c>
      <c r="L19" s="25">
        <f t="shared" si="2"/>
        <v>0</v>
      </c>
      <c r="M19" s="24">
        <f>IF($A19="","",IF(AND(OR(Households!C19="Tent",Households!C19="Makeshift shelter"),Households!D19="Unusable"),Settings!$B$12,0))</f>
        <v>0</v>
      </c>
      <c r="N19" s="24">
        <f>IF($A19="","",SUMIFS(Assistance_Log!$F$5:$F$367,Assistance_Log!$C$5:$C$367,$A19,Assistance_Log!$E$5:$E$367,"Tent replacement",Assistance_Log!$B$5:$B$367,"&gt;="&amp;Households!F19))</f>
        <v>0</v>
      </c>
      <c r="O19" s="25">
        <f t="shared" si="3"/>
        <v>0</v>
      </c>
      <c r="P19" s="24">
        <f>IF($A19="","",IF(Households!D19="Damaged",Settings!$B$13,0))</f>
        <v>0</v>
      </c>
      <c r="Q19" s="24">
        <f>IF($A19="","",SUMIFS(Assistance_Log!$F$5:$F$367,Assistance_Log!$C$5:$C$367,$A19,Assistance_Log!$E$5:$E$367,"Shelter repair kits",Assistance_Log!$B$5:$B$367,"&gt;="&amp;Households!F19))</f>
        <v>0</v>
      </c>
      <c r="R19" s="24">
        <f t="shared" si="4"/>
        <v>0</v>
      </c>
      <c r="S19" s="24">
        <f>IF($A19="","",Households!S19*Settings!$B$14)</f>
        <v>2</v>
      </c>
      <c r="T19" s="24">
        <f>IF($A19="","",SUMIFS(Assistance_Log!$F$5:$F$367,Assistance_Log!$C$5:$C$367,$A19,Assistance_Log!$E$5:$E$367,"Winter clothing – children",Assistance_Log!$B$5:$B$367,"&gt;="&amp;Households!F19))</f>
        <v>0</v>
      </c>
      <c r="U19" s="24">
        <f t="shared" si="5"/>
        <v>2</v>
      </c>
      <c r="V19" s="24">
        <f>IF($A19="","",Households!T19*Settings!$B$14)</f>
        <v>2</v>
      </c>
      <c r="W19" s="24">
        <f>IF($A19="","",SUMIFS(Assistance_Log!$F$5:$F$367,Assistance_Log!$C$5:$C$367,$A19,Assistance_Log!$E$5:$E$367,"Winter clothing – adults",Assistance_Log!$B$5:$B$367,"&gt;="&amp;Households!F19))</f>
        <v>0</v>
      </c>
      <c r="X19" s="24">
        <f t="shared" si="6"/>
        <v>2</v>
      </c>
      <c r="Y19" s="24">
        <f>IF($A19="","",Households!J19*Settings!$B$15)</f>
        <v>4</v>
      </c>
      <c r="Z19" s="24">
        <f>IF($A19="","",SUMIFS(Assistance_Log!$F$5:$F$367,Assistance_Log!$C$5:$C$367,$A19,Assistance_Log!$E$5:$E$367,"Diapers",Assistance_Log!$B$5:$B$367,"&gt;="&amp;Households!F19))</f>
        <v>0</v>
      </c>
      <c r="AA19" s="24">
        <f t="shared" si="7"/>
        <v>4</v>
      </c>
      <c r="AB19" s="24">
        <f>IF($A19="","",Settings!$B$16)</f>
        <v>1</v>
      </c>
      <c r="AC19" s="24">
        <f>IF($A19="","",SUMIFS(Assistance_Log!$F$5:$F$367,Assistance_Log!$C$5:$C$367,$A19,Assistance_Log!$E$5:$E$367,"Family hygiene kits",Assistance_Log!$B$5:$B$367,"&gt;="&amp;Households!F19))</f>
        <v>0</v>
      </c>
      <c r="AD19" s="24">
        <f t="shared" si="8"/>
        <v>1</v>
      </c>
      <c r="AE19" s="24">
        <f>IF($A19="","",Households!N19*Settings!$B$17)</f>
        <v>1</v>
      </c>
      <c r="AF19" s="24">
        <f>IF($A19="","",SUMIFS(Assistance_Log!$F$5:$F$367,Assistance_Log!$C$5:$C$367,$A19,Assistance_Log!$E$5:$E$367,"Menstrual hygiene kits",Assistance_Log!$B$5:$B$367,"&gt;="&amp;Households!F19))</f>
        <v>0</v>
      </c>
      <c r="AG19" s="24">
        <f t="shared" si="9"/>
        <v>1</v>
      </c>
      <c r="AH19" s="25" t="str">
        <f t="shared" si="10"/>
        <v>Yes</v>
      </c>
      <c r="AI19" s="24">
        <f t="shared" si="11"/>
        <v>5</v>
      </c>
    </row>
    <row r="20" spans="1:35" x14ac:dyDescent="0.3">
      <c r="A20" s="24" t="str">
        <f>IF(Households!A20="","",Households!A20)</f>
        <v>HH-016</v>
      </c>
      <c r="B20" s="24" t="str">
        <f>IF($A20="","",Households!B20)</f>
        <v>Site A – School Shelter</v>
      </c>
      <c r="C20" s="24" t="str">
        <f>IF($A20="","",Households!X20)</f>
        <v>Low</v>
      </c>
      <c r="D20" s="24">
        <f>IF($A20="","",MAX(0,Households!H20*Settings!$B$9-Households!Q20))</f>
        <v>4</v>
      </c>
      <c r="E20" s="24">
        <f>IF($A20="","",SUMIFS(Assistance_Log!$F$5:$F$367,Assistance_Log!$C$5:$C$367,$A20,Assistance_Log!$E$5:$E$367,"Blankets",Assistance_Log!$B$5:$B$367,"&gt;="&amp;Households!F20))</f>
        <v>3</v>
      </c>
      <c r="F20" s="25">
        <f t="shared" si="0"/>
        <v>1</v>
      </c>
      <c r="G20" s="24">
        <f>IF($A20="","",MAX(0,Households!H20*Settings!$B$10-Households!R20))</f>
        <v>4</v>
      </c>
      <c r="H20" s="24">
        <f>IF($A20="","",SUMIFS(Assistance_Log!$F$5:$F$367,Assistance_Log!$C$5:$C$367,$A20,Assistance_Log!$E$5:$E$367,"Mattresses",Assistance_Log!$B$5:$B$367,"&gt;="&amp;Households!F20))</f>
        <v>0</v>
      </c>
      <c r="I20" s="25">
        <f t="shared" si="1"/>
        <v>4</v>
      </c>
      <c r="J20" s="24">
        <f>IF($A20="","",IF(AND(OR(Households!C20="Tent",Households!C20="Makeshift shelter"),Households!D20="Damaged"),Settings!$B$11,0))</f>
        <v>0</v>
      </c>
      <c r="K20" s="24">
        <f>IF($A20="","",SUMIFS(Assistance_Log!$F$5:$F$367,Assistance_Log!$C$5:$C$367,$A20,Assistance_Log!$E$5:$E$367,"Tarpaulins",Assistance_Log!$B$5:$B$367,"&gt;="&amp;Households!F20))</f>
        <v>0</v>
      </c>
      <c r="L20" s="25">
        <f t="shared" si="2"/>
        <v>0</v>
      </c>
      <c r="M20" s="24">
        <f>IF($A20="","",IF(AND(OR(Households!C20="Tent",Households!C20="Makeshift shelter"),Households!D20="Unusable"),Settings!$B$12,0))</f>
        <v>0</v>
      </c>
      <c r="N20" s="24">
        <f>IF($A20="","",SUMIFS(Assistance_Log!$F$5:$F$367,Assistance_Log!$C$5:$C$367,$A20,Assistance_Log!$E$5:$E$367,"Tent replacement",Assistance_Log!$B$5:$B$367,"&gt;="&amp;Households!F20))</f>
        <v>0</v>
      </c>
      <c r="O20" s="25">
        <f t="shared" si="3"/>
        <v>0</v>
      </c>
      <c r="P20" s="24">
        <f>IF($A20="","",IF(Households!D20="Damaged",Settings!$B$13,0))</f>
        <v>0</v>
      </c>
      <c r="Q20" s="24">
        <f>IF($A20="","",SUMIFS(Assistance_Log!$F$5:$F$367,Assistance_Log!$C$5:$C$367,$A20,Assistance_Log!$E$5:$E$367,"Shelter repair kits",Assistance_Log!$B$5:$B$367,"&gt;="&amp;Households!F20))</f>
        <v>0</v>
      </c>
      <c r="R20" s="24">
        <f t="shared" si="4"/>
        <v>0</v>
      </c>
      <c r="S20" s="24">
        <f>IF($A20="","",Households!S20*Settings!$B$14)</f>
        <v>3</v>
      </c>
      <c r="T20" s="24">
        <f>IF($A20="","",SUMIFS(Assistance_Log!$F$5:$F$367,Assistance_Log!$C$5:$C$367,$A20,Assistance_Log!$E$5:$E$367,"Winter clothing – children",Assistance_Log!$B$5:$B$367,"&gt;="&amp;Households!F20))</f>
        <v>0</v>
      </c>
      <c r="U20" s="24">
        <f t="shared" si="5"/>
        <v>3</v>
      </c>
      <c r="V20" s="24">
        <f>IF($A20="","",Households!T20*Settings!$B$14)</f>
        <v>3</v>
      </c>
      <c r="W20" s="24">
        <f>IF($A20="","",SUMIFS(Assistance_Log!$F$5:$F$367,Assistance_Log!$C$5:$C$367,$A20,Assistance_Log!$E$5:$E$367,"Winter clothing – adults",Assistance_Log!$B$5:$B$367,"&gt;="&amp;Households!F20))</f>
        <v>0</v>
      </c>
      <c r="X20" s="24">
        <f t="shared" si="6"/>
        <v>3</v>
      </c>
      <c r="Y20" s="24">
        <f>IF($A20="","",Households!J20*Settings!$B$15)</f>
        <v>0</v>
      </c>
      <c r="Z20" s="24">
        <f>IF($A20="","",SUMIFS(Assistance_Log!$F$5:$F$367,Assistance_Log!$C$5:$C$367,$A20,Assistance_Log!$E$5:$E$367,"Diapers",Assistance_Log!$B$5:$B$367,"&gt;="&amp;Households!F20))</f>
        <v>0</v>
      </c>
      <c r="AA20" s="24">
        <f t="shared" si="7"/>
        <v>0</v>
      </c>
      <c r="AB20" s="24">
        <f>IF($A20="","",Settings!$B$16)</f>
        <v>1</v>
      </c>
      <c r="AC20" s="24">
        <f>IF($A20="","",SUMIFS(Assistance_Log!$F$5:$F$367,Assistance_Log!$C$5:$C$367,$A20,Assistance_Log!$E$5:$E$367,"Family hygiene kits",Assistance_Log!$B$5:$B$367,"&gt;="&amp;Households!F20))</f>
        <v>1</v>
      </c>
      <c r="AD20" s="24">
        <f t="shared" si="8"/>
        <v>0</v>
      </c>
      <c r="AE20" s="24">
        <f>IF($A20="","",Households!N20*Settings!$B$17)</f>
        <v>1</v>
      </c>
      <c r="AF20" s="24">
        <f>IF($A20="","",SUMIFS(Assistance_Log!$F$5:$F$367,Assistance_Log!$C$5:$C$367,$A20,Assistance_Log!$E$5:$E$367,"Menstrual hygiene kits",Assistance_Log!$B$5:$B$367,"&gt;="&amp;Households!F20))</f>
        <v>0</v>
      </c>
      <c r="AG20" s="24">
        <f t="shared" si="9"/>
        <v>1</v>
      </c>
      <c r="AH20" s="25" t="str">
        <f t="shared" si="10"/>
        <v>Yes</v>
      </c>
      <c r="AI20" s="24">
        <f t="shared" si="11"/>
        <v>5</v>
      </c>
    </row>
    <row r="21" spans="1:35" x14ac:dyDescent="0.3">
      <c r="A21" s="24" t="str">
        <f>IF(Households!A21="","",Households!A21)</f>
        <v>HH-017</v>
      </c>
      <c r="B21" s="24" t="str">
        <f>IF($A21="","",Households!B21)</f>
        <v>Site A – School Shelter</v>
      </c>
      <c r="C21" s="24" t="str">
        <f>IF($A21="","",Households!X21)</f>
        <v>Medium</v>
      </c>
      <c r="D21" s="24">
        <f>IF($A21="","",MAX(0,Households!H21*Settings!$B$9-Households!Q21))</f>
        <v>5</v>
      </c>
      <c r="E21" s="24">
        <f>IF($A21="","",SUMIFS(Assistance_Log!$F$5:$F$367,Assistance_Log!$C$5:$C$367,$A21,Assistance_Log!$E$5:$E$367,"Blankets",Assistance_Log!$B$5:$B$367,"&gt;="&amp;Households!F21))</f>
        <v>0</v>
      </c>
      <c r="F21" s="25">
        <f t="shared" si="0"/>
        <v>5</v>
      </c>
      <c r="G21" s="24">
        <f>IF($A21="","",MAX(0,Households!H21*Settings!$B$10-Households!R21))</f>
        <v>2</v>
      </c>
      <c r="H21" s="24">
        <f>IF($A21="","",SUMIFS(Assistance_Log!$F$5:$F$367,Assistance_Log!$C$5:$C$367,$A21,Assistance_Log!$E$5:$E$367,"Mattresses",Assistance_Log!$B$5:$B$367,"&gt;="&amp;Households!F21))</f>
        <v>0</v>
      </c>
      <c r="I21" s="25">
        <f t="shared" si="1"/>
        <v>2</v>
      </c>
      <c r="J21" s="24">
        <f>IF($A21="","",IF(AND(OR(Households!C21="Tent",Households!C21="Makeshift shelter"),Households!D21="Damaged"),Settings!$B$11,0))</f>
        <v>0</v>
      </c>
      <c r="K21" s="24">
        <f>IF($A21="","",SUMIFS(Assistance_Log!$F$5:$F$367,Assistance_Log!$C$5:$C$367,$A21,Assistance_Log!$E$5:$E$367,"Tarpaulins",Assistance_Log!$B$5:$B$367,"&gt;="&amp;Households!F21))</f>
        <v>0</v>
      </c>
      <c r="L21" s="25">
        <f t="shared" si="2"/>
        <v>0</v>
      </c>
      <c r="M21" s="24">
        <f>IF($A21="","",IF(AND(OR(Households!C21="Tent",Households!C21="Makeshift shelter"),Households!D21="Unusable"),Settings!$B$12,0))</f>
        <v>0</v>
      </c>
      <c r="N21" s="24">
        <f>IF($A21="","",SUMIFS(Assistance_Log!$F$5:$F$367,Assistance_Log!$C$5:$C$367,$A21,Assistance_Log!$E$5:$E$367,"Tent replacement",Assistance_Log!$B$5:$B$367,"&gt;="&amp;Households!F21))</f>
        <v>0</v>
      </c>
      <c r="O21" s="25">
        <f t="shared" si="3"/>
        <v>0</v>
      </c>
      <c r="P21" s="24">
        <f>IF($A21="","",IF(Households!D21="Damaged",Settings!$B$13,0))</f>
        <v>0</v>
      </c>
      <c r="Q21" s="24">
        <f>IF($A21="","",SUMIFS(Assistance_Log!$F$5:$F$367,Assistance_Log!$C$5:$C$367,$A21,Assistance_Log!$E$5:$E$367,"Shelter repair kits",Assistance_Log!$B$5:$B$367,"&gt;="&amp;Households!F21))</f>
        <v>0</v>
      </c>
      <c r="R21" s="24">
        <f t="shared" si="4"/>
        <v>0</v>
      </c>
      <c r="S21" s="24">
        <f>IF($A21="","",Households!S21*Settings!$B$14)</f>
        <v>3</v>
      </c>
      <c r="T21" s="24">
        <f>IF($A21="","",SUMIFS(Assistance_Log!$F$5:$F$367,Assistance_Log!$C$5:$C$367,$A21,Assistance_Log!$E$5:$E$367,"Winter clothing – children",Assistance_Log!$B$5:$B$367,"&gt;="&amp;Households!F21))</f>
        <v>0</v>
      </c>
      <c r="U21" s="24">
        <f t="shared" si="5"/>
        <v>3</v>
      </c>
      <c r="V21" s="24">
        <f>IF($A21="","",Households!T21*Settings!$B$14)</f>
        <v>2</v>
      </c>
      <c r="W21" s="24">
        <f>IF($A21="","",SUMIFS(Assistance_Log!$F$5:$F$367,Assistance_Log!$C$5:$C$367,$A21,Assistance_Log!$E$5:$E$367,"Winter clothing – adults",Assistance_Log!$B$5:$B$367,"&gt;="&amp;Households!F21))</f>
        <v>0</v>
      </c>
      <c r="X21" s="24">
        <f t="shared" si="6"/>
        <v>2</v>
      </c>
      <c r="Y21" s="24">
        <f>IF($A21="","",Households!J21*Settings!$B$15)</f>
        <v>4</v>
      </c>
      <c r="Z21" s="24">
        <f>IF($A21="","",SUMIFS(Assistance_Log!$F$5:$F$367,Assistance_Log!$C$5:$C$367,$A21,Assistance_Log!$E$5:$E$367,"Diapers",Assistance_Log!$B$5:$B$367,"&gt;="&amp;Households!F21))</f>
        <v>0</v>
      </c>
      <c r="AA21" s="24">
        <f t="shared" si="7"/>
        <v>4</v>
      </c>
      <c r="AB21" s="24">
        <f>IF($A21="","",Settings!$B$16)</f>
        <v>1</v>
      </c>
      <c r="AC21" s="24">
        <f>IF($A21="","",SUMIFS(Assistance_Log!$F$5:$F$367,Assistance_Log!$C$5:$C$367,$A21,Assistance_Log!$E$5:$E$367,"Family hygiene kits",Assistance_Log!$B$5:$B$367,"&gt;="&amp;Households!F21))</f>
        <v>0</v>
      </c>
      <c r="AD21" s="24">
        <f t="shared" si="8"/>
        <v>1</v>
      </c>
      <c r="AE21" s="24">
        <f>IF($A21="","",Households!N21*Settings!$B$17)</f>
        <v>1</v>
      </c>
      <c r="AF21" s="24">
        <f>IF($A21="","",SUMIFS(Assistance_Log!$F$5:$F$367,Assistance_Log!$C$5:$C$367,$A21,Assistance_Log!$E$5:$E$367,"Menstrual hygiene kits",Assistance_Log!$B$5:$B$367,"&gt;="&amp;Households!F21))</f>
        <v>0</v>
      </c>
      <c r="AG21" s="24">
        <f t="shared" si="9"/>
        <v>1</v>
      </c>
      <c r="AH21" s="25" t="str">
        <f t="shared" si="10"/>
        <v>Yes</v>
      </c>
      <c r="AI21" s="24">
        <f t="shared" si="11"/>
        <v>7</v>
      </c>
    </row>
    <row r="22" spans="1:35" x14ac:dyDescent="0.3">
      <c r="A22" s="24" t="str">
        <f>IF(Households!A22="","",Households!A22)</f>
        <v>HH-018</v>
      </c>
      <c r="B22" s="24" t="str">
        <f>IF($A22="","",Households!B22)</f>
        <v>Site A – School Shelter</v>
      </c>
      <c r="C22" s="24" t="str">
        <f>IF($A22="","",Households!X22)</f>
        <v>Low</v>
      </c>
      <c r="D22" s="24">
        <f>IF($A22="","",MAX(0,Households!H22*Settings!$B$9-Households!Q22))</f>
        <v>8</v>
      </c>
      <c r="E22" s="24">
        <f>IF($A22="","",SUMIFS(Assistance_Log!$F$5:$F$367,Assistance_Log!$C$5:$C$367,$A22,Assistance_Log!$E$5:$E$367,"Blankets",Assistance_Log!$B$5:$B$367,"&gt;="&amp;Households!F22))</f>
        <v>0</v>
      </c>
      <c r="F22" s="25">
        <f t="shared" si="0"/>
        <v>8</v>
      </c>
      <c r="G22" s="24">
        <f>IF($A22="","",MAX(0,Households!H22*Settings!$B$10-Households!R22))</f>
        <v>8</v>
      </c>
      <c r="H22" s="24">
        <f>IF($A22="","",SUMIFS(Assistance_Log!$F$5:$F$367,Assistance_Log!$C$5:$C$367,$A22,Assistance_Log!$E$5:$E$367,"Mattresses",Assistance_Log!$B$5:$B$367,"&gt;="&amp;Households!F22))</f>
        <v>8</v>
      </c>
      <c r="I22" s="25">
        <f t="shared" si="1"/>
        <v>0</v>
      </c>
      <c r="J22" s="24">
        <f>IF($A22="","",IF(AND(OR(Households!C22="Tent",Households!C22="Makeshift shelter"),Households!D22="Damaged"),Settings!$B$11,0))</f>
        <v>0</v>
      </c>
      <c r="K22" s="24">
        <f>IF($A22="","",SUMIFS(Assistance_Log!$F$5:$F$367,Assistance_Log!$C$5:$C$367,$A22,Assistance_Log!$E$5:$E$367,"Tarpaulins",Assistance_Log!$B$5:$B$367,"&gt;="&amp;Households!F22))</f>
        <v>0</v>
      </c>
      <c r="L22" s="25">
        <f t="shared" si="2"/>
        <v>0</v>
      </c>
      <c r="M22" s="24">
        <f>IF($A22="","",IF(AND(OR(Households!C22="Tent",Households!C22="Makeshift shelter"),Households!D22="Unusable"),Settings!$B$12,0))</f>
        <v>0</v>
      </c>
      <c r="N22" s="24">
        <f>IF($A22="","",SUMIFS(Assistance_Log!$F$5:$F$367,Assistance_Log!$C$5:$C$367,$A22,Assistance_Log!$E$5:$E$367,"Tent replacement",Assistance_Log!$B$5:$B$367,"&gt;="&amp;Households!F22))</f>
        <v>0</v>
      </c>
      <c r="O22" s="25">
        <f t="shared" si="3"/>
        <v>0</v>
      </c>
      <c r="P22" s="24">
        <f>IF($A22="","",IF(Households!D22="Damaged",Settings!$B$13,0))</f>
        <v>0</v>
      </c>
      <c r="Q22" s="24">
        <f>IF($A22="","",SUMIFS(Assistance_Log!$F$5:$F$367,Assistance_Log!$C$5:$C$367,$A22,Assistance_Log!$E$5:$E$367,"Shelter repair kits",Assistance_Log!$B$5:$B$367,"&gt;="&amp;Households!F22))</f>
        <v>0</v>
      </c>
      <c r="R22" s="24">
        <f t="shared" si="4"/>
        <v>0</v>
      </c>
      <c r="S22" s="24">
        <f>IF($A22="","",Households!S22*Settings!$B$14)</f>
        <v>5</v>
      </c>
      <c r="T22" s="24">
        <f>IF($A22="","",SUMIFS(Assistance_Log!$F$5:$F$367,Assistance_Log!$C$5:$C$367,$A22,Assistance_Log!$E$5:$E$367,"Winter clothing – children",Assistance_Log!$B$5:$B$367,"&gt;="&amp;Households!F22))</f>
        <v>4</v>
      </c>
      <c r="U22" s="24">
        <f t="shared" si="5"/>
        <v>1</v>
      </c>
      <c r="V22" s="24">
        <f>IF($A22="","",Households!T22*Settings!$B$14)</f>
        <v>2</v>
      </c>
      <c r="W22" s="24">
        <f>IF($A22="","",SUMIFS(Assistance_Log!$F$5:$F$367,Assistance_Log!$C$5:$C$367,$A22,Assistance_Log!$E$5:$E$367,"Winter clothing – adults",Assistance_Log!$B$5:$B$367,"&gt;="&amp;Households!F22))</f>
        <v>0</v>
      </c>
      <c r="X22" s="24">
        <f t="shared" si="6"/>
        <v>2</v>
      </c>
      <c r="Y22" s="24">
        <f>IF($A22="","",Households!J22*Settings!$B$15)</f>
        <v>0</v>
      </c>
      <c r="Z22" s="24">
        <f>IF($A22="","",SUMIFS(Assistance_Log!$F$5:$F$367,Assistance_Log!$C$5:$C$367,$A22,Assistance_Log!$E$5:$E$367,"Diapers",Assistance_Log!$B$5:$B$367,"&gt;="&amp;Households!F22))</f>
        <v>0</v>
      </c>
      <c r="AA22" s="24">
        <f t="shared" si="7"/>
        <v>0</v>
      </c>
      <c r="AB22" s="24">
        <f>IF($A22="","",Settings!$B$16)</f>
        <v>1</v>
      </c>
      <c r="AC22" s="24">
        <f>IF($A22="","",SUMIFS(Assistance_Log!$F$5:$F$367,Assistance_Log!$C$5:$C$367,$A22,Assistance_Log!$E$5:$E$367,"Family hygiene kits",Assistance_Log!$B$5:$B$367,"&gt;="&amp;Households!F22))</f>
        <v>0</v>
      </c>
      <c r="AD22" s="24">
        <f t="shared" si="8"/>
        <v>1</v>
      </c>
      <c r="AE22" s="24">
        <f>IF($A22="","",Households!N22*Settings!$B$17)</f>
        <v>1</v>
      </c>
      <c r="AF22" s="24">
        <f>IF($A22="","",SUMIFS(Assistance_Log!$F$5:$F$367,Assistance_Log!$C$5:$C$367,$A22,Assistance_Log!$E$5:$E$367,"Menstrual hygiene kits",Assistance_Log!$B$5:$B$367,"&gt;="&amp;Households!F22))</f>
        <v>0</v>
      </c>
      <c r="AG22" s="24">
        <f t="shared" si="9"/>
        <v>1</v>
      </c>
      <c r="AH22" s="25" t="str">
        <f t="shared" si="10"/>
        <v>Yes</v>
      </c>
      <c r="AI22" s="24">
        <f t="shared" si="11"/>
        <v>5</v>
      </c>
    </row>
    <row r="23" spans="1:35" x14ac:dyDescent="0.3">
      <c r="A23" s="24" t="str">
        <f>IF(Households!A23="","",Households!A23)</f>
        <v>HH-019</v>
      </c>
      <c r="B23" s="24" t="str">
        <f>IF($A23="","",Households!B23)</f>
        <v>Site A – School Shelter</v>
      </c>
      <c r="C23" s="24" t="str">
        <f>IF($A23="","",Households!X23)</f>
        <v>High</v>
      </c>
      <c r="D23" s="24">
        <f>IF($A23="","",MAX(0,Households!H23*Settings!$B$9-Households!Q23))</f>
        <v>7</v>
      </c>
      <c r="E23" s="24">
        <f>IF($A23="","",SUMIFS(Assistance_Log!$F$5:$F$367,Assistance_Log!$C$5:$C$367,$A23,Assistance_Log!$E$5:$E$367,"Blankets",Assistance_Log!$B$5:$B$367,"&gt;="&amp;Households!F23))</f>
        <v>6</v>
      </c>
      <c r="F23" s="25">
        <f t="shared" si="0"/>
        <v>1</v>
      </c>
      <c r="G23" s="24">
        <f>IF($A23="","",MAX(0,Households!H23*Settings!$B$10-Households!R23))</f>
        <v>6</v>
      </c>
      <c r="H23" s="24">
        <f>IF($A23="","",SUMIFS(Assistance_Log!$F$5:$F$367,Assistance_Log!$C$5:$C$367,$A23,Assistance_Log!$E$5:$E$367,"Mattresses",Assistance_Log!$B$5:$B$367,"&gt;="&amp;Households!F23))</f>
        <v>0</v>
      </c>
      <c r="I23" s="25">
        <f t="shared" si="1"/>
        <v>6</v>
      </c>
      <c r="J23" s="24">
        <f>IF($A23="","",IF(AND(OR(Households!C23="Tent",Households!C23="Makeshift shelter"),Households!D23="Damaged"),Settings!$B$11,0))</f>
        <v>0</v>
      </c>
      <c r="K23" s="24">
        <f>IF($A23="","",SUMIFS(Assistance_Log!$F$5:$F$367,Assistance_Log!$C$5:$C$367,$A23,Assistance_Log!$E$5:$E$367,"Tarpaulins",Assistance_Log!$B$5:$B$367,"&gt;="&amp;Households!F23))</f>
        <v>0</v>
      </c>
      <c r="L23" s="25">
        <f t="shared" si="2"/>
        <v>0</v>
      </c>
      <c r="M23" s="24">
        <f>IF($A23="","",IF(AND(OR(Households!C23="Tent",Households!C23="Makeshift shelter"),Households!D23="Unusable"),Settings!$B$12,0))</f>
        <v>0</v>
      </c>
      <c r="N23" s="24">
        <f>IF($A23="","",SUMIFS(Assistance_Log!$F$5:$F$367,Assistance_Log!$C$5:$C$367,$A23,Assistance_Log!$E$5:$E$367,"Tent replacement",Assistance_Log!$B$5:$B$367,"&gt;="&amp;Households!F23))</f>
        <v>0</v>
      </c>
      <c r="O23" s="25">
        <f t="shared" si="3"/>
        <v>0</v>
      </c>
      <c r="P23" s="24">
        <f>IF($A23="","",IF(Households!D23="Damaged",Settings!$B$13,0))</f>
        <v>0</v>
      </c>
      <c r="Q23" s="24">
        <f>IF($A23="","",SUMIFS(Assistance_Log!$F$5:$F$367,Assistance_Log!$C$5:$C$367,$A23,Assistance_Log!$E$5:$E$367,"Shelter repair kits",Assistance_Log!$B$5:$B$367,"&gt;="&amp;Households!F23))</f>
        <v>0</v>
      </c>
      <c r="R23" s="24">
        <f t="shared" si="4"/>
        <v>0</v>
      </c>
      <c r="S23" s="24">
        <f>IF($A23="","",Households!S23*Settings!$B$14)</f>
        <v>4</v>
      </c>
      <c r="T23" s="24">
        <f>IF($A23="","",SUMIFS(Assistance_Log!$F$5:$F$367,Assistance_Log!$C$5:$C$367,$A23,Assistance_Log!$E$5:$E$367,"Winter clothing – children",Assistance_Log!$B$5:$B$367,"&gt;="&amp;Households!F23))</f>
        <v>0</v>
      </c>
      <c r="U23" s="24">
        <f t="shared" si="5"/>
        <v>4</v>
      </c>
      <c r="V23" s="24">
        <f>IF($A23="","",Households!T23*Settings!$B$14)</f>
        <v>1</v>
      </c>
      <c r="W23" s="24">
        <f>IF($A23="","",SUMIFS(Assistance_Log!$F$5:$F$367,Assistance_Log!$C$5:$C$367,$A23,Assistance_Log!$E$5:$E$367,"Winter clothing – adults",Assistance_Log!$B$5:$B$367,"&gt;="&amp;Households!F23))</f>
        <v>0</v>
      </c>
      <c r="X23" s="24">
        <f t="shared" si="6"/>
        <v>1</v>
      </c>
      <c r="Y23" s="24">
        <f>IF($A23="","",Households!J23*Settings!$B$15)</f>
        <v>4</v>
      </c>
      <c r="Z23" s="24">
        <f>IF($A23="","",SUMIFS(Assistance_Log!$F$5:$F$367,Assistance_Log!$C$5:$C$367,$A23,Assistance_Log!$E$5:$E$367,"Diapers",Assistance_Log!$B$5:$B$367,"&gt;="&amp;Households!F23))</f>
        <v>0</v>
      </c>
      <c r="AA23" s="24">
        <f t="shared" si="7"/>
        <v>4</v>
      </c>
      <c r="AB23" s="24">
        <f>IF($A23="","",Settings!$B$16)</f>
        <v>1</v>
      </c>
      <c r="AC23" s="24">
        <f>IF($A23="","",SUMIFS(Assistance_Log!$F$5:$F$367,Assistance_Log!$C$5:$C$367,$A23,Assistance_Log!$E$5:$E$367,"Family hygiene kits",Assistance_Log!$B$5:$B$367,"&gt;="&amp;Households!F23))</f>
        <v>0</v>
      </c>
      <c r="AD23" s="24">
        <f t="shared" si="8"/>
        <v>1</v>
      </c>
      <c r="AE23" s="24">
        <f>IF($A23="","",Households!N23*Settings!$B$17)</f>
        <v>1</v>
      </c>
      <c r="AF23" s="24">
        <f>IF($A23="","",SUMIFS(Assistance_Log!$F$5:$F$367,Assistance_Log!$C$5:$C$367,$A23,Assistance_Log!$E$5:$E$367,"Menstrual hygiene kits",Assistance_Log!$B$5:$B$367,"&gt;="&amp;Households!F23))</f>
        <v>1</v>
      </c>
      <c r="AG23" s="24">
        <f t="shared" si="9"/>
        <v>0</v>
      </c>
      <c r="AH23" s="25" t="str">
        <f t="shared" si="10"/>
        <v>Yes</v>
      </c>
      <c r="AI23" s="24">
        <f t="shared" si="11"/>
        <v>6</v>
      </c>
    </row>
    <row r="24" spans="1:35" x14ac:dyDescent="0.3">
      <c r="A24" s="24" t="str">
        <f>IF(Households!A24="","",Households!A24)</f>
        <v>HH-020</v>
      </c>
      <c r="B24" s="24" t="str">
        <f>IF($A24="","",Households!B24)</f>
        <v>Site A – School Shelter</v>
      </c>
      <c r="C24" s="24" t="str">
        <f>IF($A24="","",Households!X24)</f>
        <v>High</v>
      </c>
      <c r="D24" s="24">
        <f>IF($A24="","",MAX(0,Households!H24*Settings!$B$9-Households!Q24))</f>
        <v>7</v>
      </c>
      <c r="E24" s="24">
        <f>IF($A24="","",SUMIFS(Assistance_Log!$F$5:$F$367,Assistance_Log!$C$5:$C$367,$A24,Assistance_Log!$E$5:$E$367,"Blankets",Assistance_Log!$B$5:$B$367,"&gt;="&amp;Households!F24))</f>
        <v>4</v>
      </c>
      <c r="F24" s="25">
        <f t="shared" si="0"/>
        <v>3</v>
      </c>
      <c r="G24" s="24">
        <f>IF($A24="","",MAX(0,Households!H24*Settings!$B$10-Households!R24))</f>
        <v>0</v>
      </c>
      <c r="H24" s="24">
        <f>IF($A24="","",SUMIFS(Assistance_Log!$F$5:$F$367,Assistance_Log!$C$5:$C$367,$A24,Assistance_Log!$E$5:$E$367,"Mattresses",Assistance_Log!$B$5:$B$367,"&gt;="&amp;Households!F24))</f>
        <v>0</v>
      </c>
      <c r="I24" s="25">
        <f t="shared" si="1"/>
        <v>0</v>
      </c>
      <c r="J24" s="24">
        <f>IF($A24="","",IF(AND(OR(Households!C24="Tent",Households!C24="Makeshift shelter"),Households!D24="Damaged"),Settings!$B$11,0))</f>
        <v>0</v>
      </c>
      <c r="K24" s="24">
        <f>IF($A24="","",SUMIFS(Assistance_Log!$F$5:$F$367,Assistance_Log!$C$5:$C$367,$A24,Assistance_Log!$E$5:$E$367,"Tarpaulins",Assistance_Log!$B$5:$B$367,"&gt;="&amp;Households!F24))</f>
        <v>0</v>
      </c>
      <c r="L24" s="25">
        <f t="shared" si="2"/>
        <v>0</v>
      </c>
      <c r="M24" s="24">
        <f>IF($A24="","",IF(AND(OR(Households!C24="Tent",Households!C24="Makeshift shelter"),Households!D24="Unusable"),Settings!$B$12,0))</f>
        <v>0</v>
      </c>
      <c r="N24" s="24">
        <f>IF($A24="","",SUMIFS(Assistance_Log!$F$5:$F$367,Assistance_Log!$C$5:$C$367,$A24,Assistance_Log!$E$5:$E$367,"Tent replacement",Assistance_Log!$B$5:$B$367,"&gt;="&amp;Households!F24))</f>
        <v>0</v>
      </c>
      <c r="O24" s="25">
        <f t="shared" si="3"/>
        <v>0</v>
      </c>
      <c r="P24" s="24">
        <f>IF($A24="","",IF(Households!D24="Damaged",Settings!$B$13,0))</f>
        <v>0</v>
      </c>
      <c r="Q24" s="24">
        <f>IF($A24="","",SUMIFS(Assistance_Log!$F$5:$F$367,Assistance_Log!$C$5:$C$367,$A24,Assistance_Log!$E$5:$E$367,"Shelter repair kits",Assistance_Log!$B$5:$B$367,"&gt;="&amp;Households!F24))</f>
        <v>0</v>
      </c>
      <c r="R24" s="24">
        <f t="shared" si="4"/>
        <v>0</v>
      </c>
      <c r="S24" s="24">
        <f>IF($A24="","",Households!S24*Settings!$B$14)</f>
        <v>1</v>
      </c>
      <c r="T24" s="24">
        <f>IF($A24="","",SUMIFS(Assistance_Log!$F$5:$F$367,Assistance_Log!$C$5:$C$367,$A24,Assistance_Log!$E$5:$E$367,"Winter clothing – children",Assistance_Log!$B$5:$B$367,"&gt;="&amp;Households!F24))</f>
        <v>1</v>
      </c>
      <c r="U24" s="24">
        <f t="shared" si="5"/>
        <v>0</v>
      </c>
      <c r="V24" s="24">
        <f>IF($A24="","",Households!T24*Settings!$B$14)</f>
        <v>0</v>
      </c>
      <c r="W24" s="24">
        <f>IF($A24="","",SUMIFS(Assistance_Log!$F$5:$F$367,Assistance_Log!$C$5:$C$367,$A24,Assistance_Log!$E$5:$E$367,"Winter clothing – adults",Assistance_Log!$B$5:$B$367,"&gt;="&amp;Households!F24))</f>
        <v>0</v>
      </c>
      <c r="X24" s="24">
        <f t="shared" si="6"/>
        <v>0</v>
      </c>
      <c r="Y24" s="24">
        <f>IF($A24="","",Households!J24*Settings!$B$15)</f>
        <v>8</v>
      </c>
      <c r="Z24" s="24">
        <f>IF($A24="","",SUMIFS(Assistance_Log!$F$5:$F$367,Assistance_Log!$C$5:$C$367,$A24,Assistance_Log!$E$5:$E$367,"Diapers",Assistance_Log!$B$5:$B$367,"&gt;="&amp;Households!F24))</f>
        <v>3</v>
      </c>
      <c r="AA24" s="24">
        <f t="shared" si="7"/>
        <v>5</v>
      </c>
      <c r="AB24" s="24">
        <f>IF($A24="","",Settings!$B$16)</f>
        <v>1</v>
      </c>
      <c r="AC24" s="24">
        <f>IF($A24="","",SUMIFS(Assistance_Log!$F$5:$F$367,Assistance_Log!$C$5:$C$367,$A24,Assistance_Log!$E$5:$E$367,"Family hygiene kits",Assistance_Log!$B$5:$B$367,"&gt;="&amp;Households!F24))</f>
        <v>0</v>
      </c>
      <c r="AD24" s="24">
        <f t="shared" si="8"/>
        <v>1</v>
      </c>
      <c r="AE24" s="24">
        <f>IF($A24="","",Households!N24*Settings!$B$17)</f>
        <v>1</v>
      </c>
      <c r="AF24" s="24">
        <f>IF($A24="","",SUMIFS(Assistance_Log!$F$5:$F$367,Assistance_Log!$C$5:$C$367,$A24,Assistance_Log!$E$5:$E$367,"Menstrual hygiene kits",Assistance_Log!$B$5:$B$367,"&gt;="&amp;Households!F24))</f>
        <v>1</v>
      </c>
      <c r="AG24" s="24">
        <f t="shared" si="9"/>
        <v>0</v>
      </c>
      <c r="AH24" s="25" t="str">
        <f t="shared" si="10"/>
        <v>Yes</v>
      </c>
      <c r="AI24" s="24">
        <f t="shared" si="11"/>
        <v>3</v>
      </c>
    </row>
    <row r="25" spans="1:35" x14ac:dyDescent="0.3">
      <c r="A25" s="24" t="str">
        <f>IF(Households!A25="","",Households!A25)</f>
        <v>HH-021</v>
      </c>
      <c r="B25" s="24" t="str">
        <f>IF($A25="","",Households!B25)</f>
        <v>Site A – School Shelter</v>
      </c>
      <c r="C25" s="24" t="str">
        <f>IF($A25="","",Households!X25)</f>
        <v>Low</v>
      </c>
      <c r="D25" s="24">
        <f>IF($A25="","",MAX(0,Households!H25*Settings!$B$9-Households!Q25))</f>
        <v>10</v>
      </c>
      <c r="E25" s="24">
        <f>IF($A25="","",SUMIFS(Assistance_Log!$F$5:$F$367,Assistance_Log!$C$5:$C$367,$A25,Assistance_Log!$E$5:$E$367,"Blankets",Assistance_Log!$B$5:$B$367,"&gt;="&amp;Households!F25))</f>
        <v>10</v>
      </c>
      <c r="F25" s="25">
        <f t="shared" si="0"/>
        <v>0</v>
      </c>
      <c r="G25" s="24">
        <f>IF($A25="","",MAX(0,Households!H25*Settings!$B$10-Households!R25))</f>
        <v>5</v>
      </c>
      <c r="H25" s="24">
        <f>IF($A25="","",SUMIFS(Assistance_Log!$F$5:$F$367,Assistance_Log!$C$5:$C$367,$A25,Assistance_Log!$E$5:$E$367,"Mattresses",Assistance_Log!$B$5:$B$367,"&gt;="&amp;Households!F25))</f>
        <v>0</v>
      </c>
      <c r="I25" s="25">
        <f t="shared" si="1"/>
        <v>5</v>
      </c>
      <c r="J25" s="24">
        <f>IF($A25="","",IF(AND(OR(Households!C25="Tent",Households!C25="Makeshift shelter"),Households!D25="Damaged"),Settings!$B$11,0))</f>
        <v>0</v>
      </c>
      <c r="K25" s="24">
        <f>IF($A25="","",SUMIFS(Assistance_Log!$F$5:$F$367,Assistance_Log!$C$5:$C$367,$A25,Assistance_Log!$E$5:$E$367,"Tarpaulins",Assistance_Log!$B$5:$B$367,"&gt;="&amp;Households!F25))</f>
        <v>0</v>
      </c>
      <c r="L25" s="25">
        <f t="shared" si="2"/>
        <v>0</v>
      </c>
      <c r="M25" s="24">
        <f>IF($A25="","",IF(AND(OR(Households!C25="Tent",Households!C25="Makeshift shelter"),Households!D25="Unusable"),Settings!$B$12,0))</f>
        <v>0</v>
      </c>
      <c r="N25" s="24">
        <f>IF($A25="","",SUMIFS(Assistance_Log!$F$5:$F$367,Assistance_Log!$C$5:$C$367,$A25,Assistance_Log!$E$5:$E$367,"Tent replacement",Assistance_Log!$B$5:$B$367,"&gt;="&amp;Households!F25))</f>
        <v>0</v>
      </c>
      <c r="O25" s="25">
        <f t="shared" si="3"/>
        <v>0</v>
      </c>
      <c r="P25" s="24">
        <f>IF($A25="","",IF(Households!D25="Damaged",Settings!$B$13,0))</f>
        <v>1</v>
      </c>
      <c r="Q25" s="24">
        <f>IF($A25="","",SUMIFS(Assistance_Log!$F$5:$F$367,Assistance_Log!$C$5:$C$367,$A25,Assistance_Log!$E$5:$E$367,"Shelter repair kits",Assistance_Log!$B$5:$B$367,"&gt;="&amp;Households!F25))</f>
        <v>0</v>
      </c>
      <c r="R25" s="24">
        <f t="shared" si="4"/>
        <v>1</v>
      </c>
      <c r="S25" s="24">
        <f>IF($A25="","",Households!S25*Settings!$B$14)</f>
        <v>6</v>
      </c>
      <c r="T25" s="24">
        <f>IF($A25="","",SUMIFS(Assistance_Log!$F$5:$F$367,Assistance_Log!$C$5:$C$367,$A25,Assistance_Log!$E$5:$E$367,"Winter clothing – children",Assistance_Log!$B$5:$B$367,"&gt;="&amp;Households!F25))</f>
        <v>2</v>
      </c>
      <c r="U25" s="24">
        <f t="shared" si="5"/>
        <v>4</v>
      </c>
      <c r="V25" s="24">
        <f>IF($A25="","",Households!T25*Settings!$B$14)</f>
        <v>1</v>
      </c>
      <c r="W25" s="24">
        <f>IF($A25="","",SUMIFS(Assistance_Log!$F$5:$F$367,Assistance_Log!$C$5:$C$367,$A25,Assistance_Log!$E$5:$E$367,"Winter clothing – adults",Assistance_Log!$B$5:$B$367,"&gt;="&amp;Households!F25))</f>
        <v>0</v>
      </c>
      <c r="X25" s="24">
        <f t="shared" si="6"/>
        <v>1</v>
      </c>
      <c r="Y25" s="24">
        <f>IF($A25="","",Households!J25*Settings!$B$15)</f>
        <v>0</v>
      </c>
      <c r="Z25" s="24">
        <f>IF($A25="","",SUMIFS(Assistance_Log!$F$5:$F$367,Assistance_Log!$C$5:$C$367,$A25,Assistance_Log!$E$5:$E$367,"Diapers",Assistance_Log!$B$5:$B$367,"&gt;="&amp;Households!F25))</f>
        <v>0</v>
      </c>
      <c r="AA25" s="24">
        <f t="shared" si="7"/>
        <v>0</v>
      </c>
      <c r="AB25" s="24">
        <f>IF($A25="","",Settings!$B$16)</f>
        <v>1</v>
      </c>
      <c r="AC25" s="24">
        <f>IF($A25="","",SUMIFS(Assistance_Log!$F$5:$F$367,Assistance_Log!$C$5:$C$367,$A25,Assistance_Log!$E$5:$E$367,"Family hygiene kits",Assistance_Log!$B$5:$B$367,"&gt;="&amp;Households!F25))</f>
        <v>0</v>
      </c>
      <c r="AD25" s="24">
        <f t="shared" si="8"/>
        <v>1</v>
      </c>
      <c r="AE25" s="24">
        <f>IF($A25="","",Households!N25*Settings!$B$17)</f>
        <v>1</v>
      </c>
      <c r="AF25" s="24">
        <f>IF($A25="","",SUMIFS(Assistance_Log!$F$5:$F$367,Assistance_Log!$C$5:$C$367,$A25,Assistance_Log!$E$5:$E$367,"Menstrual hygiene kits",Assistance_Log!$B$5:$B$367,"&gt;="&amp;Households!F25))</f>
        <v>0</v>
      </c>
      <c r="AG25" s="24">
        <f t="shared" si="9"/>
        <v>1</v>
      </c>
      <c r="AH25" s="25" t="str">
        <f t="shared" si="10"/>
        <v>Yes</v>
      </c>
      <c r="AI25" s="24">
        <f t="shared" si="11"/>
        <v>6</v>
      </c>
    </row>
    <row r="26" spans="1:35" x14ac:dyDescent="0.3">
      <c r="A26" s="24" t="str">
        <f>IF(Households!A26="","",Households!A26)</f>
        <v>HH-022</v>
      </c>
      <c r="B26" s="24" t="str">
        <f>IF($A26="","",Households!B26)</f>
        <v>Site A – School Shelter</v>
      </c>
      <c r="C26" s="24" t="str">
        <f>IF($A26="","",Households!X26)</f>
        <v>Low</v>
      </c>
      <c r="D26" s="24">
        <f>IF($A26="","",MAX(0,Households!H26*Settings!$B$9-Households!Q26))</f>
        <v>2</v>
      </c>
      <c r="E26" s="24">
        <f>IF($A26="","",SUMIFS(Assistance_Log!$F$5:$F$367,Assistance_Log!$C$5:$C$367,$A26,Assistance_Log!$E$5:$E$367,"Blankets",Assistance_Log!$B$5:$B$367,"&gt;="&amp;Households!F26))</f>
        <v>1</v>
      </c>
      <c r="F26" s="25">
        <f t="shared" si="0"/>
        <v>1</v>
      </c>
      <c r="G26" s="24">
        <f>IF($A26="","",MAX(0,Households!H26*Settings!$B$10-Households!R26))</f>
        <v>3</v>
      </c>
      <c r="H26" s="24">
        <f>IF($A26="","",SUMIFS(Assistance_Log!$F$5:$F$367,Assistance_Log!$C$5:$C$367,$A26,Assistance_Log!$E$5:$E$367,"Mattresses",Assistance_Log!$B$5:$B$367,"&gt;="&amp;Households!F26))</f>
        <v>1</v>
      </c>
      <c r="I26" s="25">
        <f t="shared" si="1"/>
        <v>2</v>
      </c>
      <c r="J26" s="24">
        <f>IF($A26="","",IF(AND(OR(Households!C26="Tent",Households!C26="Makeshift shelter"),Households!D26="Damaged"),Settings!$B$11,0))</f>
        <v>0</v>
      </c>
      <c r="K26" s="24">
        <f>IF($A26="","",SUMIFS(Assistance_Log!$F$5:$F$367,Assistance_Log!$C$5:$C$367,$A26,Assistance_Log!$E$5:$E$367,"Tarpaulins",Assistance_Log!$B$5:$B$367,"&gt;="&amp;Households!F26))</f>
        <v>0</v>
      </c>
      <c r="L26" s="25">
        <f t="shared" si="2"/>
        <v>0</v>
      </c>
      <c r="M26" s="24">
        <f>IF($A26="","",IF(AND(OR(Households!C26="Tent",Households!C26="Makeshift shelter"),Households!D26="Unusable"),Settings!$B$12,0))</f>
        <v>0</v>
      </c>
      <c r="N26" s="24">
        <f>IF($A26="","",SUMIFS(Assistance_Log!$F$5:$F$367,Assistance_Log!$C$5:$C$367,$A26,Assistance_Log!$E$5:$E$367,"Tent replacement",Assistance_Log!$B$5:$B$367,"&gt;="&amp;Households!F26))</f>
        <v>0</v>
      </c>
      <c r="O26" s="25">
        <f t="shared" si="3"/>
        <v>0</v>
      </c>
      <c r="P26" s="24">
        <f>IF($A26="","",IF(Households!D26="Damaged",Settings!$B$13,0))</f>
        <v>0</v>
      </c>
      <c r="Q26" s="24">
        <f>IF($A26="","",SUMIFS(Assistance_Log!$F$5:$F$367,Assistance_Log!$C$5:$C$367,$A26,Assistance_Log!$E$5:$E$367,"Shelter repair kits",Assistance_Log!$B$5:$B$367,"&gt;="&amp;Households!F26))</f>
        <v>0</v>
      </c>
      <c r="R26" s="24">
        <f t="shared" si="4"/>
        <v>0</v>
      </c>
      <c r="S26" s="24">
        <f>IF($A26="","",Households!S26*Settings!$B$14)</f>
        <v>0</v>
      </c>
      <c r="T26" s="24">
        <f>IF($A26="","",SUMIFS(Assistance_Log!$F$5:$F$367,Assistance_Log!$C$5:$C$367,$A26,Assistance_Log!$E$5:$E$367,"Winter clothing – children",Assistance_Log!$B$5:$B$367,"&gt;="&amp;Households!F26))</f>
        <v>0</v>
      </c>
      <c r="U26" s="24">
        <f t="shared" si="5"/>
        <v>0</v>
      </c>
      <c r="V26" s="24">
        <f>IF($A26="","",Households!T26*Settings!$B$14)</f>
        <v>2</v>
      </c>
      <c r="W26" s="24">
        <f>IF($A26="","",SUMIFS(Assistance_Log!$F$5:$F$367,Assistance_Log!$C$5:$C$367,$A26,Assistance_Log!$E$5:$E$367,"Winter clothing – adults",Assistance_Log!$B$5:$B$367,"&gt;="&amp;Households!F26))</f>
        <v>0</v>
      </c>
      <c r="X26" s="24">
        <f t="shared" si="6"/>
        <v>2</v>
      </c>
      <c r="Y26" s="24">
        <f>IF($A26="","",Households!J26*Settings!$B$15)</f>
        <v>0</v>
      </c>
      <c r="Z26" s="24">
        <f>IF($A26="","",SUMIFS(Assistance_Log!$F$5:$F$367,Assistance_Log!$C$5:$C$367,$A26,Assistance_Log!$E$5:$E$367,"Diapers",Assistance_Log!$B$5:$B$367,"&gt;="&amp;Households!F26))</f>
        <v>0</v>
      </c>
      <c r="AA26" s="24">
        <f t="shared" si="7"/>
        <v>0</v>
      </c>
      <c r="AB26" s="24">
        <f>IF($A26="","",Settings!$B$16)</f>
        <v>1</v>
      </c>
      <c r="AC26" s="24">
        <f>IF($A26="","",SUMIFS(Assistance_Log!$F$5:$F$367,Assistance_Log!$C$5:$C$367,$A26,Assistance_Log!$E$5:$E$367,"Family hygiene kits",Assistance_Log!$B$5:$B$367,"&gt;="&amp;Households!F26))</f>
        <v>1</v>
      </c>
      <c r="AD26" s="24">
        <f t="shared" si="8"/>
        <v>0</v>
      </c>
      <c r="AE26" s="24">
        <f>IF($A26="","",Households!N26*Settings!$B$17)</f>
        <v>1</v>
      </c>
      <c r="AF26" s="24">
        <f>IF($A26="","",SUMIFS(Assistance_Log!$F$5:$F$367,Assistance_Log!$C$5:$C$367,$A26,Assistance_Log!$E$5:$E$367,"Menstrual hygiene kits",Assistance_Log!$B$5:$B$367,"&gt;="&amp;Households!F26))</f>
        <v>0</v>
      </c>
      <c r="AG26" s="24">
        <f t="shared" si="9"/>
        <v>1</v>
      </c>
      <c r="AH26" s="25" t="str">
        <f t="shared" si="10"/>
        <v>Yes</v>
      </c>
      <c r="AI26" s="24">
        <f t="shared" si="11"/>
        <v>4</v>
      </c>
    </row>
    <row r="27" spans="1:35" x14ac:dyDescent="0.3">
      <c r="A27" s="24" t="str">
        <f>IF(Households!A27="","",Households!A27)</f>
        <v>HH-023</v>
      </c>
      <c r="B27" s="24" t="str">
        <f>IF($A27="","",Households!B27)</f>
        <v>Site A – School Shelter</v>
      </c>
      <c r="C27" s="24" t="str">
        <f>IF($A27="","",Households!X27)</f>
        <v>Low</v>
      </c>
      <c r="D27" s="24">
        <f>IF($A27="","",MAX(0,Households!H27*Settings!$B$9-Households!Q27))</f>
        <v>4</v>
      </c>
      <c r="E27" s="24">
        <f>IF($A27="","",SUMIFS(Assistance_Log!$F$5:$F$367,Assistance_Log!$C$5:$C$367,$A27,Assistance_Log!$E$5:$E$367,"Blankets",Assistance_Log!$B$5:$B$367,"&gt;="&amp;Households!F27))</f>
        <v>0</v>
      </c>
      <c r="F27" s="25">
        <f t="shared" si="0"/>
        <v>4</v>
      </c>
      <c r="G27" s="24">
        <f>IF($A27="","",MAX(0,Households!H27*Settings!$B$10-Households!R27))</f>
        <v>5</v>
      </c>
      <c r="H27" s="24">
        <f>IF($A27="","",SUMIFS(Assistance_Log!$F$5:$F$367,Assistance_Log!$C$5:$C$367,$A27,Assistance_Log!$E$5:$E$367,"Mattresses",Assistance_Log!$B$5:$B$367,"&gt;="&amp;Households!F27))</f>
        <v>2</v>
      </c>
      <c r="I27" s="25">
        <f t="shared" si="1"/>
        <v>3</v>
      </c>
      <c r="J27" s="24">
        <f>IF($A27="","",IF(AND(OR(Households!C27="Tent",Households!C27="Makeshift shelter"),Households!D27="Damaged"),Settings!$B$11,0))</f>
        <v>0</v>
      </c>
      <c r="K27" s="24">
        <f>IF($A27="","",SUMIFS(Assistance_Log!$F$5:$F$367,Assistance_Log!$C$5:$C$367,$A27,Assistance_Log!$E$5:$E$367,"Tarpaulins",Assistance_Log!$B$5:$B$367,"&gt;="&amp;Households!F27))</f>
        <v>0</v>
      </c>
      <c r="L27" s="25">
        <f t="shared" si="2"/>
        <v>0</v>
      </c>
      <c r="M27" s="24">
        <f>IF($A27="","",IF(AND(OR(Households!C27="Tent",Households!C27="Makeshift shelter"),Households!D27="Unusable"),Settings!$B$12,0))</f>
        <v>0</v>
      </c>
      <c r="N27" s="24">
        <f>IF($A27="","",SUMIFS(Assistance_Log!$F$5:$F$367,Assistance_Log!$C$5:$C$367,$A27,Assistance_Log!$E$5:$E$367,"Tent replacement",Assistance_Log!$B$5:$B$367,"&gt;="&amp;Households!F27))</f>
        <v>0</v>
      </c>
      <c r="O27" s="25">
        <f t="shared" si="3"/>
        <v>0</v>
      </c>
      <c r="P27" s="24">
        <f>IF($A27="","",IF(Households!D27="Damaged",Settings!$B$13,0))</f>
        <v>0</v>
      </c>
      <c r="Q27" s="24">
        <f>IF($A27="","",SUMIFS(Assistance_Log!$F$5:$F$367,Assistance_Log!$C$5:$C$367,$A27,Assistance_Log!$E$5:$E$367,"Shelter repair kits",Assistance_Log!$B$5:$B$367,"&gt;="&amp;Households!F27))</f>
        <v>0</v>
      </c>
      <c r="R27" s="24">
        <f t="shared" si="4"/>
        <v>0</v>
      </c>
      <c r="S27" s="24">
        <f>IF($A27="","",Households!S27*Settings!$B$14)</f>
        <v>2</v>
      </c>
      <c r="T27" s="24">
        <f>IF($A27="","",SUMIFS(Assistance_Log!$F$5:$F$367,Assistance_Log!$C$5:$C$367,$A27,Assistance_Log!$E$5:$E$367,"Winter clothing – children",Assistance_Log!$B$5:$B$367,"&gt;="&amp;Households!F27))</f>
        <v>1</v>
      </c>
      <c r="U27" s="24">
        <f t="shared" si="5"/>
        <v>1</v>
      </c>
      <c r="V27" s="24">
        <f>IF($A27="","",Households!T27*Settings!$B$14)</f>
        <v>0</v>
      </c>
      <c r="W27" s="24">
        <f>IF($A27="","",SUMIFS(Assistance_Log!$F$5:$F$367,Assistance_Log!$C$5:$C$367,$A27,Assistance_Log!$E$5:$E$367,"Winter clothing – adults",Assistance_Log!$B$5:$B$367,"&gt;="&amp;Households!F27))</f>
        <v>0</v>
      </c>
      <c r="X27" s="24">
        <f t="shared" si="6"/>
        <v>0</v>
      </c>
      <c r="Y27" s="24">
        <f>IF($A27="","",Households!J27*Settings!$B$15)</f>
        <v>0</v>
      </c>
      <c r="Z27" s="24">
        <f>IF($A27="","",SUMIFS(Assistance_Log!$F$5:$F$367,Assistance_Log!$C$5:$C$367,$A27,Assistance_Log!$E$5:$E$367,"Diapers",Assistance_Log!$B$5:$B$367,"&gt;="&amp;Households!F27))</f>
        <v>0</v>
      </c>
      <c r="AA27" s="24">
        <f t="shared" si="7"/>
        <v>0</v>
      </c>
      <c r="AB27" s="24">
        <f>IF($A27="","",Settings!$B$16)</f>
        <v>1</v>
      </c>
      <c r="AC27" s="24">
        <f>IF($A27="","",SUMIFS(Assistance_Log!$F$5:$F$367,Assistance_Log!$C$5:$C$367,$A27,Assistance_Log!$E$5:$E$367,"Family hygiene kits",Assistance_Log!$B$5:$B$367,"&gt;="&amp;Households!F27))</f>
        <v>1</v>
      </c>
      <c r="AD27" s="24">
        <f t="shared" si="8"/>
        <v>0</v>
      </c>
      <c r="AE27" s="24">
        <f>IF($A27="","",Households!N27*Settings!$B$17)</f>
        <v>3</v>
      </c>
      <c r="AF27" s="24">
        <f>IF($A27="","",SUMIFS(Assistance_Log!$F$5:$F$367,Assistance_Log!$C$5:$C$367,$A27,Assistance_Log!$E$5:$E$367,"Menstrual hygiene kits",Assistance_Log!$B$5:$B$367,"&gt;="&amp;Households!F27))</f>
        <v>0</v>
      </c>
      <c r="AG27" s="24">
        <f t="shared" si="9"/>
        <v>3</v>
      </c>
      <c r="AH27" s="25" t="str">
        <f t="shared" si="10"/>
        <v>Yes</v>
      </c>
      <c r="AI27" s="24">
        <f t="shared" si="11"/>
        <v>4</v>
      </c>
    </row>
    <row r="28" spans="1:35" x14ac:dyDescent="0.3">
      <c r="A28" s="24" t="str">
        <f>IF(Households!A28="","",Households!A28)</f>
        <v>HH-024</v>
      </c>
      <c r="B28" s="24" t="str">
        <f>IF($A28="","",Households!B28)</f>
        <v>Site A – School Shelter</v>
      </c>
      <c r="C28" s="24" t="str">
        <f>IF($A28="","",Households!X28)</f>
        <v>Low</v>
      </c>
      <c r="D28" s="24">
        <f>IF($A28="","",MAX(0,Households!H28*Settings!$B$9-Households!Q28))</f>
        <v>6</v>
      </c>
      <c r="E28" s="24">
        <f>IF($A28="","",SUMIFS(Assistance_Log!$F$5:$F$367,Assistance_Log!$C$5:$C$367,$A28,Assistance_Log!$E$5:$E$367,"Blankets",Assistance_Log!$B$5:$B$367,"&gt;="&amp;Households!F28))</f>
        <v>0</v>
      </c>
      <c r="F28" s="25">
        <f t="shared" si="0"/>
        <v>6</v>
      </c>
      <c r="G28" s="24">
        <f>IF($A28="","",MAX(0,Households!H28*Settings!$B$10-Households!R28))</f>
        <v>0</v>
      </c>
      <c r="H28" s="24">
        <f>IF($A28="","",SUMIFS(Assistance_Log!$F$5:$F$367,Assistance_Log!$C$5:$C$367,$A28,Assistance_Log!$E$5:$E$367,"Mattresses",Assistance_Log!$B$5:$B$367,"&gt;="&amp;Households!F28))</f>
        <v>0</v>
      </c>
      <c r="I28" s="25">
        <f t="shared" si="1"/>
        <v>0</v>
      </c>
      <c r="J28" s="24">
        <f>IF($A28="","",IF(AND(OR(Households!C28="Tent",Households!C28="Makeshift shelter"),Households!D28="Damaged"),Settings!$B$11,0))</f>
        <v>0</v>
      </c>
      <c r="K28" s="24">
        <f>IF($A28="","",SUMIFS(Assistance_Log!$F$5:$F$367,Assistance_Log!$C$5:$C$367,$A28,Assistance_Log!$E$5:$E$367,"Tarpaulins",Assistance_Log!$B$5:$B$367,"&gt;="&amp;Households!F28))</f>
        <v>0</v>
      </c>
      <c r="L28" s="25">
        <f t="shared" si="2"/>
        <v>0</v>
      </c>
      <c r="M28" s="24">
        <f>IF($A28="","",IF(AND(OR(Households!C28="Tent",Households!C28="Makeshift shelter"),Households!D28="Unusable"),Settings!$B$12,0))</f>
        <v>0</v>
      </c>
      <c r="N28" s="24">
        <f>IF($A28="","",SUMIFS(Assistance_Log!$F$5:$F$367,Assistance_Log!$C$5:$C$367,$A28,Assistance_Log!$E$5:$E$367,"Tent replacement",Assistance_Log!$B$5:$B$367,"&gt;="&amp;Households!F28))</f>
        <v>0</v>
      </c>
      <c r="O28" s="25">
        <f t="shared" si="3"/>
        <v>0</v>
      </c>
      <c r="P28" s="24">
        <f>IF($A28="","",IF(Households!D28="Damaged",Settings!$B$13,0))</f>
        <v>1</v>
      </c>
      <c r="Q28" s="24">
        <f>IF($A28="","",SUMIFS(Assistance_Log!$F$5:$F$367,Assistance_Log!$C$5:$C$367,$A28,Assistance_Log!$E$5:$E$367,"Shelter repair kits",Assistance_Log!$B$5:$B$367,"&gt;="&amp;Households!F28))</f>
        <v>1</v>
      </c>
      <c r="R28" s="24">
        <f t="shared" si="4"/>
        <v>0</v>
      </c>
      <c r="S28" s="24">
        <f>IF($A28="","",Households!S28*Settings!$B$14)</f>
        <v>0</v>
      </c>
      <c r="T28" s="24">
        <f>IF($A28="","",SUMIFS(Assistance_Log!$F$5:$F$367,Assistance_Log!$C$5:$C$367,$A28,Assistance_Log!$E$5:$E$367,"Winter clothing – children",Assistance_Log!$B$5:$B$367,"&gt;="&amp;Households!F28))</f>
        <v>0</v>
      </c>
      <c r="U28" s="24">
        <f t="shared" si="5"/>
        <v>0</v>
      </c>
      <c r="V28" s="24">
        <f>IF($A28="","",Households!T28*Settings!$B$14)</f>
        <v>0</v>
      </c>
      <c r="W28" s="24">
        <f>IF($A28="","",SUMIFS(Assistance_Log!$F$5:$F$367,Assistance_Log!$C$5:$C$367,$A28,Assistance_Log!$E$5:$E$367,"Winter clothing – adults",Assistance_Log!$B$5:$B$367,"&gt;="&amp;Households!F28))</f>
        <v>0</v>
      </c>
      <c r="X28" s="24">
        <f t="shared" si="6"/>
        <v>0</v>
      </c>
      <c r="Y28" s="24">
        <f>IF($A28="","",Households!J28*Settings!$B$15)</f>
        <v>0</v>
      </c>
      <c r="Z28" s="24">
        <f>IF($A28="","",SUMIFS(Assistance_Log!$F$5:$F$367,Assistance_Log!$C$5:$C$367,$A28,Assistance_Log!$E$5:$E$367,"Diapers",Assistance_Log!$B$5:$B$367,"&gt;="&amp;Households!F28))</f>
        <v>0</v>
      </c>
      <c r="AA28" s="24">
        <f t="shared" si="7"/>
        <v>0</v>
      </c>
      <c r="AB28" s="24">
        <f>IF($A28="","",Settings!$B$16)</f>
        <v>1</v>
      </c>
      <c r="AC28" s="24">
        <f>IF($A28="","",SUMIFS(Assistance_Log!$F$5:$F$367,Assistance_Log!$C$5:$C$367,$A28,Assistance_Log!$E$5:$E$367,"Family hygiene kits",Assistance_Log!$B$5:$B$367,"&gt;="&amp;Households!F28))</f>
        <v>1</v>
      </c>
      <c r="AD28" s="24">
        <f t="shared" si="8"/>
        <v>0</v>
      </c>
      <c r="AE28" s="24">
        <f>IF($A28="","",Households!N28*Settings!$B$17)</f>
        <v>2</v>
      </c>
      <c r="AF28" s="24">
        <f>IF($A28="","",SUMIFS(Assistance_Log!$F$5:$F$367,Assistance_Log!$C$5:$C$367,$A28,Assistance_Log!$E$5:$E$367,"Menstrual hygiene kits",Assistance_Log!$B$5:$B$367,"&gt;="&amp;Households!F28))</f>
        <v>0</v>
      </c>
      <c r="AG28" s="24">
        <f t="shared" si="9"/>
        <v>2</v>
      </c>
      <c r="AH28" s="25" t="str">
        <f t="shared" si="10"/>
        <v>Yes</v>
      </c>
      <c r="AI28" s="24">
        <f t="shared" si="11"/>
        <v>2</v>
      </c>
    </row>
    <row r="29" spans="1:35" x14ac:dyDescent="0.3">
      <c r="A29" s="24" t="str">
        <f>IF(Households!A29="","",Households!A29)</f>
        <v>HH-025</v>
      </c>
      <c r="B29" s="24" t="str">
        <f>IF($A29="","",Households!B29)</f>
        <v>Site A – School Shelter</v>
      </c>
      <c r="C29" s="24" t="str">
        <f>IF($A29="","",Households!X29)</f>
        <v>Medium</v>
      </c>
      <c r="D29" s="24">
        <f>IF($A29="","",MAX(0,Households!H29*Settings!$B$9-Households!Q29))</f>
        <v>9</v>
      </c>
      <c r="E29" s="24">
        <f>IF($A29="","",SUMIFS(Assistance_Log!$F$5:$F$367,Assistance_Log!$C$5:$C$367,$A29,Assistance_Log!$E$5:$E$367,"Blankets",Assistance_Log!$B$5:$B$367,"&gt;="&amp;Households!F29))</f>
        <v>0</v>
      </c>
      <c r="F29" s="25">
        <f t="shared" si="0"/>
        <v>9</v>
      </c>
      <c r="G29" s="24">
        <f>IF($A29="","",MAX(0,Households!H29*Settings!$B$10-Households!R29))</f>
        <v>4</v>
      </c>
      <c r="H29" s="24">
        <f>IF($A29="","",SUMIFS(Assistance_Log!$F$5:$F$367,Assistance_Log!$C$5:$C$367,$A29,Assistance_Log!$E$5:$E$367,"Mattresses",Assistance_Log!$B$5:$B$367,"&gt;="&amp;Households!F29))</f>
        <v>0</v>
      </c>
      <c r="I29" s="25">
        <f t="shared" si="1"/>
        <v>4</v>
      </c>
      <c r="J29" s="24">
        <f>IF($A29="","",IF(AND(OR(Households!C29="Tent",Households!C29="Makeshift shelter"),Households!D29="Damaged"),Settings!$B$11,0))</f>
        <v>0</v>
      </c>
      <c r="K29" s="24">
        <f>IF($A29="","",SUMIFS(Assistance_Log!$F$5:$F$367,Assistance_Log!$C$5:$C$367,$A29,Assistance_Log!$E$5:$E$367,"Tarpaulins",Assistance_Log!$B$5:$B$367,"&gt;="&amp;Households!F29))</f>
        <v>0</v>
      </c>
      <c r="L29" s="25">
        <f t="shared" si="2"/>
        <v>0</v>
      </c>
      <c r="M29" s="24">
        <f>IF($A29="","",IF(AND(OR(Households!C29="Tent",Households!C29="Makeshift shelter"),Households!D29="Unusable"),Settings!$B$12,0))</f>
        <v>0</v>
      </c>
      <c r="N29" s="24">
        <f>IF($A29="","",SUMIFS(Assistance_Log!$F$5:$F$367,Assistance_Log!$C$5:$C$367,$A29,Assistance_Log!$E$5:$E$367,"Tent replacement",Assistance_Log!$B$5:$B$367,"&gt;="&amp;Households!F29))</f>
        <v>0</v>
      </c>
      <c r="O29" s="25">
        <f t="shared" si="3"/>
        <v>0</v>
      </c>
      <c r="P29" s="24">
        <f>IF($A29="","",IF(Households!D29="Damaged",Settings!$B$13,0))</f>
        <v>0</v>
      </c>
      <c r="Q29" s="24">
        <f>IF($A29="","",SUMIFS(Assistance_Log!$F$5:$F$367,Assistance_Log!$C$5:$C$367,$A29,Assistance_Log!$E$5:$E$367,"Shelter repair kits",Assistance_Log!$B$5:$B$367,"&gt;="&amp;Households!F29))</f>
        <v>0</v>
      </c>
      <c r="R29" s="24">
        <f t="shared" si="4"/>
        <v>0</v>
      </c>
      <c r="S29" s="24">
        <f>IF($A29="","",Households!S29*Settings!$B$14)</f>
        <v>1</v>
      </c>
      <c r="T29" s="24">
        <f>IF($A29="","",SUMIFS(Assistance_Log!$F$5:$F$367,Assistance_Log!$C$5:$C$367,$A29,Assistance_Log!$E$5:$E$367,"Winter clothing – children",Assistance_Log!$B$5:$B$367,"&gt;="&amp;Households!F29))</f>
        <v>0</v>
      </c>
      <c r="U29" s="24">
        <f t="shared" si="5"/>
        <v>1</v>
      </c>
      <c r="V29" s="24">
        <f>IF($A29="","",Households!T29*Settings!$B$14)</f>
        <v>0</v>
      </c>
      <c r="W29" s="24">
        <f>IF($A29="","",SUMIFS(Assistance_Log!$F$5:$F$367,Assistance_Log!$C$5:$C$367,$A29,Assistance_Log!$E$5:$E$367,"Winter clothing – adults",Assistance_Log!$B$5:$B$367,"&gt;="&amp;Households!F29))</f>
        <v>0</v>
      </c>
      <c r="X29" s="24">
        <f t="shared" si="6"/>
        <v>0</v>
      </c>
      <c r="Y29" s="24">
        <f>IF($A29="","",Households!J29*Settings!$B$15)</f>
        <v>4</v>
      </c>
      <c r="Z29" s="24">
        <f>IF($A29="","",SUMIFS(Assistance_Log!$F$5:$F$367,Assistance_Log!$C$5:$C$367,$A29,Assistance_Log!$E$5:$E$367,"Diapers",Assistance_Log!$B$5:$B$367,"&gt;="&amp;Households!F29))</f>
        <v>0</v>
      </c>
      <c r="AA29" s="24">
        <f t="shared" si="7"/>
        <v>4</v>
      </c>
      <c r="AB29" s="24">
        <f>IF($A29="","",Settings!$B$16)</f>
        <v>1</v>
      </c>
      <c r="AC29" s="24">
        <f>IF($A29="","",SUMIFS(Assistance_Log!$F$5:$F$367,Assistance_Log!$C$5:$C$367,$A29,Assistance_Log!$E$5:$E$367,"Family hygiene kits",Assistance_Log!$B$5:$B$367,"&gt;="&amp;Households!F29))</f>
        <v>1</v>
      </c>
      <c r="AD29" s="24">
        <f t="shared" si="8"/>
        <v>0</v>
      </c>
      <c r="AE29" s="24">
        <f>IF($A29="","",Households!N29*Settings!$B$17)</f>
        <v>1</v>
      </c>
      <c r="AF29" s="24">
        <f>IF($A29="","",SUMIFS(Assistance_Log!$F$5:$F$367,Assistance_Log!$C$5:$C$367,$A29,Assistance_Log!$E$5:$E$367,"Menstrual hygiene kits",Assistance_Log!$B$5:$B$367,"&gt;="&amp;Households!F29))</f>
        <v>1</v>
      </c>
      <c r="AG29" s="24">
        <f t="shared" si="9"/>
        <v>0</v>
      </c>
      <c r="AH29" s="25" t="str">
        <f t="shared" si="10"/>
        <v>Yes</v>
      </c>
      <c r="AI29" s="24">
        <f t="shared" si="11"/>
        <v>4</v>
      </c>
    </row>
    <row r="30" spans="1:35" x14ac:dyDescent="0.3">
      <c r="A30" s="24" t="str">
        <f>IF(Households!A30="","",Households!A30)</f>
        <v>HH-026</v>
      </c>
      <c r="B30" s="24" t="str">
        <f>IF($A30="","",Households!B30)</f>
        <v>Site A – School Shelter</v>
      </c>
      <c r="C30" s="24" t="str">
        <f>IF($A30="","",Households!X30)</f>
        <v>Medium</v>
      </c>
      <c r="D30" s="24">
        <f>IF($A30="","",MAX(0,Households!H30*Settings!$B$9-Households!Q30))</f>
        <v>10</v>
      </c>
      <c r="E30" s="24">
        <f>IF($A30="","",SUMIFS(Assistance_Log!$F$5:$F$367,Assistance_Log!$C$5:$C$367,$A30,Assistance_Log!$E$5:$E$367,"Blankets",Assistance_Log!$B$5:$B$367,"&gt;="&amp;Households!F30))</f>
        <v>0</v>
      </c>
      <c r="F30" s="25">
        <f t="shared" si="0"/>
        <v>10</v>
      </c>
      <c r="G30" s="24">
        <f>IF($A30="","",MAX(0,Households!H30*Settings!$B$10-Households!R30))</f>
        <v>3</v>
      </c>
      <c r="H30" s="24">
        <f>IF($A30="","",SUMIFS(Assistance_Log!$F$5:$F$367,Assistance_Log!$C$5:$C$367,$A30,Assistance_Log!$E$5:$E$367,"Mattresses",Assistance_Log!$B$5:$B$367,"&gt;="&amp;Households!F30))</f>
        <v>0</v>
      </c>
      <c r="I30" s="25">
        <f t="shared" si="1"/>
        <v>3</v>
      </c>
      <c r="J30" s="24">
        <f>IF($A30="","",IF(AND(OR(Households!C30="Tent",Households!C30="Makeshift shelter"),Households!D30="Damaged"),Settings!$B$11,0))</f>
        <v>0</v>
      </c>
      <c r="K30" s="24">
        <f>IF($A30="","",SUMIFS(Assistance_Log!$F$5:$F$367,Assistance_Log!$C$5:$C$367,$A30,Assistance_Log!$E$5:$E$367,"Tarpaulins",Assistance_Log!$B$5:$B$367,"&gt;="&amp;Households!F30))</f>
        <v>0</v>
      </c>
      <c r="L30" s="25">
        <f t="shared" si="2"/>
        <v>0</v>
      </c>
      <c r="M30" s="24">
        <f>IF($A30="","",IF(AND(OR(Households!C30="Tent",Households!C30="Makeshift shelter"),Households!D30="Unusable"),Settings!$B$12,0))</f>
        <v>0</v>
      </c>
      <c r="N30" s="24">
        <f>IF($A30="","",SUMIFS(Assistance_Log!$F$5:$F$367,Assistance_Log!$C$5:$C$367,$A30,Assistance_Log!$E$5:$E$367,"Tent replacement",Assistance_Log!$B$5:$B$367,"&gt;="&amp;Households!F30))</f>
        <v>0</v>
      </c>
      <c r="O30" s="25">
        <f t="shared" si="3"/>
        <v>0</v>
      </c>
      <c r="P30" s="24">
        <f>IF($A30="","",IF(Households!D30="Damaged",Settings!$B$13,0))</f>
        <v>0</v>
      </c>
      <c r="Q30" s="24">
        <f>IF($A30="","",SUMIFS(Assistance_Log!$F$5:$F$367,Assistance_Log!$C$5:$C$367,$A30,Assistance_Log!$E$5:$E$367,"Shelter repair kits",Assistance_Log!$B$5:$B$367,"&gt;="&amp;Households!F30))</f>
        <v>0</v>
      </c>
      <c r="R30" s="24">
        <f t="shared" si="4"/>
        <v>0</v>
      </c>
      <c r="S30" s="24">
        <f>IF($A30="","",Households!S30*Settings!$B$14)</f>
        <v>4</v>
      </c>
      <c r="T30" s="24">
        <f>IF($A30="","",SUMIFS(Assistance_Log!$F$5:$F$367,Assistance_Log!$C$5:$C$367,$A30,Assistance_Log!$E$5:$E$367,"Winter clothing – children",Assistance_Log!$B$5:$B$367,"&gt;="&amp;Households!F30))</f>
        <v>0</v>
      </c>
      <c r="U30" s="24">
        <f t="shared" si="5"/>
        <v>4</v>
      </c>
      <c r="V30" s="24">
        <f>IF($A30="","",Households!T30*Settings!$B$14)</f>
        <v>1</v>
      </c>
      <c r="W30" s="24">
        <f>IF($A30="","",SUMIFS(Assistance_Log!$F$5:$F$367,Assistance_Log!$C$5:$C$367,$A30,Assistance_Log!$E$5:$E$367,"Winter clothing – adults",Assistance_Log!$B$5:$B$367,"&gt;="&amp;Households!F30))</f>
        <v>0</v>
      </c>
      <c r="X30" s="24">
        <f t="shared" si="6"/>
        <v>1</v>
      </c>
      <c r="Y30" s="24">
        <f>IF($A30="","",Households!J30*Settings!$B$15)</f>
        <v>4</v>
      </c>
      <c r="Z30" s="24">
        <f>IF($A30="","",SUMIFS(Assistance_Log!$F$5:$F$367,Assistance_Log!$C$5:$C$367,$A30,Assistance_Log!$E$5:$E$367,"Diapers",Assistance_Log!$B$5:$B$367,"&gt;="&amp;Households!F30))</f>
        <v>4</v>
      </c>
      <c r="AA30" s="24">
        <f t="shared" si="7"/>
        <v>0</v>
      </c>
      <c r="AB30" s="24">
        <f>IF($A30="","",Settings!$B$16)</f>
        <v>1</v>
      </c>
      <c r="AC30" s="24">
        <f>IF($A30="","",SUMIFS(Assistance_Log!$F$5:$F$367,Assistance_Log!$C$5:$C$367,$A30,Assistance_Log!$E$5:$E$367,"Family hygiene kits",Assistance_Log!$B$5:$B$367,"&gt;="&amp;Households!F30))</f>
        <v>0</v>
      </c>
      <c r="AD30" s="24">
        <f t="shared" si="8"/>
        <v>1</v>
      </c>
      <c r="AE30" s="24">
        <f>IF($A30="","",Households!N30*Settings!$B$17)</f>
        <v>1</v>
      </c>
      <c r="AF30" s="24">
        <f>IF($A30="","",SUMIFS(Assistance_Log!$F$5:$F$367,Assistance_Log!$C$5:$C$367,$A30,Assistance_Log!$E$5:$E$367,"Menstrual hygiene kits",Assistance_Log!$B$5:$B$367,"&gt;="&amp;Households!F30))</f>
        <v>0</v>
      </c>
      <c r="AG30" s="24">
        <f t="shared" si="9"/>
        <v>1</v>
      </c>
      <c r="AH30" s="25" t="str">
        <f t="shared" si="10"/>
        <v>Yes</v>
      </c>
      <c r="AI30" s="24">
        <f t="shared" si="11"/>
        <v>6</v>
      </c>
    </row>
    <row r="31" spans="1:35" x14ac:dyDescent="0.3">
      <c r="A31" s="24" t="str">
        <f>IF(Households!A31="","",Households!A31)</f>
        <v>HH-027</v>
      </c>
      <c r="B31" s="24" t="str">
        <f>IF($A31="","",Households!B31)</f>
        <v>Site A – School Shelter</v>
      </c>
      <c r="C31" s="24" t="str">
        <f>IF($A31="","",Households!X31)</f>
        <v>High</v>
      </c>
      <c r="D31" s="24">
        <f>IF($A31="","",MAX(0,Households!H31*Settings!$B$9-Households!Q31))</f>
        <v>12</v>
      </c>
      <c r="E31" s="24">
        <f>IF($A31="","",SUMIFS(Assistance_Log!$F$5:$F$367,Assistance_Log!$C$5:$C$367,$A31,Assistance_Log!$E$5:$E$367,"Blankets",Assistance_Log!$B$5:$B$367,"&gt;="&amp;Households!F31))</f>
        <v>10</v>
      </c>
      <c r="F31" s="25">
        <f t="shared" si="0"/>
        <v>2</v>
      </c>
      <c r="G31" s="24">
        <f>IF($A31="","",MAX(0,Households!H31*Settings!$B$10-Households!R31))</f>
        <v>2</v>
      </c>
      <c r="H31" s="24">
        <f>IF($A31="","",SUMIFS(Assistance_Log!$F$5:$F$367,Assistance_Log!$C$5:$C$367,$A31,Assistance_Log!$E$5:$E$367,"Mattresses",Assistance_Log!$B$5:$B$367,"&gt;="&amp;Households!F31))</f>
        <v>0</v>
      </c>
      <c r="I31" s="25">
        <f t="shared" si="1"/>
        <v>2</v>
      </c>
      <c r="J31" s="24">
        <f>IF($A31="","",IF(AND(OR(Households!C31="Tent",Households!C31="Makeshift shelter"),Households!D31="Damaged"),Settings!$B$11,0))</f>
        <v>0</v>
      </c>
      <c r="K31" s="24">
        <f>IF($A31="","",SUMIFS(Assistance_Log!$F$5:$F$367,Assistance_Log!$C$5:$C$367,$A31,Assistance_Log!$E$5:$E$367,"Tarpaulins",Assistance_Log!$B$5:$B$367,"&gt;="&amp;Households!F31))</f>
        <v>0</v>
      </c>
      <c r="L31" s="25">
        <f t="shared" si="2"/>
        <v>0</v>
      </c>
      <c r="M31" s="24">
        <f>IF($A31="","",IF(AND(OR(Households!C31="Tent",Households!C31="Makeshift shelter"),Households!D31="Unusable"),Settings!$B$12,0))</f>
        <v>0</v>
      </c>
      <c r="N31" s="24">
        <f>IF($A31="","",SUMIFS(Assistance_Log!$F$5:$F$367,Assistance_Log!$C$5:$C$367,$A31,Assistance_Log!$E$5:$E$367,"Tent replacement",Assistance_Log!$B$5:$B$367,"&gt;="&amp;Households!F31))</f>
        <v>0</v>
      </c>
      <c r="O31" s="25">
        <f t="shared" si="3"/>
        <v>0</v>
      </c>
      <c r="P31" s="24">
        <f>IF($A31="","",IF(Households!D31="Damaged",Settings!$B$13,0))</f>
        <v>0</v>
      </c>
      <c r="Q31" s="24">
        <f>IF($A31="","",SUMIFS(Assistance_Log!$F$5:$F$367,Assistance_Log!$C$5:$C$367,$A31,Assistance_Log!$E$5:$E$367,"Shelter repair kits",Assistance_Log!$B$5:$B$367,"&gt;="&amp;Households!F31))</f>
        <v>0</v>
      </c>
      <c r="R31" s="24">
        <f t="shared" si="4"/>
        <v>0</v>
      </c>
      <c r="S31" s="24">
        <f>IF($A31="","",Households!S31*Settings!$B$14)</f>
        <v>1</v>
      </c>
      <c r="T31" s="24">
        <f>IF($A31="","",SUMIFS(Assistance_Log!$F$5:$F$367,Assistance_Log!$C$5:$C$367,$A31,Assistance_Log!$E$5:$E$367,"Winter clothing – children",Assistance_Log!$B$5:$B$367,"&gt;="&amp;Households!F31))</f>
        <v>0</v>
      </c>
      <c r="U31" s="24">
        <f t="shared" si="5"/>
        <v>1</v>
      </c>
      <c r="V31" s="24">
        <f>IF($A31="","",Households!T31*Settings!$B$14)</f>
        <v>2</v>
      </c>
      <c r="W31" s="24">
        <f>IF($A31="","",SUMIFS(Assistance_Log!$F$5:$F$367,Assistance_Log!$C$5:$C$367,$A31,Assistance_Log!$E$5:$E$367,"Winter clothing – adults",Assistance_Log!$B$5:$B$367,"&gt;="&amp;Households!F31))</f>
        <v>2</v>
      </c>
      <c r="X31" s="24">
        <f t="shared" si="6"/>
        <v>0</v>
      </c>
      <c r="Y31" s="24">
        <f>IF($A31="","",Households!J31*Settings!$B$15)</f>
        <v>4</v>
      </c>
      <c r="Z31" s="24">
        <f>IF($A31="","",SUMIFS(Assistance_Log!$F$5:$F$367,Assistance_Log!$C$5:$C$367,$A31,Assistance_Log!$E$5:$E$367,"Diapers",Assistance_Log!$B$5:$B$367,"&gt;="&amp;Households!F31))</f>
        <v>0</v>
      </c>
      <c r="AA31" s="24">
        <f t="shared" si="7"/>
        <v>4</v>
      </c>
      <c r="AB31" s="24">
        <f>IF($A31="","",Settings!$B$16)</f>
        <v>1</v>
      </c>
      <c r="AC31" s="24">
        <f>IF($A31="","",SUMIFS(Assistance_Log!$F$5:$F$367,Assistance_Log!$C$5:$C$367,$A31,Assistance_Log!$E$5:$E$367,"Family hygiene kits",Assistance_Log!$B$5:$B$367,"&gt;="&amp;Households!F31))</f>
        <v>0</v>
      </c>
      <c r="AD31" s="24">
        <f t="shared" si="8"/>
        <v>1</v>
      </c>
      <c r="AE31" s="24">
        <f>IF($A31="","",Households!N31*Settings!$B$17)</f>
        <v>2</v>
      </c>
      <c r="AF31" s="24">
        <f>IF($A31="","",SUMIFS(Assistance_Log!$F$5:$F$367,Assistance_Log!$C$5:$C$367,$A31,Assistance_Log!$E$5:$E$367,"Menstrual hygiene kits",Assistance_Log!$B$5:$B$367,"&gt;="&amp;Households!F31))</f>
        <v>0</v>
      </c>
      <c r="AG31" s="24">
        <f t="shared" si="9"/>
        <v>2</v>
      </c>
      <c r="AH31" s="25" t="str">
        <f t="shared" si="10"/>
        <v>Yes</v>
      </c>
      <c r="AI31" s="24">
        <f t="shared" si="11"/>
        <v>6</v>
      </c>
    </row>
    <row r="32" spans="1:35" x14ac:dyDescent="0.3">
      <c r="A32" s="24" t="str">
        <f>IF(Households!A32="","",Households!A32)</f>
        <v>HH-028</v>
      </c>
      <c r="B32" s="24" t="str">
        <f>IF($A32="","",Households!B32)</f>
        <v>Site A – School Shelter</v>
      </c>
      <c r="C32" s="24" t="str">
        <f>IF($A32="","",Households!X32)</f>
        <v>Low</v>
      </c>
      <c r="D32" s="24">
        <f>IF($A32="","",MAX(0,Households!H32*Settings!$B$9-Households!Q32))</f>
        <v>7</v>
      </c>
      <c r="E32" s="24">
        <f>IF($A32="","",SUMIFS(Assistance_Log!$F$5:$F$367,Assistance_Log!$C$5:$C$367,$A32,Assistance_Log!$E$5:$E$367,"Blankets",Assistance_Log!$B$5:$B$367,"&gt;="&amp;Households!F32))</f>
        <v>7</v>
      </c>
      <c r="F32" s="25">
        <f t="shared" si="0"/>
        <v>0</v>
      </c>
      <c r="G32" s="24">
        <f>IF($A32="","",MAX(0,Households!H32*Settings!$B$10-Households!R32))</f>
        <v>1</v>
      </c>
      <c r="H32" s="24">
        <f>IF($A32="","",SUMIFS(Assistance_Log!$F$5:$F$367,Assistance_Log!$C$5:$C$367,$A32,Assistance_Log!$E$5:$E$367,"Mattresses",Assistance_Log!$B$5:$B$367,"&gt;="&amp;Households!F32))</f>
        <v>1</v>
      </c>
      <c r="I32" s="25">
        <f t="shared" si="1"/>
        <v>0</v>
      </c>
      <c r="J32" s="24">
        <f>IF($A32="","",IF(AND(OR(Households!C32="Tent",Households!C32="Makeshift shelter"),Households!D32="Damaged"),Settings!$B$11,0))</f>
        <v>0</v>
      </c>
      <c r="K32" s="24">
        <f>IF($A32="","",SUMIFS(Assistance_Log!$F$5:$F$367,Assistance_Log!$C$5:$C$367,$A32,Assistance_Log!$E$5:$E$367,"Tarpaulins",Assistance_Log!$B$5:$B$367,"&gt;="&amp;Households!F32))</f>
        <v>0</v>
      </c>
      <c r="L32" s="25">
        <f t="shared" si="2"/>
        <v>0</v>
      </c>
      <c r="M32" s="24">
        <f>IF($A32="","",IF(AND(OR(Households!C32="Tent",Households!C32="Makeshift shelter"),Households!D32="Unusable"),Settings!$B$12,0))</f>
        <v>0</v>
      </c>
      <c r="N32" s="24">
        <f>IF($A32="","",SUMIFS(Assistance_Log!$F$5:$F$367,Assistance_Log!$C$5:$C$367,$A32,Assistance_Log!$E$5:$E$367,"Tent replacement",Assistance_Log!$B$5:$B$367,"&gt;="&amp;Households!F32))</f>
        <v>0</v>
      </c>
      <c r="O32" s="25">
        <f t="shared" si="3"/>
        <v>0</v>
      </c>
      <c r="P32" s="24">
        <f>IF($A32="","",IF(Households!D32="Damaged",Settings!$B$13,0))</f>
        <v>0</v>
      </c>
      <c r="Q32" s="24">
        <f>IF($A32="","",SUMIFS(Assistance_Log!$F$5:$F$367,Assistance_Log!$C$5:$C$367,$A32,Assistance_Log!$E$5:$E$367,"Shelter repair kits",Assistance_Log!$B$5:$B$367,"&gt;="&amp;Households!F32))</f>
        <v>0</v>
      </c>
      <c r="R32" s="24">
        <f t="shared" si="4"/>
        <v>0</v>
      </c>
      <c r="S32" s="24">
        <f>IF($A32="","",Households!S32*Settings!$B$14)</f>
        <v>0</v>
      </c>
      <c r="T32" s="24">
        <f>IF($A32="","",SUMIFS(Assistance_Log!$F$5:$F$367,Assistance_Log!$C$5:$C$367,$A32,Assistance_Log!$E$5:$E$367,"Winter clothing – children",Assistance_Log!$B$5:$B$367,"&gt;="&amp;Households!F32))</f>
        <v>0</v>
      </c>
      <c r="U32" s="24">
        <f t="shared" si="5"/>
        <v>0</v>
      </c>
      <c r="V32" s="24">
        <f>IF($A32="","",Households!T32*Settings!$B$14)</f>
        <v>0</v>
      </c>
      <c r="W32" s="24">
        <f>IF($A32="","",SUMIFS(Assistance_Log!$F$5:$F$367,Assistance_Log!$C$5:$C$367,$A32,Assistance_Log!$E$5:$E$367,"Winter clothing – adults",Assistance_Log!$B$5:$B$367,"&gt;="&amp;Households!F32))</f>
        <v>0</v>
      </c>
      <c r="X32" s="24">
        <f t="shared" si="6"/>
        <v>0</v>
      </c>
      <c r="Y32" s="24">
        <f>IF($A32="","",Households!J32*Settings!$B$15)</f>
        <v>4</v>
      </c>
      <c r="Z32" s="24">
        <f>IF($A32="","",SUMIFS(Assistance_Log!$F$5:$F$367,Assistance_Log!$C$5:$C$367,$A32,Assistance_Log!$E$5:$E$367,"Diapers",Assistance_Log!$B$5:$B$367,"&gt;="&amp;Households!F32))</f>
        <v>0</v>
      </c>
      <c r="AA32" s="24">
        <f t="shared" si="7"/>
        <v>4</v>
      </c>
      <c r="AB32" s="24">
        <f>IF($A32="","",Settings!$B$16)</f>
        <v>1</v>
      </c>
      <c r="AC32" s="24">
        <f>IF($A32="","",SUMIFS(Assistance_Log!$F$5:$F$367,Assistance_Log!$C$5:$C$367,$A32,Assistance_Log!$E$5:$E$367,"Family hygiene kits",Assistance_Log!$B$5:$B$367,"&gt;="&amp;Households!F32))</f>
        <v>1</v>
      </c>
      <c r="AD32" s="24">
        <f t="shared" si="8"/>
        <v>0</v>
      </c>
      <c r="AE32" s="24">
        <f>IF($A32="","",Households!N32*Settings!$B$17)</f>
        <v>1</v>
      </c>
      <c r="AF32" s="24">
        <f>IF($A32="","",SUMIFS(Assistance_Log!$F$5:$F$367,Assistance_Log!$C$5:$C$367,$A32,Assistance_Log!$E$5:$E$367,"Menstrual hygiene kits",Assistance_Log!$B$5:$B$367,"&gt;="&amp;Households!F32))</f>
        <v>1</v>
      </c>
      <c r="AG32" s="24">
        <f t="shared" si="9"/>
        <v>0</v>
      </c>
      <c r="AH32" s="25" t="str">
        <f t="shared" si="10"/>
        <v>Yes</v>
      </c>
      <c r="AI32" s="24">
        <f t="shared" si="11"/>
        <v>1</v>
      </c>
    </row>
    <row r="33" spans="1:35" x14ac:dyDescent="0.3">
      <c r="A33" s="24" t="str">
        <f>IF(Households!A33="","",Households!A33)</f>
        <v>HH-029</v>
      </c>
      <c r="B33" s="24" t="str">
        <f>IF($A33="","",Households!B33)</f>
        <v>Site A – School Shelter</v>
      </c>
      <c r="C33" s="24" t="str">
        <f>IF($A33="","",Households!X33)</f>
        <v>High</v>
      </c>
      <c r="D33" s="24">
        <f>IF($A33="","",MAX(0,Households!H33*Settings!$B$9-Households!Q33))</f>
        <v>9</v>
      </c>
      <c r="E33" s="24">
        <f>IF($A33="","",SUMIFS(Assistance_Log!$F$5:$F$367,Assistance_Log!$C$5:$C$367,$A33,Assistance_Log!$E$5:$E$367,"Blankets",Assistance_Log!$B$5:$B$367,"&gt;="&amp;Households!F33))</f>
        <v>9</v>
      </c>
      <c r="F33" s="25">
        <f t="shared" si="0"/>
        <v>0</v>
      </c>
      <c r="G33" s="24">
        <f>IF($A33="","",MAX(0,Households!H33*Settings!$B$10-Households!R33))</f>
        <v>2</v>
      </c>
      <c r="H33" s="24">
        <f>IF($A33="","",SUMIFS(Assistance_Log!$F$5:$F$367,Assistance_Log!$C$5:$C$367,$A33,Assistance_Log!$E$5:$E$367,"Mattresses",Assistance_Log!$B$5:$B$367,"&gt;="&amp;Households!F33))</f>
        <v>1</v>
      </c>
      <c r="I33" s="25">
        <f t="shared" si="1"/>
        <v>1</v>
      </c>
      <c r="J33" s="24">
        <f>IF($A33="","",IF(AND(OR(Households!C33="Tent",Households!C33="Makeshift shelter"),Households!D33="Damaged"),Settings!$B$11,0))</f>
        <v>0</v>
      </c>
      <c r="K33" s="24">
        <f>IF($A33="","",SUMIFS(Assistance_Log!$F$5:$F$367,Assistance_Log!$C$5:$C$367,$A33,Assistance_Log!$E$5:$E$367,"Tarpaulins",Assistance_Log!$B$5:$B$367,"&gt;="&amp;Households!F33))</f>
        <v>0</v>
      </c>
      <c r="L33" s="25">
        <f t="shared" si="2"/>
        <v>0</v>
      </c>
      <c r="M33" s="24">
        <f>IF($A33="","",IF(AND(OR(Households!C33="Tent",Households!C33="Makeshift shelter"),Households!D33="Unusable"),Settings!$B$12,0))</f>
        <v>0</v>
      </c>
      <c r="N33" s="24">
        <f>IF($A33="","",SUMIFS(Assistance_Log!$F$5:$F$367,Assistance_Log!$C$5:$C$367,$A33,Assistance_Log!$E$5:$E$367,"Tent replacement",Assistance_Log!$B$5:$B$367,"&gt;="&amp;Households!F33))</f>
        <v>0</v>
      </c>
      <c r="O33" s="25">
        <f t="shared" si="3"/>
        <v>0</v>
      </c>
      <c r="P33" s="24">
        <f>IF($A33="","",IF(Households!D33="Damaged",Settings!$B$13,0))</f>
        <v>1</v>
      </c>
      <c r="Q33" s="24">
        <f>IF($A33="","",SUMIFS(Assistance_Log!$F$5:$F$367,Assistance_Log!$C$5:$C$367,$A33,Assistance_Log!$E$5:$E$367,"Shelter repair kits",Assistance_Log!$B$5:$B$367,"&gt;="&amp;Households!F33))</f>
        <v>0</v>
      </c>
      <c r="R33" s="24">
        <f t="shared" si="4"/>
        <v>1</v>
      </c>
      <c r="S33" s="24">
        <f>IF($A33="","",Households!S33*Settings!$B$14)</f>
        <v>7</v>
      </c>
      <c r="T33" s="24">
        <f>IF($A33="","",SUMIFS(Assistance_Log!$F$5:$F$367,Assistance_Log!$C$5:$C$367,$A33,Assistance_Log!$E$5:$E$367,"Winter clothing – children",Assistance_Log!$B$5:$B$367,"&gt;="&amp;Households!F33))</f>
        <v>7</v>
      </c>
      <c r="U33" s="24">
        <f t="shared" si="5"/>
        <v>0</v>
      </c>
      <c r="V33" s="24">
        <f>IF($A33="","",Households!T33*Settings!$B$14)</f>
        <v>2</v>
      </c>
      <c r="W33" s="24">
        <f>IF($A33="","",SUMIFS(Assistance_Log!$F$5:$F$367,Assistance_Log!$C$5:$C$367,$A33,Assistance_Log!$E$5:$E$367,"Winter clothing – adults",Assistance_Log!$B$5:$B$367,"&gt;="&amp;Households!F33))</f>
        <v>0</v>
      </c>
      <c r="X33" s="24">
        <f t="shared" si="6"/>
        <v>2</v>
      </c>
      <c r="Y33" s="24">
        <f>IF($A33="","",Households!J33*Settings!$B$15)</f>
        <v>4</v>
      </c>
      <c r="Z33" s="24">
        <f>IF($A33="","",SUMIFS(Assistance_Log!$F$5:$F$367,Assistance_Log!$C$5:$C$367,$A33,Assistance_Log!$E$5:$E$367,"Diapers",Assistance_Log!$B$5:$B$367,"&gt;="&amp;Households!F33))</f>
        <v>0</v>
      </c>
      <c r="AA33" s="24">
        <f t="shared" si="7"/>
        <v>4</v>
      </c>
      <c r="AB33" s="24">
        <f>IF($A33="","",Settings!$B$16)</f>
        <v>1</v>
      </c>
      <c r="AC33" s="24">
        <f>IF($A33="","",SUMIFS(Assistance_Log!$F$5:$F$367,Assistance_Log!$C$5:$C$367,$A33,Assistance_Log!$E$5:$E$367,"Family hygiene kits",Assistance_Log!$B$5:$B$367,"&gt;="&amp;Households!F33))</f>
        <v>0</v>
      </c>
      <c r="AD33" s="24">
        <f t="shared" si="8"/>
        <v>1</v>
      </c>
      <c r="AE33" s="24">
        <f>IF($A33="","",Households!N33*Settings!$B$17)</f>
        <v>1</v>
      </c>
      <c r="AF33" s="24">
        <f>IF($A33="","",SUMIFS(Assistance_Log!$F$5:$F$367,Assistance_Log!$C$5:$C$367,$A33,Assistance_Log!$E$5:$E$367,"Menstrual hygiene kits",Assistance_Log!$B$5:$B$367,"&gt;="&amp;Households!F33))</f>
        <v>0</v>
      </c>
      <c r="AG33" s="24">
        <f t="shared" si="9"/>
        <v>1</v>
      </c>
      <c r="AH33" s="25" t="str">
        <f t="shared" si="10"/>
        <v>Yes</v>
      </c>
      <c r="AI33" s="24">
        <f t="shared" si="11"/>
        <v>6</v>
      </c>
    </row>
    <row r="34" spans="1:35" x14ac:dyDescent="0.3">
      <c r="A34" s="24" t="str">
        <f>IF(Households!A34="","",Households!A34)</f>
        <v>HH-030</v>
      </c>
      <c r="B34" s="24" t="str">
        <f>IF($A34="","",Households!B34)</f>
        <v>Site A – School Shelter</v>
      </c>
      <c r="C34" s="24" t="str">
        <f>IF($A34="","",Households!X34)</f>
        <v>Low</v>
      </c>
      <c r="D34" s="24">
        <f>IF($A34="","",MAX(0,Households!H34*Settings!$B$9-Households!Q34))</f>
        <v>3</v>
      </c>
      <c r="E34" s="24">
        <f>IF($A34="","",SUMIFS(Assistance_Log!$F$5:$F$367,Assistance_Log!$C$5:$C$367,$A34,Assistance_Log!$E$5:$E$367,"Blankets",Assistance_Log!$B$5:$B$367,"&gt;="&amp;Households!F34))</f>
        <v>0</v>
      </c>
      <c r="F34" s="25">
        <f t="shared" si="0"/>
        <v>3</v>
      </c>
      <c r="G34" s="24">
        <f>IF($A34="","",MAX(0,Households!H34*Settings!$B$10-Households!R34))</f>
        <v>4</v>
      </c>
      <c r="H34" s="24">
        <f>IF($A34="","",SUMIFS(Assistance_Log!$F$5:$F$367,Assistance_Log!$C$5:$C$367,$A34,Assistance_Log!$E$5:$E$367,"Mattresses",Assistance_Log!$B$5:$B$367,"&gt;="&amp;Households!F34))</f>
        <v>4</v>
      </c>
      <c r="I34" s="25">
        <f t="shared" si="1"/>
        <v>0</v>
      </c>
      <c r="J34" s="24">
        <f>IF($A34="","",IF(AND(OR(Households!C34="Tent",Households!C34="Makeshift shelter"),Households!D34="Damaged"),Settings!$B$11,0))</f>
        <v>0</v>
      </c>
      <c r="K34" s="24">
        <f>IF($A34="","",SUMIFS(Assistance_Log!$F$5:$F$367,Assistance_Log!$C$5:$C$367,$A34,Assistance_Log!$E$5:$E$367,"Tarpaulins",Assistance_Log!$B$5:$B$367,"&gt;="&amp;Households!F34))</f>
        <v>0</v>
      </c>
      <c r="L34" s="25">
        <f t="shared" si="2"/>
        <v>0</v>
      </c>
      <c r="M34" s="24">
        <f>IF($A34="","",IF(AND(OR(Households!C34="Tent",Households!C34="Makeshift shelter"),Households!D34="Unusable"),Settings!$B$12,0))</f>
        <v>0</v>
      </c>
      <c r="N34" s="24">
        <f>IF($A34="","",SUMIFS(Assistance_Log!$F$5:$F$367,Assistance_Log!$C$5:$C$367,$A34,Assistance_Log!$E$5:$E$367,"Tent replacement",Assistance_Log!$B$5:$B$367,"&gt;="&amp;Households!F34))</f>
        <v>0</v>
      </c>
      <c r="O34" s="25">
        <f t="shared" si="3"/>
        <v>0</v>
      </c>
      <c r="P34" s="24">
        <f>IF($A34="","",IF(Households!D34="Damaged",Settings!$B$13,0))</f>
        <v>0</v>
      </c>
      <c r="Q34" s="24">
        <f>IF($A34="","",SUMIFS(Assistance_Log!$F$5:$F$367,Assistance_Log!$C$5:$C$367,$A34,Assistance_Log!$E$5:$E$367,"Shelter repair kits",Assistance_Log!$B$5:$B$367,"&gt;="&amp;Households!F34))</f>
        <v>0</v>
      </c>
      <c r="R34" s="24">
        <f t="shared" si="4"/>
        <v>0</v>
      </c>
      <c r="S34" s="24">
        <f>IF($A34="","",Households!S34*Settings!$B$14)</f>
        <v>0</v>
      </c>
      <c r="T34" s="24">
        <f>IF($A34="","",SUMIFS(Assistance_Log!$F$5:$F$367,Assistance_Log!$C$5:$C$367,$A34,Assistance_Log!$E$5:$E$367,"Winter clothing – children",Assistance_Log!$B$5:$B$367,"&gt;="&amp;Households!F34))</f>
        <v>0</v>
      </c>
      <c r="U34" s="24">
        <f t="shared" si="5"/>
        <v>0</v>
      </c>
      <c r="V34" s="24">
        <f>IF($A34="","",Households!T34*Settings!$B$14)</f>
        <v>1</v>
      </c>
      <c r="W34" s="24">
        <f>IF($A34="","",SUMIFS(Assistance_Log!$F$5:$F$367,Assistance_Log!$C$5:$C$367,$A34,Assistance_Log!$E$5:$E$367,"Winter clothing – adults",Assistance_Log!$B$5:$B$367,"&gt;="&amp;Households!F34))</f>
        <v>0</v>
      </c>
      <c r="X34" s="24">
        <f t="shared" si="6"/>
        <v>1</v>
      </c>
      <c r="Y34" s="24">
        <f>IF($A34="","",Households!J34*Settings!$B$15)</f>
        <v>0</v>
      </c>
      <c r="Z34" s="24">
        <f>IF($A34="","",SUMIFS(Assistance_Log!$F$5:$F$367,Assistance_Log!$C$5:$C$367,$A34,Assistance_Log!$E$5:$E$367,"Diapers",Assistance_Log!$B$5:$B$367,"&gt;="&amp;Households!F34))</f>
        <v>0</v>
      </c>
      <c r="AA34" s="24">
        <f t="shared" si="7"/>
        <v>0</v>
      </c>
      <c r="AB34" s="24">
        <f>IF($A34="","",Settings!$B$16)</f>
        <v>1</v>
      </c>
      <c r="AC34" s="24">
        <f>IF($A34="","",SUMIFS(Assistance_Log!$F$5:$F$367,Assistance_Log!$C$5:$C$367,$A34,Assistance_Log!$E$5:$E$367,"Family hygiene kits",Assistance_Log!$B$5:$B$367,"&gt;="&amp;Households!F34))</f>
        <v>1</v>
      </c>
      <c r="AD34" s="24">
        <f t="shared" si="8"/>
        <v>0</v>
      </c>
      <c r="AE34" s="24">
        <f>IF($A34="","",Households!N34*Settings!$B$17)</f>
        <v>1</v>
      </c>
      <c r="AF34" s="24">
        <f>IF($A34="","",SUMIFS(Assistance_Log!$F$5:$F$367,Assistance_Log!$C$5:$C$367,$A34,Assistance_Log!$E$5:$E$367,"Menstrual hygiene kits",Assistance_Log!$B$5:$B$367,"&gt;="&amp;Households!F34))</f>
        <v>0</v>
      </c>
      <c r="AG34" s="24">
        <f t="shared" si="9"/>
        <v>1</v>
      </c>
      <c r="AH34" s="25" t="str">
        <f t="shared" si="10"/>
        <v>Yes</v>
      </c>
      <c r="AI34" s="24">
        <f t="shared" si="11"/>
        <v>3</v>
      </c>
    </row>
    <row r="35" spans="1:35" x14ac:dyDescent="0.3">
      <c r="A35" s="24" t="str">
        <f>IF(Households!A35="","",Households!A35)</f>
        <v>HH-031</v>
      </c>
      <c r="B35" s="24" t="str">
        <f>IF($A35="","",Households!B35)</f>
        <v>Site A – School Shelter</v>
      </c>
      <c r="C35" s="24" t="str">
        <f>IF($A35="","",Households!X35)</f>
        <v>Medium</v>
      </c>
      <c r="D35" s="24">
        <f>IF($A35="","",MAX(0,Households!H35*Settings!$B$9-Households!Q35))</f>
        <v>7</v>
      </c>
      <c r="E35" s="24">
        <f>IF($A35="","",SUMIFS(Assistance_Log!$F$5:$F$367,Assistance_Log!$C$5:$C$367,$A35,Assistance_Log!$E$5:$E$367,"Blankets",Assistance_Log!$B$5:$B$367,"&gt;="&amp;Households!F35))</f>
        <v>4</v>
      </c>
      <c r="F35" s="25">
        <f t="shared" si="0"/>
        <v>3</v>
      </c>
      <c r="G35" s="24">
        <f>IF($A35="","",MAX(0,Households!H35*Settings!$B$10-Households!R35))</f>
        <v>1</v>
      </c>
      <c r="H35" s="24">
        <f>IF($A35="","",SUMIFS(Assistance_Log!$F$5:$F$367,Assistance_Log!$C$5:$C$367,$A35,Assistance_Log!$E$5:$E$367,"Mattresses",Assistance_Log!$B$5:$B$367,"&gt;="&amp;Households!F35))</f>
        <v>0</v>
      </c>
      <c r="I35" s="25">
        <f t="shared" si="1"/>
        <v>1</v>
      </c>
      <c r="J35" s="24">
        <f>IF($A35="","",IF(AND(OR(Households!C35="Tent",Households!C35="Makeshift shelter"),Households!D35="Damaged"),Settings!$B$11,0))</f>
        <v>0</v>
      </c>
      <c r="K35" s="24">
        <f>IF($A35="","",SUMIFS(Assistance_Log!$F$5:$F$367,Assistance_Log!$C$5:$C$367,$A35,Assistance_Log!$E$5:$E$367,"Tarpaulins",Assistance_Log!$B$5:$B$367,"&gt;="&amp;Households!F35))</f>
        <v>0</v>
      </c>
      <c r="L35" s="25">
        <f t="shared" si="2"/>
        <v>0</v>
      </c>
      <c r="M35" s="24">
        <f>IF($A35="","",IF(AND(OR(Households!C35="Tent",Households!C35="Makeshift shelter"),Households!D35="Unusable"),Settings!$B$12,0))</f>
        <v>0</v>
      </c>
      <c r="N35" s="24">
        <f>IF($A35="","",SUMIFS(Assistance_Log!$F$5:$F$367,Assistance_Log!$C$5:$C$367,$A35,Assistance_Log!$E$5:$E$367,"Tent replacement",Assistance_Log!$B$5:$B$367,"&gt;="&amp;Households!F35))</f>
        <v>0</v>
      </c>
      <c r="O35" s="25">
        <f t="shared" si="3"/>
        <v>0</v>
      </c>
      <c r="P35" s="24">
        <f>IF($A35="","",IF(Households!D35="Damaged",Settings!$B$13,0))</f>
        <v>1</v>
      </c>
      <c r="Q35" s="24">
        <f>IF($A35="","",SUMIFS(Assistance_Log!$F$5:$F$367,Assistance_Log!$C$5:$C$367,$A35,Assistance_Log!$E$5:$E$367,"Shelter repair kits",Assistance_Log!$B$5:$B$367,"&gt;="&amp;Households!F35))</f>
        <v>0</v>
      </c>
      <c r="R35" s="24">
        <f t="shared" si="4"/>
        <v>1</v>
      </c>
      <c r="S35" s="24">
        <f>IF($A35="","",Households!S35*Settings!$B$14)</f>
        <v>3</v>
      </c>
      <c r="T35" s="24">
        <f>IF($A35="","",SUMIFS(Assistance_Log!$F$5:$F$367,Assistance_Log!$C$5:$C$367,$A35,Assistance_Log!$E$5:$E$367,"Winter clothing – children",Assistance_Log!$B$5:$B$367,"&gt;="&amp;Households!F35))</f>
        <v>1</v>
      </c>
      <c r="U35" s="24">
        <f t="shared" si="5"/>
        <v>2</v>
      </c>
      <c r="V35" s="24">
        <f>IF($A35="","",Households!T35*Settings!$B$14)</f>
        <v>1</v>
      </c>
      <c r="W35" s="24">
        <f>IF($A35="","",SUMIFS(Assistance_Log!$F$5:$F$367,Assistance_Log!$C$5:$C$367,$A35,Assistance_Log!$E$5:$E$367,"Winter clothing – adults",Assistance_Log!$B$5:$B$367,"&gt;="&amp;Households!F35))</f>
        <v>0</v>
      </c>
      <c r="X35" s="24">
        <f t="shared" si="6"/>
        <v>1</v>
      </c>
      <c r="Y35" s="24">
        <f>IF($A35="","",Households!J35*Settings!$B$15)</f>
        <v>4</v>
      </c>
      <c r="Z35" s="24">
        <f>IF($A35="","",SUMIFS(Assistance_Log!$F$5:$F$367,Assistance_Log!$C$5:$C$367,$A35,Assistance_Log!$E$5:$E$367,"Diapers",Assistance_Log!$B$5:$B$367,"&gt;="&amp;Households!F35))</f>
        <v>0</v>
      </c>
      <c r="AA35" s="24">
        <f t="shared" si="7"/>
        <v>4</v>
      </c>
      <c r="AB35" s="24">
        <f>IF($A35="","",Settings!$B$16)</f>
        <v>1</v>
      </c>
      <c r="AC35" s="24">
        <f>IF($A35="","",SUMIFS(Assistance_Log!$F$5:$F$367,Assistance_Log!$C$5:$C$367,$A35,Assistance_Log!$E$5:$E$367,"Family hygiene kits",Assistance_Log!$B$5:$B$367,"&gt;="&amp;Households!F35))</f>
        <v>1</v>
      </c>
      <c r="AD35" s="24">
        <f t="shared" si="8"/>
        <v>0</v>
      </c>
      <c r="AE35" s="24">
        <f>IF($A35="","",Households!N35*Settings!$B$17)</f>
        <v>2</v>
      </c>
      <c r="AF35" s="24">
        <f>IF($A35="","",SUMIFS(Assistance_Log!$F$5:$F$367,Assistance_Log!$C$5:$C$367,$A35,Assistance_Log!$E$5:$E$367,"Menstrual hygiene kits",Assistance_Log!$B$5:$B$367,"&gt;="&amp;Households!F35))</f>
        <v>0</v>
      </c>
      <c r="AG35" s="24">
        <f t="shared" si="9"/>
        <v>2</v>
      </c>
      <c r="AH35" s="25" t="str">
        <f t="shared" si="10"/>
        <v>Yes</v>
      </c>
      <c r="AI35" s="24">
        <f t="shared" si="11"/>
        <v>7</v>
      </c>
    </row>
    <row r="36" spans="1:35" x14ac:dyDescent="0.3">
      <c r="A36" s="24" t="str">
        <f>IF(Households!A36="","",Households!A36)</f>
        <v>HH-032</v>
      </c>
      <c r="B36" s="24" t="str">
        <f>IF($A36="","",Households!B36)</f>
        <v>Site A – School Shelter</v>
      </c>
      <c r="C36" s="24" t="str">
        <f>IF($A36="","",Households!X36)</f>
        <v>Medium</v>
      </c>
      <c r="D36" s="24">
        <f>IF($A36="","",MAX(0,Households!H36*Settings!$B$9-Households!Q36))</f>
        <v>2</v>
      </c>
      <c r="E36" s="24">
        <f>IF($A36="","",SUMIFS(Assistance_Log!$F$5:$F$367,Assistance_Log!$C$5:$C$367,$A36,Assistance_Log!$E$5:$E$367,"Blankets",Assistance_Log!$B$5:$B$367,"&gt;="&amp;Households!F36))</f>
        <v>2</v>
      </c>
      <c r="F36" s="25">
        <f t="shared" si="0"/>
        <v>0</v>
      </c>
      <c r="G36" s="24">
        <f>IF($A36="","",MAX(0,Households!H36*Settings!$B$10-Households!R36))</f>
        <v>1</v>
      </c>
      <c r="H36" s="24">
        <f>IF($A36="","",SUMIFS(Assistance_Log!$F$5:$F$367,Assistance_Log!$C$5:$C$367,$A36,Assistance_Log!$E$5:$E$367,"Mattresses",Assistance_Log!$B$5:$B$367,"&gt;="&amp;Households!F36))</f>
        <v>0</v>
      </c>
      <c r="I36" s="25">
        <f t="shared" si="1"/>
        <v>1</v>
      </c>
      <c r="J36" s="24">
        <f>IF($A36="","",IF(AND(OR(Households!C36="Tent",Households!C36="Makeshift shelter"),Households!D36="Damaged"),Settings!$B$11,0))</f>
        <v>0</v>
      </c>
      <c r="K36" s="24">
        <f>IF($A36="","",SUMIFS(Assistance_Log!$F$5:$F$367,Assistance_Log!$C$5:$C$367,$A36,Assistance_Log!$E$5:$E$367,"Tarpaulins",Assistance_Log!$B$5:$B$367,"&gt;="&amp;Households!F36))</f>
        <v>0</v>
      </c>
      <c r="L36" s="25">
        <f t="shared" si="2"/>
        <v>0</v>
      </c>
      <c r="M36" s="24">
        <f>IF($A36="","",IF(AND(OR(Households!C36="Tent",Households!C36="Makeshift shelter"),Households!D36="Unusable"),Settings!$B$12,0))</f>
        <v>0</v>
      </c>
      <c r="N36" s="24">
        <f>IF($A36="","",SUMIFS(Assistance_Log!$F$5:$F$367,Assistance_Log!$C$5:$C$367,$A36,Assistance_Log!$E$5:$E$367,"Tent replacement",Assistance_Log!$B$5:$B$367,"&gt;="&amp;Households!F36))</f>
        <v>0</v>
      </c>
      <c r="O36" s="25">
        <f t="shared" si="3"/>
        <v>0</v>
      </c>
      <c r="P36" s="24">
        <f>IF($A36="","",IF(Households!D36="Damaged",Settings!$B$13,0))</f>
        <v>0</v>
      </c>
      <c r="Q36" s="24">
        <f>IF($A36="","",SUMIFS(Assistance_Log!$F$5:$F$367,Assistance_Log!$C$5:$C$367,$A36,Assistance_Log!$E$5:$E$367,"Shelter repair kits",Assistance_Log!$B$5:$B$367,"&gt;="&amp;Households!F36))</f>
        <v>0</v>
      </c>
      <c r="R36" s="24">
        <f t="shared" si="4"/>
        <v>0</v>
      </c>
      <c r="S36" s="24">
        <f>IF($A36="","",Households!S36*Settings!$B$14)</f>
        <v>0</v>
      </c>
      <c r="T36" s="24">
        <f>IF($A36="","",SUMIFS(Assistance_Log!$F$5:$F$367,Assistance_Log!$C$5:$C$367,$A36,Assistance_Log!$E$5:$E$367,"Winter clothing – children",Assistance_Log!$B$5:$B$367,"&gt;="&amp;Households!F36))</f>
        <v>0</v>
      </c>
      <c r="U36" s="24">
        <f t="shared" si="5"/>
        <v>0</v>
      </c>
      <c r="V36" s="24">
        <f>IF($A36="","",Households!T36*Settings!$B$14)</f>
        <v>0</v>
      </c>
      <c r="W36" s="24">
        <f>IF($A36="","",SUMIFS(Assistance_Log!$F$5:$F$367,Assistance_Log!$C$5:$C$367,$A36,Assistance_Log!$E$5:$E$367,"Winter clothing – adults",Assistance_Log!$B$5:$B$367,"&gt;="&amp;Households!F36))</f>
        <v>0</v>
      </c>
      <c r="X36" s="24">
        <f t="shared" si="6"/>
        <v>0</v>
      </c>
      <c r="Y36" s="24">
        <f>IF($A36="","",Households!J36*Settings!$B$15)</f>
        <v>0</v>
      </c>
      <c r="Z36" s="24">
        <f>IF($A36="","",SUMIFS(Assistance_Log!$F$5:$F$367,Assistance_Log!$C$5:$C$367,$A36,Assistance_Log!$E$5:$E$367,"Diapers",Assistance_Log!$B$5:$B$367,"&gt;="&amp;Households!F36))</f>
        <v>0</v>
      </c>
      <c r="AA36" s="24">
        <f t="shared" si="7"/>
        <v>0</v>
      </c>
      <c r="AB36" s="24">
        <f>IF($A36="","",Settings!$B$16)</f>
        <v>1</v>
      </c>
      <c r="AC36" s="24">
        <f>IF($A36="","",SUMIFS(Assistance_Log!$F$5:$F$367,Assistance_Log!$C$5:$C$367,$A36,Assistance_Log!$E$5:$E$367,"Family hygiene kits",Assistance_Log!$B$5:$B$367,"&gt;="&amp;Households!F36))</f>
        <v>1</v>
      </c>
      <c r="AD36" s="24">
        <f t="shared" si="8"/>
        <v>0</v>
      </c>
      <c r="AE36" s="24">
        <f>IF($A36="","",Households!N36*Settings!$B$17)</f>
        <v>1</v>
      </c>
      <c r="AF36" s="24">
        <f>IF($A36="","",SUMIFS(Assistance_Log!$F$5:$F$367,Assistance_Log!$C$5:$C$367,$A36,Assistance_Log!$E$5:$E$367,"Menstrual hygiene kits",Assistance_Log!$B$5:$B$367,"&gt;="&amp;Households!F36))</f>
        <v>1</v>
      </c>
      <c r="AG36" s="24">
        <f t="shared" si="9"/>
        <v>0</v>
      </c>
      <c r="AH36" s="25" t="str">
        <f t="shared" si="10"/>
        <v>Yes</v>
      </c>
      <c r="AI36" s="24">
        <f t="shared" si="11"/>
        <v>1</v>
      </c>
    </row>
    <row r="37" spans="1:35" x14ac:dyDescent="0.3">
      <c r="A37" s="24" t="str">
        <f>IF(Households!A37="","",Households!A37)</f>
        <v>HH-033</v>
      </c>
      <c r="B37" s="24" t="str">
        <f>IF($A37="","",Households!B37)</f>
        <v>Site A – School Shelter</v>
      </c>
      <c r="C37" s="24" t="str">
        <f>IF($A37="","",Households!X37)</f>
        <v>Low</v>
      </c>
      <c r="D37" s="24">
        <f>IF($A37="","",MAX(0,Households!H37*Settings!$B$9-Households!Q37))</f>
        <v>9</v>
      </c>
      <c r="E37" s="24">
        <f>IF($A37="","",SUMIFS(Assistance_Log!$F$5:$F$367,Assistance_Log!$C$5:$C$367,$A37,Assistance_Log!$E$5:$E$367,"Blankets",Assistance_Log!$B$5:$B$367,"&gt;="&amp;Households!F37))</f>
        <v>2</v>
      </c>
      <c r="F37" s="25">
        <f t="shared" ref="F37:F68" si="12">IF($A37="","",MAX(0,D37-E37))</f>
        <v>7</v>
      </c>
      <c r="G37" s="24">
        <f>IF($A37="","",MAX(0,Households!H37*Settings!$B$10-Households!R37))</f>
        <v>6</v>
      </c>
      <c r="H37" s="24">
        <f>IF($A37="","",SUMIFS(Assistance_Log!$F$5:$F$367,Assistance_Log!$C$5:$C$367,$A37,Assistance_Log!$E$5:$E$367,"Mattresses",Assistance_Log!$B$5:$B$367,"&gt;="&amp;Households!F37))</f>
        <v>3</v>
      </c>
      <c r="I37" s="25">
        <f t="shared" ref="I37:I68" si="13">IF($A37="","",MAX(0,G37-H37))</f>
        <v>3</v>
      </c>
      <c r="J37" s="24">
        <f>IF($A37="","",IF(AND(OR(Households!C37="Tent",Households!C37="Makeshift shelter"),Households!D37="Damaged"),Settings!$B$11,0))</f>
        <v>0</v>
      </c>
      <c r="K37" s="24">
        <f>IF($A37="","",SUMIFS(Assistance_Log!$F$5:$F$367,Assistance_Log!$C$5:$C$367,$A37,Assistance_Log!$E$5:$E$367,"Tarpaulins",Assistance_Log!$B$5:$B$367,"&gt;="&amp;Households!F37))</f>
        <v>0</v>
      </c>
      <c r="L37" s="25">
        <f t="shared" ref="L37:L68" si="14">IF($A37="","",MAX(0,J37-K37))</f>
        <v>0</v>
      </c>
      <c r="M37" s="24">
        <f>IF($A37="","",IF(AND(OR(Households!C37="Tent",Households!C37="Makeshift shelter"),Households!D37="Unusable"),Settings!$B$12,0))</f>
        <v>0</v>
      </c>
      <c r="N37" s="24">
        <f>IF($A37="","",SUMIFS(Assistance_Log!$F$5:$F$367,Assistance_Log!$C$5:$C$367,$A37,Assistance_Log!$E$5:$E$367,"Tent replacement",Assistance_Log!$B$5:$B$367,"&gt;="&amp;Households!F37))</f>
        <v>0</v>
      </c>
      <c r="O37" s="25">
        <f t="shared" ref="O37:O68" si="15">IF($A37="","",MAX(0,M37-N37))</f>
        <v>0</v>
      </c>
      <c r="P37" s="24">
        <f>IF($A37="","",IF(Households!D37="Damaged",Settings!$B$13,0))</f>
        <v>0</v>
      </c>
      <c r="Q37" s="24">
        <f>IF($A37="","",SUMIFS(Assistance_Log!$F$5:$F$367,Assistance_Log!$C$5:$C$367,$A37,Assistance_Log!$E$5:$E$367,"Shelter repair kits",Assistance_Log!$B$5:$B$367,"&gt;="&amp;Households!F37))</f>
        <v>0</v>
      </c>
      <c r="R37" s="24">
        <f t="shared" ref="R37:R68" si="16">IF($A37="","",MAX(0,P37-Q37))</f>
        <v>0</v>
      </c>
      <c r="S37" s="24">
        <f>IF($A37="","",Households!S37*Settings!$B$14)</f>
        <v>1</v>
      </c>
      <c r="T37" s="24">
        <f>IF($A37="","",SUMIFS(Assistance_Log!$F$5:$F$367,Assistance_Log!$C$5:$C$367,$A37,Assistance_Log!$E$5:$E$367,"Winter clothing – children",Assistance_Log!$B$5:$B$367,"&gt;="&amp;Households!F37))</f>
        <v>0</v>
      </c>
      <c r="U37" s="24">
        <f t="shared" ref="U37:U68" si="17">IF($A37="","",MAX(0,S37-T37))</f>
        <v>1</v>
      </c>
      <c r="V37" s="24">
        <f>IF($A37="","",Households!T37*Settings!$B$14)</f>
        <v>1</v>
      </c>
      <c r="W37" s="24">
        <f>IF($A37="","",SUMIFS(Assistance_Log!$F$5:$F$367,Assistance_Log!$C$5:$C$367,$A37,Assistance_Log!$E$5:$E$367,"Winter clothing – adults",Assistance_Log!$B$5:$B$367,"&gt;="&amp;Households!F37))</f>
        <v>0</v>
      </c>
      <c r="X37" s="24">
        <f t="shared" ref="X37:X68" si="18">IF($A37="","",MAX(0,V37-W37))</f>
        <v>1</v>
      </c>
      <c r="Y37" s="24">
        <f>IF($A37="","",Households!J37*Settings!$B$15)</f>
        <v>0</v>
      </c>
      <c r="Z37" s="24">
        <f>IF($A37="","",SUMIFS(Assistance_Log!$F$5:$F$367,Assistance_Log!$C$5:$C$367,$A37,Assistance_Log!$E$5:$E$367,"Diapers",Assistance_Log!$B$5:$B$367,"&gt;="&amp;Households!F37))</f>
        <v>0</v>
      </c>
      <c r="AA37" s="24">
        <f t="shared" ref="AA37:AA68" si="19">IF($A37="","",MAX(0,Y37-Z37))</f>
        <v>0</v>
      </c>
      <c r="AB37" s="24">
        <f>IF($A37="","",Settings!$B$16)</f>
        <v>1</v>
      </c>
      <c r="AC37" s="24">
        <f>IF($A37="","",SUMIFS(Assistance_Log!$F$5:$F$367,Assistance_Log!$C$5:$C$367,$A37,Assistance_Log!$E$5:$E$367,"Family hygiene kits",Assistance_Log!$B$5:$B$367,"&gt;="&amp;Households!F37))</f>
        <v>1</v>
      </c>
      <c r="AD37" s="24">
        <f t="shared" ref="AD37:AD68" si="20">IF($A37="","",MAX(0,AB37-AC37))</f>
        <v>0</v>
      </c>
      <c r="AE37" s="24">
        <f>IF($A37="","",Households!N37*Settings!$B$17)</f>
        <v>2</v>
      </c>
      <c r="AF37" s="24">
        <f>IF($A37="","",SUMIFS(Assistance_Log!$F$5:$F$367,Assistance_Log!$C$5:$C$367,$A37,Assistance_Log!$E$5:$E$367,"Menstrual hygiene kits",Assistance_Log!$B$5:$B$367,"&gt;="&amp;Households!F37))</f>
        <v>1</v>
      </c>
      <c r="AG37" s="24">
        <f t="shared" ref="AG37:AG68" si="21">IF($A37="","",MAX(0,AE37-AF37))</f>
        <v>1</v>
      </c>
      <c r="AH37" s="25" t="str">
        <f t="shared" ref="AH37:AH68" si="22">IF($A37="","",IF(F37+I37+L37+O37+R37+U37+X37+AA37+AD37+AG37&gt;0,"Yes","No"))</f>
        <v>Yes</v>
      </c>
      <c r="AI37" s="24">
        <f t="shared" ref="AI37:AI68" si="23">IF($A37="","",(F37&gt;0)+(I37&gt;0)+(L37&gt;0)+(O37&gt;0)+(R37&gt;0)+(U37&gt;0)+(X37&gt;0)+(AA37&gt;0)+(AD37&gt;0)+(AG37&gt;0))</f>
        <v>5</v>
      </c>
    </row>
    <row r="38" spans="1:35" x14ac:dyDescent="0.3">
      <c r="A38" s="24" t="str">
        <f>IF(Households!A38="","",Households!A38)</f>
        <v>HH-034</v>
      </c>
      <c r="B38" s="24" t="str">
        <f>IF($A38="","",Households!B38)</f>
        <v>Site A – School Shelter</v>
      </c>
      <c r="C38" s="24" t="str">
        <f>IF($A38="","",Households!X38)</f>
        <v>Medium</v>
      </c>
      <c r="D38" s="24">
        <f>IF($A38="","",MAX(0,Households!H38*Settings!$B$9-Households!Q38))</f>
        <v>13</v>
      </c>
      <c r="E38" s="24">
        <f>IF($A38="","",SUMIFS(Assistance_Log!$F$5:$F$367,Assistance_Log!$C$5:$C$367,$A38,Assistance_Log!$E$5:$E$367,"Blankets",Assistance_Log!$B$5:$B$367,"&gt;="&amp;Households!F38))</f>
        <v>0</v>
      </c>
      <c r="F38" s="25">
        <f t="shared" si="12"/>
        <v>13</v>
      </c>
      <c r="G38" s="24">
        <f>IF($A38="","",MAX(0,Households!H38*Settings!$B$10-Households!R38))</f>
        <v>2</v>
      </c>
      <c r="H38" s="24">
        <f>IF($A38="","",SUMIFS(Assistance_Log!$F$5:$F$367,Assistance_Log!$C$5:$C$367,$A38,Assistance_Log!$E$5:$E$367,"Mattresses",Assistance_Log!$B$5:$B$367,"&gt;="&amp;Households!F38))</f>
        <v>0</v>
      </c>
      <c r="I38" s="25">
        <f t="shared" si="13"/>
        <v>2</v>
      </c>
      <c r="J38" s="24">
        <f>IF($A38="","",IF(AND(OR(Households!C38="Tent",Households!C38="Makeshift shelter"),Households!D38="Damaged"),Settings!$B$11,0))</f>
        <v>0</v>
      </c>
      <c r="K38" s="24">
        <f>IF($A38="","",SUMIFS(Assistance_Log!$F$5:$F$367,Assistance_Log!$C$5:$C$367,$A38,Assistance_Log!$E$5:$E$367,"Tarpaulins",Assistance_Log!$B$5:$B$367,"&gt;="&amp;Households!F38))</f>
        <v>0</v>
      </c>
      <c r="L38" s="25">
        <f t="shared" si="14"/>
        <v>0</v>
      </c>
      <c r="M38" s="24">
        <f>IF($A38="","",IF(AND(OR(Households!C38="Tent",Households!C38="Makeshift shelter"),Households!D38="Unusable"),Settings!$B$12,0))</f>
        <v>0</v>
      </c>
      <c r="N38" s="24">
        <f>IF($A38="","",SUMIFS(Assistance_Log!$F$5:$F$367,Assistance_Log!$C$5:$C$367,$A38,Assistance_Log!$E$5:$E$367,"Tent replacement",Assistance_Log!$B$5:$B$367,"&gt;="&amp;Households!F38))</f>
        <v>0</v>
      </c>
      <c r="O38" s="25">
        <f t="shared" si="15"/>
        <v>0</v>
      </c>
      <c r="P38" s="24">
        <f>IF($A38="","",IF(Households!D38="Damaged",Settings!$B$13,0))</f>
        <v>0</v>
      </c>
      <c r="Q38" s="24">
        <f>IF($A38="","",SUMIFS(Assistance_Log!$F$5:$F$367,Assistance_Log!$C$5:$C$367,$A38,Assistance_Log!$E$5:$E$367,"Shelter repair kits",Assistance_Log!$B$5:$B$367,"&gt;="&amp;Households!F38))</f>
        <v>0</v>
      </c>
      <c r="R38" s="24">
        <f t="shared" si="16"/>
        <v>0</v>
      </c>
      <c r="S38" s="24">
        <f>IF($A38="","",Households!S38*Settings!$B$14)</f>
        <v>3</v>
      </c>
      <c r="T38" s="24">
        <f>IF($A38="","",SUMIFS(Assistance_Log!$F$5:$F$367,Assistance_Log!$C$5:$C$367,$A38,Assistance_Log!$E$5:$E$367,"Winter clothing – children",Assistance_Log!$B$5:$B$367,"&gt;="&amp;Households!F38))</f>
        <v>3</v>
      </c>
      <c r="U38" s="24">
        <f t="shared" si="17"/>
        <v>0</v>
      </c>
      <c r="V38" s="24">
        <f>IF($A38="","",Households!T38*Settings!$B$14)</f>
        <v>3</v>
      </c>
      <c r="W38" s="24">
        <f>IF($A38="","",SUMIFS(Assistance_Log!$F$5:$F$367,Assistance_Log!$C$5:$C$367,$A38,Assistance_Log!$E$5:$E$367,"Winter clothing – adults",Assistance_Log!$B$5:$B$367,"&gt;="&amp;Households!F38))</f>
        <v>0</v>
      </c>
      <c r="X38" s="24">
        <f t="shared" si="18"/>
        <v>3</v>
      </c>
      <c r="Y38" s="24">
        <f>IF($A38="","",Households!J38*Settings!$B$15)</f>
        <v>4</v>
      </c>
      <c r="Z38" s="24">
        <f>IF($A38="","",SUMIFS(Assistance_Log!$F$5:$F$367,Assistance_Log!$C$5:$C$367,$A38,Assistance_Log!$E$5:$E$367,"Diapers",Assistance_Log!$B$5:$B$367,"&gt;="&amp;Households!F38))</f>
        <v>0</v>
      </c>
      <c r="AA38" s="24">
        <f t="shared" si="19"/>
        <v>4</v>
      </c>
      <c r="AB38" s="24">
        <f>IF($A38="","",Settings!$B$16)</f>
        <v>1</v>
      </c>
      <c r="AC38" s="24">
        <f>IF($A38="","",SUMIFS(Assistance_Log!$F$5:$F$367,Assistance_Log!$C$5:$C$367,$A38,Assistance_Log!$E$5:$E$367,"Family hygiene kits",Assistance_Log!$B$5:$B$367,"&gt;="&amp;Households!F38))</f>
        <v>0</v>
      </c>
      <c r="AD38" s="24">
        <f t="shared" si="20"/>
        <v>1</v>
      </c>
      <c r="AE38" s="24">
        <f>IF($A38="","",Households!N38*Settings!$B$17)</f>
        <v>2</v>
      </c>
      <c r="AF38" s="24">
        <f>IF($A38="","",SUMIFS(Assistance_Log!$F$5:$F$367,Assistance_Log!$C$5:$C$367,$A38,Assistance_Log!$E$5:$E$367,"Menstrual hygiene kits",Assistance_Log!$B$5:$B$367,"&gt;="&amp;Households!F38))</f>
        <v>0</v>
      </c>
      <c r="AG38" s="24">
        <f t="shared" si="21"/>
        <v>2</v>
      </c>
      <c r="AH38" s="25" t="str">
        <f t="shared" si="22"/>
        <v>Yes</v>
      </c>
      <c r="AI38" s="24">
        <f t="shared" si="23"/>
        <v>6</v>
      </c>
    </row>
    <row r="39" spans="1:35" x14ac:dyDescent="0.3">
      <c r="A39" s="24" t="str">
        <f>IF(Households!A39="","",Households!A39)</f>
        <v>HH-035</v>
      </c>
      <c r="B39" s="24" t="str">
        <f>IF($A39="","",Households!B39)</f>
        <v>Site B – School Shelter</v>
      </c>
      <c r="C39" s="24" t="str">
        <f>IF($A39="","",Households!X39)</f>
        <v>Low</v>
      </c>
      <c r="D39" s="24">
        <f>IF($A39="","",MAX(0,Households!H39*Settings!$B$9-Households!Q39))</f>
        <v>14</v>
      </c>
      <c r="E39" s="24">
        <f>IF($A39="","",SUMIFS(Assistance_Log!$F$5:$F$367,Assistance_Log!$C$5:$C$367,$A39,Assistance_Log!$E$5:$E$367,"Blankets",Assistance_Log!$B$5:$B$367,"&gt;="&amp;Households!F39))</f>
        <v>0</v>
      </c>
      <c r="F39" s="25">
        <f t="shared" si="12"/>
        <v>14</v>
      </c>
      <c r="G39" s="24">
        <f>IF($A39="","",MAX(0,Households!H39*Settings!$B$10-Households!R39))</f>
        <v>7</v>
      </c>
      <c r="H39" s="24">
        <f>IF($A39="","",SUMIFS(Assistance_Log!$F$5:$F$367,Assistance_Log!$C$5:$C$367,$A39,Assistance_Log!$E$5:$E$367,"Mattresses",Assistance_Log!$B$5:$B$367,"&gt;="&amp;Households!F39))</f>
        <v>0</v>
      </c>
      <c r="I39" s="25">
        <f t="shared" si="13"/>
        <v>7</v>
      </c>
      <c r="J39" s="24">
        <f>IF($A39="","",IF(AND(OR(Households!C39="Tent",Households!C39="Makeshift shelter"),Households!D39="Damaged"),Settings!$B$11,0))</f>
        <v>0</v>
      </c>
      <c r="K39" s="24">
        <f>IF($A39="","",SUMIFS(Assistance_Log!$F$5:$F$367,Assistance_Log!$C$5:$C$367,$A39,Assistance_Log!$E$5:$E$367,"Tarpaulins",Assistance_Log!$B$5:$B$367,"&gt;="&amp;Households!F39))</f>
        <v>0</v>
      </c>
      <c r="L39" s="25">
        <f t="shared" si="14"/>
        <v>0</v>
      </c>
      <c r="M39" s="24">
        <f>IF($A39="","",IF(AND(OR(Households!C39="Tent",Households!C39="Makeshift shelter"),Households!D39="Unusable"),Settings!$B$12,0))</f>
        <v>0</v>
      </c>
      <c r="N39" s="24">
        <f>IF($A39="","",SUMIFS(Assistance_Log!$F$5:$F$367,Assistance_Log!$C$5:$C$367,$A39,Assistance_Log!$E$5:$E$367,"Tent replacement",Assistance_Log!$B$5:$B$367,"&gt;="&amp;Households!F39))</f>
        <v>0</v>
      </c>
      <c r="O39" s="25">
        <f t="shared" si="15"/>
        <v>0</v>
      </c>
      <c r="P39" s="24">
        <f>IF($A39="","",IF(Households!D39="Damaged",Settings!$B$13,0))</f>
        <v>0</v>
      </c>
      <c r="Q39" s="24">
        <f>IF($A39="","",SUMIFS(Assistance_Log!$F$5:$F$367,Assistance_Log!$C$5:$C$367,$A39,Assistance_Log!$E$5:$E$367,"Shelter repair kits",Assistance_Log!$B$5:$B$367,"&gt;="&amp;Households!F39))</f>
        <v>0</v>
      </c>
      <c r="R39" s="24">
        <f t="shared" si="16"/>
        <v>0</v>
      </c>
      <c r="S39" s="24">
        <f>IF($A39="","",Households!S39*Settings!$B$14)</f>
        <v>0</v>
      </c>
      <c r="T39" s="24">
        <f>IF($A39="","",SUMIFS(Assistance_Log!$F$5:$F$367,Assistance_Log!$C$5:$C$367,$A39,Assistance_Log!$E$5:$E$367,"Winter clothing – children",Assistance_Log!$B$5:$B$367,"&gt;="&amp;Households!F39))</f>
        <v>0</v>
      </c>
      <c r="U39" s="24">
        <f t="shared" si="17"/>
        <v>0</v>
      </c>
      <c r="V39" s="24">
        <f>IF($A39="","",Households!T39*Settings!$B$14)</f>
        <v>0</v>
      </c>
      <c r="W39" s="24">
        <f>IF($A39="","",SUMIFS(Assistance_Log!$F$5:$F$367,Assistance_Log!$C$5:$C$367,$A39,Assistance_Log!$E$5:$E$367,"Winter clothing – adults",Assistance_Log!$B$5:$B$367,"&gt;="&amp;Households!F39))</f>
        <v>0</v>
      </c>
      <c r="X39" s="24">
        <f t="shared" si="18"/>
        <v>0</v>
      </c>
      <c r="Y39" s="24">
        <f>IF($A39="","",Households!J39*Settings!$B$15)</f>
        <v>0</v>
      </c>
      <c r="Z39" s="24">
        <f>IF($A39="","",SUMIFS(Assistance_Log!$F$5:$F$367,Assistance_Log!$C$5:$C$367,$A39,Assistance_Log!$E$5:$E$367,"Diapers",Assistance_Log!$B$5:$B$367,"&gt;="&amp;Households!F39))</f>
        <v>0</v>
      </c>
      <c r="AA39" s="24">
        <f t="shared" si="19"/>
        <v>0</v>
      </c>
      <c r="AB39" s="24">
        <f>IF($A39="","",Settings!$B$16)</f>
        <v>1</v>
      </c>
      <c r="AC39" s="24">
        <f>IF($A39="","",SUMIFS(Assistance_Log!$F$5:$F$367,Assistance_Log!$C$5:$C$367,$A39,Assistance_Log!$E$5:$E$367,"Family hygiene kits",Assistance_Log!$B$5:$B$367,"&gt;="&amp;Households!F39))</f>
        <v>1</v>
      </c>
      <c r="AD39" s="24">
        <f t="shared" si="20"/>
        <v>0</v>
      </c>
      <c r="AE39" s="24">
        <f>IF($A39="","",Households!N39*Settings!$B$17)</f>
        <v>2</v>
      </c>
      <c r="AF39" s="24">
        <f>IF($A39="","",SUMIFS(Assistance_Log!$F$5:$F$367,Assistance_Log!$C$5:$C$367,$A39,Assistance_Log!$E$5:$E$367,"Menstrual hygiene kits",Assistance_Log!$B$5:$B$367,"&gt;="&amp;Households!F39))</f>
        <v>0</v>
      </c>
      <c r="AG39" s="24">
        <f t="shared" si="21"/>
        <v>2</v>
      </c>
      <c r="AH39" s="25" t="str">
        <f t="shared" si="22"/>
        <v>Yes</v>
      </c>
      <c r="AI39" s="24">
        <f t="shared" si="23"/>
        <v>3</v>
      </c>
    </row>
    <row r="40" spans="1:35" x14ac:dyDescent="0.3">
      <c r="A40" s="24" t="str">
        <f>IF(Households!A40="","",Households!A40)</f>
        <v>HH-036</v>
      </c>
      <c r="B40" s="24" t="str">
        <f>IF($A40="","",Households!B40)</f>
        <v>Site B – School Shelter</v>
      </c>
      <c r="C40" s="24" t="str">
        <f>IF($A40="","",Households!X40)</f>
        <v>Medium</v>
      </c>
      <c r="D40" s="24">
        <f>IF($A40="","",MAX(0,Households!H40*Settings!$B$9-Households!Q40))</f>
        <v>5</v>
      </c>
      <c r="E40" s="24">
        <f>IF($A40="","",SUMIFS(Assistance_Log!$F$5:$F$367,Assistance_Log!$C$5:$C$367,$A40,Assistance_Log!$E$5:$E$367,"Blankets",Assistance_Log!$B$5:$B$367,"&gt;="&amp;Households!F40))</f>
        <v>0</v>
      </c>
      <c r="F40" s="25">
        <f t="shared" si="12"/>
        <v>5</v>
      </c>
      <c r="G40" s="24">
        <f>IF($A40="","",MAX(0,Households!H40*Settings!$B$10-Households!R40))</f>
        <v>1</v>
      </c>
      <c r="H40" s="24">
        <f>IF($A40="","",SUMIFS(Assistance_Log!$F$5:$F$367,Assistance_Log!$C$5:$C$367,$A40,Assistance_Log!$E$5:$E$367,"Mattresses",Assistance_Log!$B$5:$B$367,"&gt;="&amp;Households!F40))</f>
        <v>1</v>
      </c>
      <c r="I40" s="25">
        <f t="shared" si="13"/>
        <v>0</v>
      </c>
      <c r="J40" s="24">
        <f>IF($A40="","",IF(AND(OR(Households!C40="Tent",Households!C40="Makeshift shelter"),Households!D40="Damaged"),Settings!$B$11,0))</f>
        <v>0</v>
      </c>
      <c r="K40" s="24">
        <f>IF($A40="","",SUMIFS(Assistance_Log!$F$5:$F$367,Assistance_Log!$C$5:$C$367,$A40,Assistance_Log!$E$5:$E$367,"Tarpaulins",Assistance_Log!$B$5:$B$367,"&gt;="&amp;Households!F40))</f>
        <v>0</v>
      </c>
      <c r="L40" s="25">
        <f t="shared" si="14"/>
        <v>0</v>
      </c>
      <c r="M40" s="24">
        <f>IF($A40="","",IF(AND(OR(Households!C40="Tent",Households!C40="Makeshift shelter"),Households!D40="Unusable"),Settings!$B$12,0))</f>
        <v>0</v>
      </c>
      <c r="N40" s="24">
        <f>IF($A40="","",SUMIFS(Assistance_Log!$F$5:$F$367,Assistance_Log!$C$5:$C$367,$A40,Assistance_Log!$E$5:$E$367,"Tent replacement",Assistance_Log!$B$5:$B$367,"&gt;="&amp;Households!F40))</f>
        <v>0</v>
      </c>
      <c r="O40" s="25">
        <f t="shared" si="15"/>
        <v>0</v>
      </c>
      <c r="P40" s="24">
        <f>IF($A40="","",IF(Households!D40="Damaged",Settings!$B$13,0))</f>
        <v>0</v>
      </c>
      <c r="Q40" s="24">
        <f>IF($A40="","",SUMIFS(Assistance_Log!$F$5:$F$367,Assistance_Log!$C$5:$C$367,$A40,Assistance_Log!$E$5:$E$367,"Shelter repair kits",Assistance_Log!$B$5:$B$367,"&gt;="&amp;Households!F40))</f>
        <v>0</v>
      </c>
      <c r="R40" s="24">
        <f t="shared" si="16"/>
        <v>0</v>
      </c>
      <c r="S40" s="24">
        <f>IF($A40="","",Households!S40*Settings!$B$14)</f>
        <v>2</v>
      </c>
      <c r="T40" s="24">
        <f>IF($A40="","",SUMIFS(Assistance_Log!$F$5:$F$367,Assistance_Log!$C$5:$C$367,$A40,Assistance_Log!$E$5:$E$367,"Winter clothing – children",Assistance_Log!$B$5:$B$367,"&gt;="&amp;Households!F40))</f>
        <v>2</v>
      </c>
      <c r="U40" s="24">
        <f t="shared" si="17"/>
        <v>0</v>
      </c>
      <c r="V40" s="24">
        <f>IF($A40="","",Households!T40*Settings!$B$14)</f>
        <v>1</v>
      </c>
      <c r="W40" s="24">
        <f>IF($A40="","",SUMIFS(Assistance_Log!$F$5:$F$367,Assistance_Log!$C$5:$C$367,$A40,Assistance_Log!$E$5:$E$367,"Winter clothing – adults",Assistance_Log!$B$5:$B$367,"&gt;="&amp;Households!F40))</f>
        <v>0</v>
      </c>
      <c r="X40" s="24">
        <f t="shared" si="18"/>
        <v>1</v>
      </c>
      <c r="Y40" s="24">
        <f>IF($A40="","",Households!J40*Settings!$B$15)</f>
        <v>4</v>
      </c>
      <c r="Z40" s="24">
        <f>IF($A40="","",SUMIFS(Assistance_Log!$F$5:$F$367,Assistance_Log!$C$5:$C$367,$A40,Assistance_Log!$E$5:$E$367,"Diapers",Assistance_Log!$B$5:$B$367,"&gt;="&amp;Households!F40))</f>
        <v>0</v>
      </c>
      <c r="AA40" s="24">
        <f t="shared" si="19"/>
        <v>4</v>
      </c>
      <c r="AB40" s="24">
        <f>IF($A40="","",Settings!$B$16)</f>
        <v>1</v>
      </c>
      <c r="AC40" s="24">
        <f>IF($A40="","",SUMIFS(Assistance_Log!$F$5:$F$367,Assistance_Log!$C$5:$C$367,$A40,Assistance_Log!$E$5:$E$367,"Family hygiene kits",Assistance_Log!$B$5:$B$367,"&gt;="&amp;Households!F40))</f>
        <v>1</v>
      </c>
      <c r="AD40" s="24">
        <f t="shared" si="20"/>
        <v>0</v>
      </c>
      <c r="AE40" s="24">
        <f>IF($A40="","",Households!N40*Settings!$B$17)</f>
        <v>2</v>
      </c>
      <c r="AF40" s="24">
        <f>IF($A40="","",SUMIFS(Assistance_Log!$F$5:$F$367,Assistance_Log!$C$5:$C$367,$A40,Assistance_Log!$E$5:$E$367,"Menstrual hygiene kits",Assistance_Log!$B$5:$B$367,"&gt;="&amp;Households!F40))</f>
        <v>0</v>
      </c>
      <c r="AG40" s="24">
        <f t="shared" si="21"/>
        <v>2</v>
      </c>
      <c r="AH40" s="25" t="str">
        <f t="shared" si="22"/>
        <v>Yes</v>
      </c>
      <c r="AI40" s="24">
        <f t="shared" si="23"/>
        <v>4</v>
      </c>
    </row>
    <row r="41" spans="1:35" x14ac:dyDescent="0.3">
      <c r="A41" s="24" t="str">
        <f>IF(Households!A41="","",Households!A41)</f>
        <v>HH-037</v>
      </c>
      <c r="B41" s="24" t="str">
        <f>IF($A41="","",Households!B41)</f>
        <v>Site B – School Shelter</v>
      </c>
      <c r="C41" s="24" t="str">
        <f>IF($A41="","",Households!X41)</f>
        <v>Low</v>
      </c>
      <c r="D41" s="24">
        <f>IF($A41="","",MAX(0,Households!H41*Settings!$B$9-Households!Q41))</f>
        <v>1</v>
      </c>
      <c r="E41" s="24">
        <f>IF($A41="","",SUMIFS(Assistance_Log!$F$5:$F$367,Assistance_Log!$C$5:$C$367,$A41,Assistance_Log!$E$5:$E$367,"Blankets",Assistance_Log!$B$5:$B$367,"&gt;="&amp;Households!F41))</f>
        <v>1</v>
      </c>
      <c r="F41" s="25">
        <f t="shared" si="12"/>
        <v>0</v>
      </c>
      <c r="G41" s="24">
        <f>IF($A41="","",MAX(0,Households!H41*Settings!$B$10-Households!R41))</f>
        <v>8</v>
      </c>
      <c r="H41" s="24">
        <f>IF($A41="","",SUMIFS(Assistance_Log!$F$5:$F$367,Assistance_Log!$C$5:$C$367,$A41,Assistance_Log!$E$5:$E$367,"Mattresses",Assistance_Log!$B$5:$B$367,"&gt;="&amp;Households!F41))</f>
        <v>0</v>
      </c>
      <c r="I41" s="25">
        <f t="shared" si="13"/>
        <v>8</v>
      </c>
      <c r="J41" s="24">
        <f>IF($A41="","",IF(AND(OR(Households!C41="Tent",Households!C41="Makeshift shelter"),Households!D41="Damaged"),Settings!$B$11,0))</f>
        <v>0</v>
      </c>
      <c r="K41" s="24">
        <f>IF($A41="","",SUMIFS(Assistance_Log!$F$5:$F$367,Assistance_Log!$C$5:$C$367,$A41,Assistance_Log!$E$5:$E$367,"Tarpaulins",Assistance_Log!$B$5:$B$367,"&gt;="&amp;Households!F41))</f>
        <v>0</v>
      </c>
      <c r="L41" s="25">
        <f t="shared" si="14"/>
        <v>0</v>
      </c>
      <c r="M41" s="24">
        <f>IF($A41="","",IF(AND(OR(Households!C41="Tent",Households!C41="Makeshift shelter"),Households!D41="Unusable"),Settings!$B$12,0))</f>
        <v>0</v>
      </c>
      <c r="N41" s="24">
        <f>IF($A41="","",SUMIFS(Assistance_Log!$F$5:$F$367,Assistance_Log!$C$5:$C$367,$A41,Assistance_Log!$E$5:$E$367,"Tent replacement",Assistance_Log!$B$5:$B$367,"&gt;="&amp;Households!F41))</f>
        <v>0</v>
      </c>
      <c r="O41" s="25">
        <f t="shared" si="15"/>
        <v>0</v>
      </c>
      <c r="P41" s="24">
        <f>IF($A41="","",IF(Households!D41="Damaged",Settings!$B$13,0))</f>
        <v>0</v>
      </c>
      <c r="Q41" s="24">
        <f>IF($A41="","",SUMIFS(Assistance_Log!$F$5:$F$367,Assistance_Log!$C$5:$C$367,$A41,Assistance_Log!$E$5:$E$367,"Shelter repair kits",Assistance_Log!$B$5:$B$367,"&gt;="&amp;Households!F41))</f>
        <v>0</v>
      </c>
      <c r="R41" s="24">
        <f t="shared" si="16"/>
        <v>0</v>
      </c>
      <c r="S41" s="24">
        <f>IF($A41="","",Households!S41*Settings!$B$14)</f>
        <v>1</v>
      </c>
      <c r="T41" s="24">
        <f>IF($A41="","",SUMIFS(Assistance_Log!$F$5:$F$367,Assistance_Log!$C$5:$C$367,$A41,Assistance_Log!$E$5:$E$367,"Winter clothing – children",Assistance_Log!$B$5:$B$367,"&gt;="&amp;Households!F41))</f>
        <v>0</v>
      </c>
      <c r="U41" s="24">
        <f t="shared" si="17"/>
        <v>1</v>
      </c>
      <c r="V41" s="24">
        <f>IF($A41="","",Households!T41*Settings!$B$14)</f>
        <v>0</v>
      </c>
      <c r="W41" s="24">
        <f>IF($A41="","",SUMIFS(Assistance_Log!$F$5:$F$367,Assistance_Log!$C$5:$C$367,$A41,Assistance_Log!$E$5:$E$367,"Winter clothing – adults",Assistance_Log!$B$5:$B$367,"&gt;="&amp;Households!F41))</f>
        <v>0</v>
      </c>
      <c r="X41" s="24">
        <f t="shared" si="18"/>
        <v>0</v>
      </c>
      <c r="Y41" s="24">
        <f>IF($A41="","",Households!J41*Settings!$B$15)</f>
        <v>0</v>
      </c>
      <c r="Z41" s="24">
        <f>IF($A41="","",SUMIFS(Assistance_Log!$F$5:$F$367,Assistance_Log!$C$5:$C$367,$A41,Assistance_Log!$E$5:$E$367,"Diapers",Assistance_Log!$B$5:$B$367,"&gt;="&amp;Households!F41))</f>
        <v>0</v>
      </c>
      <c r="AA41" s="24">
        <f t="shared" si="19"/>
        <v>0</v>
      </c>
      <c r="AB41" s="24">
        <f>IF($A41="","",Settings!$B$16)</f>
        <v>1</v>
      </c>
      <c r="AC41" s="24">
        <f>IF($A41="","",SUMIFS(Assistance_Log!$F$5:$F$367,Assistance_Log!$C$5:$C$367,$A41,Assistance_Log!$E$5:$E$367,"Family hygiene kits",Assistance_Log!$B$5:$B$367,"&gt;="&amp;Households!F41))</f>
        <v>0</v>
      </c>
      <c r="AD41" s="24">
        <f t="shared" si="20"/>
        <v>1</v>
      </c>
      <c r="AE41" s="24">
        <f>IF($A41="","",Households!N41*Settings!$B$17)</f>
        <v>2</v>
      </c>
      <c r="AF41" s="24">
        <f>IF($A41="","",SUMIFS(Assistance_Log!$F$5:$F$367,Assistance_Log!$C$5:$C$367,$A41,Assistance_Log!$E$5:$E$367,"Menstrual hygiene kits",Assistance_Log!$B$5:$B$367,"&gt;="&amp;Households!F41))</f>
        <v>1</v>
      </c>
      <c r="AG41" s="24">
        <f t="shared" si="21"/>
        <v>1</v>
      </c>
      <c r="AH41" s="25" t="str">
        <f t="shared" si="22"/>
        <v>Yes</v>
      </c>
      <c r="AI41" s="24">
        <f t="shared" si="23"/>
        <v>4</v>
      </c>
    </row>
    <row r="42" spans="1:35" x14ac:dyDescent="0.3">
      <c r="A42" s="24" t="str">
        <f>IF(Households!A42="","",Households!A42)</f>
        <v>HH-038</v>
      </c>
      <c r="B42" s="24" t="str">
        <f>IF($A42="","",Households!B42)</f>
        <v>Site B – School Shelter</v>
      </c>
      <c r="C42" s="24" t="str">
        <f>IF($A42="","",Households!X42)</f>
        <v>Medium</v>
      </c>
      <c r="D42" s="24">
        <f>IF($A42="","",MAX(0,Households!H42*Settings!$B$9-Households!Q42))</f>
        <v>7</v>
      </c>
      <c r="E42" s="24">
        <f>IF($A42="","",SUMIFS(Assistance_Log!$F$5:$F$367,Assistance_Log!$C$5:$C$367,$A42,Assistance_Log!$E$5:$E$367,"Blankets",Assistance_Log!$B$5:$B$367,"&gt;="&amp;Households!F42))</f>
        <v>7</v>
      </c>
      <c r="F42" s="25">
        <f t="shared" si="12"/>
        <v>0</v>
      </c>
      <c r="G42" s="24">
        <f>IF($A42="","",MAX(0,Households!H42*Settings!$B$10-Households!R42))</f>
        <v>1</v>
      </c>
      <c r="H42" s="24">
        <f>IF($A42="","",SUMIFS(Assistance_Log!$F$5:$F$367,Assistance_Log!$C$5:$C$367,$A42,Assistance_Log!$E$5:$E$367,"Mattresses",Assistance_Log!$B$5:$B$367,"&gt;="&amp;Households!F42))</f>
        <v>1</v>
      </c>
      <c r="I42" s="25">
        <f t="shared" si="13"/>
        <v>0</v>
      </c>
      <c r="J42" s="24">
        <f>IF($A42="","",IF(AND(OR(Households!C42="Tent",Households!C42="Makeshift shelter"),Households!D42="Damaged"),Settings!$B$11,0))</f>
        <v>0</v>
      </c>
      <c r="K42" s="24">
        <f>IF($A42="","",SUMIFS(Assistance_Log!$F$5:$F$367,Assistance_Log!$C$5:$C$367,$A42,Assistance_Log!$E$5:$E$367,"Tarpaulins",Assistance_Log!$B$5:$B$367,"&gt;="&amp;Households!F42))</f>
        <v>0</v>
      </c>
      <c r="L42" s="25">
        <f t="shared" si="14"/>
        <v>0</v>
      </c>
      <c r="M42" s="24">
        <f>IF($A42="","",IF(AND(OR(Households!C42="Tent",Households!C42="Makeshift shelter"),Households!D42="Unusable"),Settings!$B$12,0))</f>
        <v>0</v>
      </c>
      <c r="N42" s="24">
        <f>IF($A42="","",SUMIFS(Assistance_Log!$F$5:$F$367,Assistance_Log!$C$5:$C$367,$A42,Assistance_Log!$E$5:$E$367,"Tent replacement",Assistance_Log!$B$5:$B$367,"&gt;="&amp;Households!F42))</f>
        <v>0</v>
      </c>
      <c r="O42" s="25">
        <f t="shared" si="15"/>
        <v>0</v>
      </c>
      <c r="P42" s="24">
        <f>IF($A42="","",IF(Households!D42="Damaged",Settings!$B$13,0))</f>
        <v>0</v>
      </c>
      <c r="Q42" s="24">
        <f>IF($A42="","",SUMIFS(Assistance_Log!$F$5:$F$367,Assistance_Log!$C$5:$C$367,$A42,Assistance_Log!$E$5:$E$367,"Shelter repair kits",Assistance_Log!$B$5:$B$367,"&gt;="&amp;Households!F42))</f>
        <v>0</v>
      </c>
      <c r="R42" s="24">
        <f t="shared" si="16"/>
        <v>0</v>
      </c>
      <c r="S42" s="24">
        <f>IF($A42="","",Households!S42*Settings!$B$14)</f>
        <v>1</v>
      </c>
      <c r="T42" s="24">
        <f>IF($A42="","",SUMIFS(Assistance_Log!$F$5:$F$367,Assistance_Log!$C$5:$C$367,$A42,Assistance_Log!$E$5:$E$367,"Winter clothing – children",Assistance_Log!$B$5:$B$367,"&gt;="&amp;Households!F42))</f>
        <v>1</v>
      </c>
      <c r="U42" s="24">
        <f t="shared" si="17"/>
        <v>0</v>
      </c>
      <c r="V42" s="24">
        <f>IF($A42="","",Households!T42*Settings!$B$14)</f>
        <v>0</v>
      </c>
      <c r="W42" s="24">
        <f>IF($A42="","",SUMIFS(Assistance_Log!$F$5:$F$367,Assistance_Log!$C$5:$C$367,$A42,Assistance_Log!$E$5:$E$367,"Winter clothing – adults",Assistance_Log!$B$5:$B$367,"&gt;="&amp;Households!F42))</f>
        <v>0</v>
      </c>
      <c r="X42" s="24">
        <f t="shared" si="18"/>
        <v>0</v>
      </c>
      <c r="Y42" s="24">
        <f>IF($A42="","",Households!J42*Settings!$B$15)</f>
        <v>8</v>
      </c>
      <c r="Z42" s="24">
        <f>IF($A42="","",SUMIFS(Assistance_Log!$F$5:$F$367,Assistance_Log!$C$5:$C$367,$A42,Assistance_Log!$E$5:$E$367,"Diapers",Assistance_Log!$B$5:$B$367,"&gt;="&amp;Households!F42))</f>
        <v>0</v>
      </c>
      <c r="AA42" s="24">
        <f t="shared" si="19"/>
        <v>8</v>
      </c>
      <c r="AB42" s="24">
        <f>IF($A42="","",Settings!$B$16)</f>
        <v>1</v>
      </c>
      <c r="AC42" s="24">
        <f>IF($A42="","",SUMIFS(Assistance_Log!$F$5:$F$367,Assistance_Log!$C$5:$C$367,$A42,Assistance_Log!$E$5:$E$367,"Family hygiene kits",Assistance_Log!$B$5:$B$367,"&gt;="&amp;Households!F42))</f>
        <v>1</v>
      </c>
      <c r="AD42" s="24">
        <f t="shared" si="20"/>
        <v>0</v>
      </c>
      <c r="AE42" s="24">
        <f>IF($A42="","",Households!N42*Settings!$B$17)</f>
        <v>1</v>
      </c>
      <c r="AF42" s="24">
        <f>IF($A42="","",SUMIFS(Assistance_Log!$F$5:$F$367,Assistance_Log!$C$5:$C$367,$A42,Assistance_Log!$E$5:$E$367,"Menstrual hygiene kits",Assistance_Log!$B$5:$B$367,"&gt;="&amp;Households!F42))</f>
        <v>1</v>
      </c>
      <c r="AG42" s="24">
        <f t="shared" si="21"/>
        <v>0</v>
      </c>
      <c r="AH42" s="25" t="str">
        <f t="shared" si="22"/>
        <v>Yes</v>
      </c>
      <c r="AI42" s="24">
        <f t="shared" si="23"/>
        <v>1</v>
      </c>
    </row>
    <row r="43" spans="1:35" x14ac:dyDescent="0.3">
      <c r="A43" s="24" t="str">
        <f>IF(Households!A43="","",Households!A43)</f>
        <v>HH-039</v>
      </c>
      <c r="B43" s="24" t="str">
        <f>IF($A43="","",Households!B43)</f>
        <v>Site B – School Shelter</v>
      </c>
      <c r="C43" s="24" t="str">
        <f>IF($A43="","",Households!X43)</f>
        <v>Medium</v>
      </c>
      <c r="D43" s="24">
        <f>IF($A43="","",MAX(0,Households!H43*Settings!$B$9-Households!Q43))</f>
        <v>4</v>
      </c>
      <c r="E43" s="24">
        <f>IF($A43="","",SUMIFS(Assistance_Log!$F$5:$F$367,Assistance_Log!$C$5:$C$367,$A43,Assistance_Log!$E$5:$E$367,"Blankets",Assistance_Log!$B$5:$B$367,"&gt;="&amp;Households!F43))</f>
        <v>4</v>
      </c>
      <c r="F43" s="25">
        <f t="shared" si="12"/>
        <v>0</v>
      </c>
      <c r="G43" s="24">
        <f>IF($A43="","",MAX(0,Households!H43*Settings!$B$10-Households!R43))</f>
        <v>1</v>
      </c>
      <c r="H43" s="24">
        <f>IF($A43="","",SUMIFS(Assistance_Log!$F$5:$F$367,Assistance_Log!$C$5:$C$367,$A43,Assistance_Log!$E$5:$E$367,"Mattresses",Assistance_Log!$B$5:$B$367,"&gt;="&amp;Households!F43))</f>
        <v>1</v>
      </c>
      <c r="I43" s="25">
        <f t="shared" si="13"/>
        <v>0</v>
      </c>
      <c r="J43" s="24">
        <f>IF($A43="","",IF(AND(OR(Households!C43="Tent",Households!C43="Makeshift shelter"),Households!D43="Damaged"),Settings!$B$11,0))</f>
        <v>0</v>
      </c>
      <c r="K43" s="24">
        <f>IF($A43="","",SUMIFS(Assistance_Log!$F$5:$F$367,Assistance_Log!$C$5:$C$367,$A43,Assistance_Log!$E$5:$E$367,"Tarpaulins",Assistance_Log!$B$5:$B$367,"&gt;="&amp;Households!F43))</f>
        <v>0</v>
      </c>
      <c r="L43" s="25">
        <f t="shared" si="14"/>
        <v>0</v>
      </c>
      <c r="M43" s="24">
        <f>IF($A43="","",IF(AND(OR(Households!C43="Tent",Households!C43="Makeshift shelter"),Households!D43="Unusable"),Settings!$B$12,0))</f>
        <v>0</v>
      </c>
      <c r="N43" s="24">
        <f>IF($A43="","",SUMIFS(Assistance_Log!$F$5:$F$367,Assistance_Log!$C$5:$C$367,$A43,Assistance_Log!$E$5:$E$367,"Tent replacement",Assistance_Log!$B$5:$B$367,"&gt;="&amp;Households!F43))</f>
        <v>0</v>
      </c>
      <c r="O43" s="25">
        <f t="shared" si="15"/>
        <v>0</v>
      </c>
      <c r="P43" s="24">
        <f>IF($A43="","",IF(Households!D43="Damaged",Settings!$B$13,0))</f>
        <v>1</v>
      </c>
      <c r="Q43" s="24">
        <f>IF($A43="","",SUMIFS(Assistance_Log!$F$5:$F$367,Assistance_Log!$C$5:$C$367,$A43,Assistance_Log!$E$5:$E$367,"Shelter repair kits",Assistance_Log!$B$5:$B$367,"&gt;="&amp;Households!F43))</f>
        <v>0</v>
      </c>
      <c r="R43" s="24">
        <f t="shared" si="16"/>
        <v>1</v>
      </c>
      <c r="S43" s="24">
        <f>IF($A43="","",Households!S43*Settings!$B$14)</f>
        <v>2</v>
      </c>
      <c r="T43" s="24">
        <f>IF($A43="","",SUMIFS(Assistance_Log!$F$5:$F$367,Assistance_Log!$C$5:$C$367,$A43,Assistance_Log!$E$5:$E$367,"Winter clothing – children",Assistance_Log!$B$5:$B$367,"&gt;="&amp;Households!F43))</f>
        <v>0</v>
      </c>
      <c r="U43" s="24">
        <f t="shared" si="17"/>
        <v>2</v>
      </c>
      <c r="V43" s="24">
        <f>IF($A43="","",Households!T43*Settings!$B$14)</f>
        <v>0</v>
      </c>
      <c r="W43" s="24">
        <f>IF($A43="","",SUMIFS(Assistance_Log!$F$5:$F$367,Assistance_Log!$C$5:$C$367,$A43,Assistance_Log!$E$5:$E$367,"Winter clothing – adults",Assistance_Log!$B$5:$B$367,"&gt;="&amp;Households!F43))</f>
        <v>0</v>
      </c>
      <c r="X43" s="24">
        <f t="shared" si="18"/>
        <v>0</v>
      </c>
      <c r="Y43" s="24">
        <f>IF($A43="","",Households!J43*Settings!$B$15)</f>
        <v>0</v>
      </c>
      <c r="Z43" s="24">
        <f>IF($A43="","",SUMIFS(Assistance_Log!$F$5:$F$367,Assistance_Log!$C$5:$C$367,$A43,Assistance_Log!$E$5:$E$367,"Diapers",Assistance_Log!$B$5:$B$367,"&gt;="&amp;Households!F43))</f>
        <v>0</v>
      </c>
      <c r="AA43" s="24">
        <f t="shared" si="19"/>
        <v>0</v>
      </c>
      <c r="AB43" s="24">
        <f>IF($A43="","",Settings!$B$16)</f>
        <v>1</v>
      </c>
      <c r="AC43" s="24">
        <f>IF($A43="","",SUMIFS(Assistance_Log!$F$5:$F$367,Assistance_Log!$C$5:$C$367,$A43,Assistance_Log!$E$5:$E$367,"Family hygiene kits",Assistance_Log!$B$5:$B$367,"&gt;="&amp;Households!F43))</f>
        <v>1</v>
      </c>
      <c r="AD43" s="24">
        <f t="shared" si="20"/>
        <v>0</v>
      </c>
      <c r="AE43" s="24">
        <f>IF($A43="","",Households!N43*Settings!$B$17)</f>
        <v>1</v>
      </c>
      <c r="AF43" s="24">
        <f>IF($A43="","",SUMIFS(Assistance_Log!$F$5:$F$367,Assistance_Log!$C$5:$C$367,$A43,Assistance_Log!$E$5:$E$367,"Menstrual hygiene kits",Assistance_Log!$B$5:$B$367,"&gt;="&amp;Households!F43))</f>
        <v>0</v>
      </c>
      <c r="AG43" s="24">
        <f t="shared" si="21"/>
        <v>1</v>
      </c>
      <c r="AH43" s="25" t="str">
        <f t="shared" si="22"/>
        <v>Yes</v>
      </c>
      <c r="AI43" s="24">
        <f t="shared" si="23"/>
        <v>3</v>
      </c>
    </row>
    <row r="44" spans="1:35" x14ac:dyDescent="0.3">
      <c r="A44" s="24" t="str">
        <f>IF(Households!A44="","",Households!A44)</f>
        <v>HH-040</v>
      </c>
      <c r="B44" s="24" t="str">
        <f>IF($A44="","",Households!B44)</f>
        <v>Site B – School Shelter</v>
      </c>
      <c r="C44" s="24" t="str">
        <f>IF($A44="","",Households!X44)</f>
        <v>Low</v>
      </c>
      <c r="D44" s="24">
        <f>IF($A44="","",MAX(0,Households!H44*Settings!$B$9-Households!Q44))</f>
        <v>7</v>
      </c>
      <c r="E44" s="24">
        <f>IF($A44="","",SUMIFS(Assistance_Log!$F$5:$F$367,Assistance_Log!$C$5:$C$367,$A44,Assistance_Log!$E$5:$E$367,"Blankets",Assistance_Log!$B$5:$B$367,"&gt;="&amp;Households!F44))</f>
        <v>7</v>
      </c>
      <c r="F44" s="25">
        <f t="shared" si="12"/>
        <v>0</v>
      </c>
      <c r="G44" s="24">
        <f>IF($A44="","",MAX(0,Households!H44*Settings!$B$10-Households!R44))</f>
        <v>5</v>
      </c>
      <c r="H44" s="24">
        <f>IF($A44="","",SUMIFS(Assistance_Log!$F$5:$F$367,Assistance_Log!$C$5:$C$367,$A44,Assistance_Log!$E$5:$E$367,"Mattresses",Assistance_Log!$B$5:$B$367,"&gt;="&amp;Households!F44))</f>
        <v>0</v>
      </c>
      <c r="I44" s="25">
        <f t="shared" si="13"/>
        <v>5</v>
      </c>
      <c r="J44" s="24">
        <f>IF($A44="","",IF(AND(OR(Households!C44="Tent",Households!C44="Makeshift shelter"),Households!D44="Damaged"),Settings!$B$11,0))</f>
        <v>0</v>
      </c>
      <c r="K44" s="24">
        <f>IF($A44="","",SUMIFS(Assistance_Log!$F$5:$F$367,Assistance_Log!$C$5:$C$367,$A44,Assistance_Log!$E$5:$E$367,"Tarpaulins",Assistance_Log!$B$5:$B$367,"&gt;="&amp;Households!F44))</f>
        <v>0</v>
      </c>
      <c r="L44" s="25">
        <f t="shared" si="14"/>
        <v>0</v>
      </c>
      <c r="M44" s="24">
        <f>IF($A44="","",IF(AND(OR(Households!C44="Tent",Households!C44="Makeshift shelter"),Households!D44="Unusable"),Settings!$B$12,0))</f>
        <v>0</v>
      </c>
      <c r="N44" s="24">
        <f>IF($A44="","",SUMIFS(Assistance_Log!$F$5:$F$367,Assistance_Log!$C$5:$C$367,$A44,Assistance_Log!$E$5:$E$367,"Tent replacement",Assistance_Log!$B$5:$B$367,"&gt;="&amp;Households!F44))</f>
        <v>0</v>
      </c>
      <c r="O44" s="25">
        <f t="shared" si="15"/>
        <v>0</v>
      </c>
      <c r="P44" s="24">
        <f>IF($A44="","",IF(Households!D44="Damaged",Settings!$B$13,0))</f>
        <v>0</v>
      </c>
      <c r="Q44" s="24">
        <f>IF($A44="","",SUMIFS(Assistance_Log!$F$5:$F$367,Assistance_Log!$C$5:$C$367,$A44,Assistance_Log!$E$5:$E$367,"Shelter repair kits",Assistance_Log!$B$5:$B$367,"&gt;="&amp;Households!F44))</f>
        <v>0</v>
      </c>
      <c r="R44" s="24">
        <f t="shared" si="16"/>
        <v>0</v>
      </c>
      <c r="S44" s="24">
        <f>IF($A44="","",Households!S44*Settings!$B$14)</f>
        <v>3</v>
      </c>
      <c r="T44" s="24">
        <f>IF($A44="","",SUMIFS(Assistance_Log!$F$5:$F$367,Assistance_Log!$C$5:$C$367,$A44,Assistance_Log!$E$5:$E$367,"Winter clothing – children",Assistance_Log!$B$5:$B$367,"&gt;="&amp;Households!F44))</f>
        <v>0</v>
      </c>
      <c r="U44" s="24">
        <f t="shared" si="17"/>
        <v>3</v>
      </c>
      <c r="V44" s="24">
        <f>IF($A44="","",Households!T44*Settings!$B$14)</f>
        <v>0</v>
      </c>
      <c r="W44" s="24">
        <f>IF($A44="","",SUMIFS(Assistance_Log!$F$5:$F$367,Assistance_Log!$C$5:$C$367,$A44,Assistance_Log!$E$5:$E$367,"Winter clothing – adults",Assistance_Log!$B$5:$B$367,"&gt;="&amp;Households!F44))</f>
        <v>0</v>
      </c>
      <c r="X44" s="24">
        <f t="shared" si="18"/>
        <v>0</v>
      </c>
      <c r="Y44" s="24">
        <f>IF($A44="","",Households!J44*Settings!$B$15)</f>
        <v>0</v>
      </c>
      <c r="Z44" s="24">
        <f>IF($A44="","",SUMIFS(Assistance_Log!$F$5:$F$367,Assistance_Log!$C$5:$C$367,$A44,Assistance_Log!$E$5:$E$367,"Diapers",Assistance_Log!$B$5:$B$367,"&gt;="&amp;Households!F44))</f>
        <v>0</v>
      </c>
      <c r="AA44" s="24">
        <f t="shared" si="19"/>
        <v>0</v>
      </c>
      <c r="AB44" s="24">
        <f>IF($A44="","",Settings!$B$16)</f>
        <v>1</v>
      </c>
      <c r="AC44" s="24">
        <f>IF($A44="","",SUMIFS(Assistance_Log!$F$5:$F$367,Assistance_Log!$C$5:$C$367,$A44,Assistance_Log!$E$5:$E$367,"Family hygiene kits",Assistance_Log!$B$5:$B$367,"&gt;="&amp;Households!F44))</f>
        <v>1</v>
      </c>
      <c r="AD44" s="24">
        <f t="shared" si="20"/>
        <v>0</v>
      </c>
      <c r="AE44" s="24">
        <f>IF($A44="","",Households!N44*Settings!$B$17)</f>
        <v>2</v>
      </c>
      <c r="AF44" s="24">
        <f>IF($A44="","",SUMIFS(Assistance_Log!$F$5:$F$367,Assistance_Log!$C$5:$C$367,$A44,Assistance_Log!$E$5:$E$367,"Menstrual hygiene kits",Assistance_Log!$B$5:$B$367,"&gt;="&amp;Households!F44))</f>
        <v>0</v>
      </c>
      <c r="AG44" s="24">
        <f t="shared" si="21"/>
        <v>2</v>
      </c>
      <c r="AH44" s="25" t="str">
        <f t="shared" si="22"/>
        <v>Yes</v>
      </c>
      <c r="AI44" s="24">
        <f t="shared" si="23"/>
        <v>3</v>
      </c>
    </row>
    <row r="45" spans="1:35" x14ac:dyDescent="0.3">
      <c r="A45" s="24" t="str">
        <f>IF(Households!A45="","",Households!A45)</f>
        <v>HH-041</v>
      </c>
      <c r="B45" s="24" t="str">
        <f>IF($A45="","",Households!B45)</f>
        <v>Site B – School Shelter</v>
      </c>
      <c r="C45" s="24" t="str">
        <f>IF($A45="","",Households!X45)</f>
        <v>Low</v>
      </c>
      <c r="D45" s="24">
        <f>IF($A45="","",MAX(0,Households!H45*Settings!$B$9-Households!Q45))</f>
        <v>15</v>
      </c>
      <c r="E45" s="24">
        <f>IF($A45="","",SUMIFS(Assistance_Log!$F$5:$F$367,Assistance_Log!$C$5:$C$367,$A45,Assistance_Log!$E$5:$E$367,"Blankets",Assistance_Log!$B$5:$B$367,"&gt;="&amp;Households!F45))</f>
        <v>5</v>
      </c>
      <c r="F45" s="25">
        <f t="shared" si="12"/>
        <v>10</v>
      </c>
      <c r="G45" s="24">
        <f>IF($A45="","",MAX(0,Households!H45*Settings!$B$10-Households!R45))</f>
        <v>8</v>
      </c>
      <c r="H45" s="24">
        <f>IF($A45="","",SUMIFS(Assistance_Log!$F$5:$F$367,Assistance_Log!$C$5:$C$367,$A45,Assistance_Log!$E$5:$E$367,"Mattresses",Assistance_Log!$B$5:$B$367,"&gt;="&amp;Households!F45))</f>
        <v>8</v>
      </c>
      <c r="I45" s="25">
        <f t="shared" si="13"/>
        <v>0</v>
      </c>
      <c r="J45" s="24">
        <f>IF($A45="","",IF(AND(OR(Households!C45="Tent",Households!C45="Makeshift shelter"),Households!D45="Damaged"),Settings!$B$11,0))</f>
        <v>0</v>
      </c>
      <c r="K45" s="24">
        <f>IF($A45="","",SUMIFS(Assistance_Log!$F$5:$F$367,Assistance_Log!$C$5:$C$367,$A45,Assistance_Log!$E$5:$E$367,"Tarpaulins",Assistance_Log!$B$5:$B$367,"&gt;="&amp;Households!F45))</f>
        <v>0</v>
      </c>
      <c r="L45" s="25">
        <f t="shared" si="14"/>
        <v>0</v>
      </c>
      <c r="M45" s="24">
        <f>IF($A45="","",IF(AND(OR(Households!C45="Tent",Households!C45="Makeshift shelter"),Households!D45="Unusable"),Settings!$B$12,0))</f>
        <v>0</v>
      </c>
      <c r="N45" s="24">
        <f>IF($A45="","",SUMIFS(Assistance_Log!$F$5:$F$367,Assistance_Log!$C$5:$C$367,$A45,Assistance_Log!$E$5:$E$367,"Tent replacement",Assistance_Log!$B$5:$B$367,"&gt;="&amp;Households!F45))</f>
        <v>0</v>
      </c>
      <c r="O45" s="25">
        <f t="shared" si="15"/>
        <v>0</v>
      </c>
      <c r="P45" s="24">
        <f>IF($A45="","",IF(Households!D45="Damaged",Settings!$B$13,0))</f>
        <v>1</v>
      </c>
      <c r="Q45" s="24">
        <f>IF($A45="","",SUMIFS(Assistance_Log!$F$5:$F$367,Assistance_Log!$C$5:$C$367,$A45,Assistance_Log!$E$5:$E$367,"Shelter repair kits",Assistance_Log!$B$5:$B$367,"&gt;="&amp;Households!F45))</f>
        <v>1</v>
      </c>
      <c r="R45" s="24">
        <f t="shared" si="16"/>
        <v>0</v>
      </c>
      <c r="S45" s="24">
        <f>IF($A45="","",Households!S45*Settings!$B$14)</f>
        <v>6</v>
      </c>
      <c r="T45" s="24">
        <f>IF($A45="","",SUMIFS(Assistance_Log!$F$5:$F$367,Assistance_Log!$C$5:$C$367,$A45,Assistance_Log!$E$5:$E$367,"Winter clothing – children",Assistance_Log!$B$5:$B$367,"&gt;="&amp;Households!F45))</f>
        <v>6</v>
      </c>
      <c r="U45" s="24">
        <f t="shared" si="17"/>
        <v>0</v>
      </c>
      <c r="V45" s="24">
        <f>IF($A45="","",Households!T45*Settings!$B$14)</f>
        <v>1</v>
      </c>
      <c r="W45" s="24">
        <f>IF($A45="","",SUMIFS(Assistance_Log!$F$5:$F$367,Assistance_Log!$C$5:$C$367,$A45,Assistance_Log!$E$5:$E$367,"Winter clothing – adults",Assistance_Log!$B$5:$B$367,"&gt;="&amp;Households!F45))</f>
        <v>1</v>
      </c>
      <c r="X45" s="24">
        <f t="shared" si="18"/>
        <v>0</v>
      </c>
      <c r="Y45" s="24">
        <f>IF($A45="","",Households!J45*Settings!$B$15)</f>
        <v>0</v>
      </c>
      <c r="Z45" s="24">
        <f>IF($A45="","",SUMIFS(Assistance_Log!$F$5:$F$367,Assistance_Log!$C$5:$C$367,$A45,Assistance_Log!$E$5:$E$367,"Diapers",Assistance_Log!$B$5:$B$367,"&gt;="&amp;Households!F45))</f>
        <v>0</v>
      </c>
      <c r="AA45" s="24">
        <f t="shared" si="19"/>
        <v>0</v>
      </c>
      <c r="AB45" s="24">
        <f>IF($A45="","",Settings!$B$16)</f>
        <v>1</v>
      </c>
      <c r="AC45" s="24">
        <f>IF($A45="","",SUMIFS(Assistance_Log!$F$5:$F$367,Assistance_Log!$C$5:$C$367,$A45,Assistance_Log!$E$5:$E$367,"Family hygiene kits",Assistance_Log!$B$5:$B$367,"&gt;="&amp;Households!F45))</f>
        <v>1</v>
      </c>
      <c r="AD45" s="24">
        <f t="shared" si="20"/>
        <v>0</v>
      </c>
      <c r="AE45" s="24">
        <f>IF($A45="","",Households!N45*Settings!$B$17)</f>
        <v>2</v>
      </c>
      <c r="AF45" s="24">
        <f>IF($A45="","",SUMIFS(Assistance_Log!$F$5:$F$367,Assistance_Log!$C$5:$C$367,$A45,Assistance_Log!$E$5:$E$367,"Menstrual hygiene kits",Assistance_Log!$B$5:$B$367,"&gt;="&amp;Households!F45))</f>
        <v>0</v>
      </c>
      <c r="AG45" s="24">
        <f t="shared" si="21"/>
        <v>2</v>
      </c>
      <c r="AH45" s="25" t="str">
        <f t="shared" si="22"/>
        <v>Yes</v>
      </c>
      <c r="AI45" s="24">
        <f t="shared" si="23"/>
        <v>2</v>
      </c>
    </row>
    <row r="46" spans="1:35" x14ac:dyDescent="0.3">
      <c r="A46" s="24" t="str">
        <f>IF(Households!A46="","",Households!A46)</f>
        <v>HH-042</v>
      </c>
      <c r="B46" s="24" t="str">
        <f>IF($A46="","",Households!B46)</f>
        <v>Site B – School Shelter</v>
      </c>
      <c r="C46" s="24" t="str">
        <f>IF($A46="","",Households!X46)</f>
        <v>Medium</v>
      </c>
      <c r="D46" s="24">
        <f>IF($A46="","",MAX(0,Households!H46*Settings!$B$9-Households!Q46))</f>
        <v>9</v>
      </c>
      <c r="E46" s="24">
        <f>IF($A46="","",SUMIFS(Assistance_Log!$F$5:$F$367,Assistance_Log!$C$5:$C$367,$A46,Assistance_Log!$E$5:$E$367,"Blankets",Assistance_Log!$B$5:$B$367,"&gt;="&amp;Households!F46))</f>
        <v>9</v>
      </c>
      <c r="F46" s="25">
        <f t="shared" si="12"/>
        <v>0</v>
      </c>
      <c r="G46" s="24">
        <f>IF($A46="","",MAX(0,Households!H46*Settings!$B$10-Households!R46))</f>
        <v>6</v>
      </c>
      <c r="H46" s="24">
        <f>IF($A46="","",SUMIFS(Assistance_Log!$F$5:$F$367,Assistance_Log!$C$5:$C$367,$A46,Assistance_Log!$E$5:$E$367,"Mattresses",Assistance_Log!$B$5:$B$367,"&gt;="&amp;Households!F46))</f>
        <v>0</v>
      </c>
      <c r="I46" s="25">
        <f t="shared" si="13"/>
        <v>6</v>
      </c>
      <c r="J46" s="24">
        <f>IF($A46="","",IF(AND(OR(Households!C46="Tent",Households!C46="Makeshift shelter"),Households!D46="Damaged"),Settings!$B$11,0))</f>
        <v>0</v>
      </c>
      <c r="K46" s="24">
        <f>IF($A46="","",SUMIFS(Assistance_Log!$F$5:$F$367,Assistance_Log!$C$5:$C$367,$A46,Assistance_Log!$E$5:$E$367,"Tarpaulins",Assistance_Log!$B$5:$B$367,"&gt;="&amp;Households!F46))</f>
        <v>0</v>
      </c>
      <c r="L46" s="25">
        <f t="shared" si="14"/>
        <v>0</v>
      </c>
      <c r="M46" s="24">
        <f>IF($A46="","",IF(AND(OR(Households!C46="Tent",Households!C46="Makeshift shelter"),Households!D46="Unusable"),Settings!$B$12,0))</f>
        <v>0</v>
      </c>
      <c r="N46" s="24">
        <f>IF($A46="","",SUMIFS(Assistance_Log!$F$5:$F$367,Assistance_Log!$C$5:$C$367,$A46,Assistance_Log!$E$5:$E$367,"Tent replacement",Assistance_Log!$B$5:$B$367,"&gt;="&amp;Households!F46))</f>
        <v>0</v>
      </c>
      <c r="O46" s="25">
        <f t="shared" si="15"/>
        <v>0</v>
      </c>
      <c r="P46" s="24">
        <f>IF($A46="","",IF(Households!D46="Damaged",Settings!$B$13,0))</f>
        <v>0</v>
      </c>
      <c r="Q46" s="24">
        <f>IF($A46="","",SUMIFS(Assistance_Log!$F$5:$F$367,Assistance_Log!$C$5:$C$367,$A46,Assistance_Log!$E$5:$E$367,"Shelter repair kits",Assistance_Log!$B$5:$B$367,"&gt;="&amp;Households!F46))</f>
        <v>0</v>
      </c>
      <c r="R46" s="24">
        <f t="shared" si="16"/>
        <v>0</v>
      </c>
      <c r="S46" s="24">
        <f>IF($A46="","",Households!S46*Settings!$B$14)</f>
        <v>6</v>
      </c>
      <c r="T46" s="24">
        <f>IF($A46="","",SUMIFS(Assistance_Log!$F$5:$F$367,Assistance_Log!$C$5:$C$367,$A46,Assistance_Log!$E$5:$E$367,"Winter clothing – children",Assistance_Log!$B$5:$B$367,"&gt;="&amp;Households!F46))</f>
        <v>3</v>
      </c>
      <c r="U46" s="24">
        <f t="shared" si="17"/>
        <v>3</v>
      </c>
      <c r="V46" s="24">
        <f>IF($A46="","",Households!T46*Settings!$B$14)</f>
        <v>0</v>
      </c>
      <c r="W46" s="24">
        <f>IF($A46="","",SUMIFS(Assistance_Log!$F$5:$F$367,Assistance_Log!$C$5:$C$367,$A46,Assistance_Log!$E$5:$E$367,"Winter clothing – adults",Assistance_Log!$B$5:$B$367,"&gt;="&amp;Households!F46))</f>
        <v>0</v>
      </c>
      <c r="X46" s="24">
        <f t="shared" si="18"/>
        <v>0</v>
      </c>
      <c r="Y46" s="24">
        <f>IF($A46="","",Households!J46*Settings!$B$15)</f>
        <v>4</v>
      </c>
      <c r="Z46" s="24">
        <f>IF($A46="","",SUMIFS(Assistance_Log!$F$5:$F$367,Assistance_Log!$C$5:$C$367,$A46,Assistance_Log!$E$5:$E$367,"Diapers",Assistance_Log!$B$5:$B$367,"&gt;="&amp;Households!F46))</f>
        <v>4</v>
      </c>
      <c r="AA46" s="24">
        <f t="shared" si="19"/>
        <v>0</v>
      </c>
      <c r="AB46" s="24">
        <f>IF($A46="","",Settings!$B$16)</f>
        <v>1</v>
      </c>
      <c r="AC46" s="24">
        <f>IF($A46="","",SUMIFS(Assistance_Log!$F$5:$F$367,Assistance_Log!$C$5:$C$367,$A46,Assistance_Log!$E$5:$E$367,"Family hygiene kits",Assistance_Log!$B$5:$B$367,"&gt;="&amp;Households!F46))</f>
        <v>0</v>
      </c>
      <c r="AD46" s="24">
        <f t="shared" si="20"/>
        <v>1</v>
      </c>
      <c r="AE46" s="24">
        <f>IF($A46="","",Households!N46*Settings!$B$17)</f>
        <v>2</v>
      </c>
      <c r="AF46" s="24">
        <f>IF($A46="","",SUMIFS(Assistance_Log!$F$5:$F$367,Assistance_Log!$C$5:$C$367,$A46,Assistance_Log!$E$5:$E$367,"Menstrual hygiene kits",Assistance_Log!$B$5:$B$367,"&gt;="&amp;Households!F46))</f>
        <v>0</v>
      </c>
      <c r="AG46" s="24">
        <f t="shared" si="21"/>
        <v>2</v>
      </c>
      <c r="AH46" s="25" t="str">
        <f t="shared" si="22"/>
        <v>Yes</v>
      </c>
      <c r="AI46" s="24">
        <f t="shared" si="23"/>
        <v>4</v>
      </c>
    </row>
    <row r="47" spans="1:35" x14ac:dyDescent="0.3">
      <c r="A47" s="24" t="str">
        <f>IF(Households!A47="","",Households!A47)</f>
        <v>HH-043</v>
      </c>
      <c r="B47" s="24" t="str">
        <f>IF($A47="","",Households!B47)</f>
        <v>Site B – School Shelter</v>
      </c>
      <c r="C47" s="24" t="str">
        <f>IF($A47="","",Households!X47)</f>
        <v>Medium</v>
      </c>
      <c r="D47" s="24">
        <f>IF($A47="","",MAX(0,Households!H47*Settings!$B$9-Households!Q47))</f>
        <v>4</v>
      </c>
      <c r="E47" s="24">
        <f>IF($A47="","",SUMIFS(Assistance_Log!$F$5:$F$367,Assistance_Log!$C$5:$C$367,$A47,Assistance_Log!$E$5:$E$367,"Blankets",Assistance_Log!$B$5:$B$367,"&gt;="&amp;Households!F47))</f>
        <v>4</v>
      </c>
      <c r="F47" s="25">
        <f t="shared" si="12"/>
        <v>0</v>
      </c>
      <c r="G47" s="24">
        <f>IF($A47="","",MAX(0,Households!H47*Settings!$B$10-Households!R47))</f>
        <v>3</v>
      </c>
      <c r="H47" s="24">
        <f>IF($A47="","",SUMIFS(Assistance_Log!$F$5:$F$367,Assistance_Log!$C$5:$C$367,$A47,Assistance_Log!$E$5:$E$367,"Mattresses",Assistance_Log!$B$5:$B$367,"&gt;="&amp;Households!F47))</f>
        <v>0</v>
      </c>
      <c r="I47" s="25">
        <f t="shared" si="13"/>
        <v>3</v>
      </c>
      <c r="J47" s="24">
        <f>IF($A47="","",IF(AND(OR(Households!C47="Tent",Households!C47="Makeshift shelter"),Households!D47="Damaged"),Settings!$B$11,0))</f>
        <v>0</v>
      </c>
      <c r="K47" s="24">
        <f>IF($A47="","",SUMIFS(Assistance_Log!$F$5:$F$367,Assistance_Log!$C$5:$C$367,$A47,Assistance_Log!$E$5:$E$367,"Tarpaulins",Assistance_Log!$B$5:$B$367,"&gt;="&amp;Households!F47))</f>
        <v>0</v>
      </c>
      <c r="L47" s="25">
        <f t="shared" si="14"/>
        <v>0</v>
      </c>
      <c r="M47" s="24">
        <f>IF($A47="","",IF(AND(OR(Households!C47="Tent",Households!C47="Makeshift shelter"),Households!D47="Unusable"),Settings!$B$12,0))</f>
        <v>0</v>
      </c>
      <c r="N47" s="24">
        <f>IF($A47="","",SUMIFS(Assistance_Log!$F$5:$F$367,Assistance_Log!$C$5:$C$367,$A47,Assistance_Log!$E$5:$E$367,"Tent replacement",Assistance_Log!$B$5:$B$367,"&gt;="&amp;Households!F47))</f>
        <v>0</v>
      </c>
      <c r="O47" s="25">
        <f t="shared" si="15"/>
        <v>0</v>
      </c>
      <c r="P47" s="24">
        <f>IF($A47="","",IF(Households!D47="Damaged",Settings!$B$13,0))</f>
        <v>0</v>
      </c>
      <c r="Q47" s="24">
        <f>IF($A47="","",SUMIFS(Assistance_Log!$F$5:$F$367,Assistance_Log!$C$5:$C$367,$A47,Assistance_Log!$E$5:$E$367,"Shelter repair kits",Assistance_Log!$B$5:$B$367,"&gt;="&amp;Households!F47))</f>
        <v>0</v>
      </c>
      <c r="R47" s="24">
        <f t="shared" si="16"/>
        <v>0</v>
      </c>
      <c r="S47" s="24">
        <f>IF($A47="","",Households!S47*Settings!$B$14)</f>
        <v>0</v>
      </c>
      <c r="T47" s="24">
        <f>IF($A47="","",SUMIFS(Assistance_Log!$F$5:$F$367,Assistance_Log!$C$5:$C$367,$A47,Assistance_Log!$E$5:$E$367,"Winter clothing – children",Assistance_Log!$B$5:$B$367,"&gt;="&amp;Households!F47))</f>
        <v>0</v>
      </c>
      <c r="U47" s="24">
        <f t="shared" si="17"/>
        <v>0</v>
      </c>
      <c r="V47" s="24">
        <f>IF($A47="","",Households!T47*Settings!$B$14)</f>
        <v>2</v>
      </c>
      <c r="W47" s="24">
        <f>IF($A47="","",SUMIFS(Assistance_Log!$F$5:$F$367,Assistance_Log!$C$5:$C$367,$A47,Assistance_Log!$E$5:$E$367,"Winter clothing – adults",Assistance_Log!$B$5:$B$367,"&gt;="&amp;Households!F47))</f>
        <v>0</v>
      </c>
      <c r="X47" s="24">
        <f t="shared" si="18"/>
        <v>2</v>
      </c>
      <c r="Y47" s="24">
        <f>IF($A47="","",Households!J47*Settings!$B$15)</f>
        <v>4</v>
      </c>
      <c r="Z47" s="24">
        <f>IF($A47="","",SUMIFS(Assistance_Log!$F$5:$F$367,Assistance_Log!$C$5:$C$367,$A47,Assistance_Log!$E$5:$E$367,"Diapers",Assistance_Log!$B$5:$B$367,"&gt;="&amp;Households!F47))</f>
        <v>4</v>
      </c>
      <c r="AA47" s="24">
        <f t="shared" si="19"/>
        <v>0</v>
      </c>
      <c r="AB47" s="24">
        <f>IF($A47="","",Settings!$B$16)</f>
        <v>1</v>
      </c>
      <c r="AC47" s="24">
        <f>IF($A47="","",SUMIFS(Assistance_Log!$F$5:$F$367,Assistance_Log!$C$5:$C$367,$A47,Assistance_Log!$E$5:$E$367,"Family hygiene kits",Assistance_Log!$B$5:$B$367,"&gt;="&amp;Households!F47))</f>
        <v>0</v>
      </c>
      <c r="AD47" s="24">
        <f t="shared" si="20"/>
        <v>1</v>
      </c>
      <c r="AE47" s="24">
        <f>IF($A47="","",Households!N47*Settings!$B$17)</f>
        <v>1</v>
      </c>
      <c r="AF47" s="24">
        <f>IF($A47="","",SUMIFS(Assistance_Log!$F$5:$F$367,Assistance_Log!$C$5:$C$367,$A47,Assistance_Log!$E$5:$E$367,"Menstrual hygiene kits",Assistance_Log!$B$5:$B$367,"&gt;="&amp;Households!F47))</f>
        <v>0</v>
      </c>
      <c r="AG47" s="24">
        <f t="shared" si="21"/>
        <v>1</v>
      </c>
      <c r="AH47" s="25" t="str">
        <f t="shared" si="22"/>
        <v>Yes</v>
      </c>
      <c r="AI47" s="24">
        <f t="shared" si="23"/>
        <v>4</v>
      </c>
    </row>
    <row r="48" spans="1:35" x14ac:dyDescent="0.3">
      <c r="A48" s="24" t="str">
        <f>IF(Households!A48="","",Households!A48)</f>
        <v>HH-044</v>
      </c>
      <c r="B48" s="24" t="str">
        <f>IF($A48="","",Households!B48)</f>
        <v>Site B – School Shelter</v>
      </c>
      <c r="C48" s="24" t="str">
        <f>IF($A48="","",Households!X48)</f>
        <v>Low</v>
      </c>
      <c r="D48" s="24">
        <f>IF($A48="","",MAX(0,Households!H48*Settings!$B$9-Households!Q48))</f>
        <v>5</v>
      </c>
      <c r="E48" s="24">
        <f>IF($A48="","",SUMIFS(Assistance_Log!$F$5:$F$367,Assistance_Log!$C$5:$C$367,$A48,Assistance_Log!$E$5:$E$367,"Blankets",Assistance_Log!$B$5:$B$367,"&gt;="&amp;Households!F48))</f>
        <v>5</v>
      </c>
      <c r="F48" s="25">
        <f t="shared" si="12"/>
        <v>0</v>
      </c>
      <c r="G48" s="24">
        <f>IF($A48="","",MAX(0,Households!H48*Settings!$B$10-Households!R48))</f>
        <v>0</v>
      </c>
      <c r="H48" s="24">
        <f>IF($A48="","",SUMIFS(Assistance_Log!$F$5:$F$367,Assistance_Log!$C$5:$C$367,$A48,Assistance_Log!$E$5:$E$367,"Mattresses",Assistance_Log!$B$5:$B$367,"&gt;="&amp;Households!F48))</f>
        <v>0</v>
      </c>
      <c r="I48" s="25">
        <f t="shared" si="13"/>
        <v>0</v>
      </c>
      <c r="J48" s="24">
        <f>IF($A48="","",IF(AND(OR(Households!C48="Tent",Households!C48="Makeshift shelter"),Households!D48="Damaged"),Settings!$B$11,0))</f>
        <v>0</v>
      </c>
      <c r="K48" s="24">
        <f>IF($A48="","",SUMIFS(Assistance_Log!$F$5:$F$367,Assistance_Log!$C$5:$C$367,$A48,Assistance_Log!$E$5:$E$367,"Tarpaulins",Assistance_Log!$B$5:$B$367,"&gt;="&amp;Households!F48))</f>
        <v>0</v>
      </c>
      <c r="L48" s="25">
        <f t="shared" si="14"/>
        <v>0</v>
      </c>
      <c r="M48" s="24">
        <f>IF($A48="","",IF(AND(OR(Households!C48="Tent",Households!C48="Makeshift shelter"),Households!D48="Unusable"),Settings!$B$12,0))</f>
        <v>0</v>
      </c>
      <c r="N48" s="24">
        <f>IF($A48="","",SUMIFS(Assistance_Log!$F$5:$F$367,Assistance_Log!$C$5:$C$367,$A48,Assistance_Log!$E$5:$E$367,"Tent replacement",Assistance_Log!$B$5:$B$367,"&gt;="&amp;Households!F48))</f>
        <v>0</v>
      </c>
      <c r="O48" s="25">
        <f t="shared" si="15"/>
        <v>0</v>
      </c>
      <c r="P48" s="24">
        <f>IF($A48="","",IF(Households!D48="Damaged",Settings!$B$13,0))</f>
        <v>0</v>
      </c>
      <c r="Q48" s="24">
        <f>IF($A48="","",SUMIFS(Assistance_Log!$F$5:$F$367,Assistance_Log!$C$5:$C$367,$A48,Assistance_Log!$E$5:$E$367,"Shelter repair kits",Assistance_Log!$B$5:$B$367,"&gt;="&amp;Households!F48))</f>
        <v>0</v>
      </c>
      <c r="R48" s="24">
        <f t="shared" si="16"/>
        <v>0</v>
      </c>
      <c r="S48" s="24">
        <f>IF($A48="","",Households!S48*Settings!$B$14)</f>
        <v>3</v>
      </c>
      <c r="T48" s="24">
        <f>IF($A48="","",SUMIFS(Assistance_Log!$F$5:$F$367,Assistance_Log!$C$5:$C$367,$A48,Assistance_Log!$E$5:$E$367,"Winter clothing – children",Assistance_Log!$B$5:$B$367,"&gt;="&amp;Households!F48))</f>
        <v>0</v>
      </c>
      <c r="U48" s="24">
        <f t="shared" si="17"/>
        <v>3</v>
      </c>
      <c r="V48" s="24">
        <f>IF($A48="","",Households!T48*Settings!$B$14)</f>
        <v>2</v>
      </c>
      <c r="W48" s="24">
        <f>IF($A48="","",SUMIFS(Assistance_Log!$F$5:$F$367,Assistance_Log!$C$5:$C$367,$A48,Assistance_Log!$E$5:$E$367,"Winter clothing – adults",Assistance_Log!$B$5:$B$367,"&gt;="&amp;Households!F48))</f>
        <v>0</v>
      </c>
      <c r="X48" s="24">
        <f t="shared" si="18"/>
        <v>2</v>
      </c>
      <c r="Y48" s="24">
        <f>IF($A48="","",Households!J48*Settings!$B$15)</f>
        <v>0</v>
      </c>
      <c r="Z48" s="24">
        <f>IF($A48="","",SUMIFS(Assistance_Log!$F$5:$F$367,Assistance_Log!$C$5:$C$367,$A48,Assistance_Log!$E$5:$E$367,"Diapers",Assistance_Log!$B$5:$B$367,"&gt;="&amp;Households!F48))</f>
        <v>0</v>
      </c>
      <c r="AA48" s="24">
        <f t="shared" si="19"/>
        <v>0</v>
      </c>
      <c r="AB48" s="24">
        <f>IF($A48="","",Settings!$B$16)</f>
        <v>1</v>
      </c>
      <c r="AC48" s="24">
        <f>IF($A48="","",SUMIFS(Assistance_Log!$F$5:$F$367,Assistance_Log!$C$5:$C$367,$A48,Assistance_Log!$E$5:$E$367,"Family hygiene kits",Assistance_Log!$B$5:$B$367,"&gt;="&amp;Households!F48))</f>
        <v>1</v>
      </c>
      <c r="AD48" s="24">
        <f t="shared" si="20"/>
        <v>0</v>
      </c>
      <c r="AE48" s="24">
        <f>IF($A48="","",Households!N48*Settings!$B$17)</f>
        <v>2</v>
      </c>
      <c r="AF48" s="24">
        <f>IF($A48="","",SUMIFS(Assistance_Log!$F$5:$F$367,Assistance_Log!$C$5:$C$367,$A48,Assistance_Log!$E$5:$E$367,"Menstrual hygiene kits",Assistance_Log!$B$5:$B$367,"&gt;="&amp;Households!F48))</f>
        <v>0</v>
      </c>
      <c r="AG48" s="24">
        <f t="shared" si="21"/>
        <v>2</v>
      </c>
      <c r="AH48" s="25" t="str">
        <f t="shared" si="22"/>
        <v>Yes</v>
      </c>
      <c r="AI48" s="24">
        <f t="shared" si="23"/>
        <v>3</v>
      </c>
    </row>
    <row r="49" spans="1:35" x14ac:dyDescent="0.3">
      <c r="A49" s="24" t="str">
        <f>IF(Households!A49="","",Households!A49)</f>
        <v>HH-045</v>
      </c>
      <c r="B49" s="24" t="str">
        <f>IF($A49="","",Households!B49)</f>
        <v>Site B – School Shelter</v>
      </c>
      <c r="C49" s="24" t="str">
        <f>IF($A49="","",Households!X49)</f>
        <v>Low</v>
      </c>
      <c r="D49" s="24">
        <f>IF($A49="","",MAX(0,Households!H49*Settings!$B$9-Households!Q49))</f>
        <v>3</v>
      </c>
      <c r="E49" s="24">
        <f>IF($A49="","",SUMIFS(Assistance_Log!$F$5:$F$367,Assistance_Log!$C$5:$C$367,$A49,Assistance_Log!$E$5:$E$367,"Blankets",Assistance_Log!$B$5:$B$367,"&gt;="&amp;Households!F49))</f>
        <v>3</v>
      </c>
      <c r="F49" s="25">
        <f t="shared" si="12"/>
        <v>0</v>
      </c>
      <c r="G49" s="24">
        <f>IF($A49="","",MAX(0,Households!H49*Settings!$B$10-Households!R49))</f>
        <v>2</v>
      </c>
      <c r="H49" s="24">
        <f>IF($A49="","",SUMIFS(Assistance_Log!$F$5:$F$367,Assistance_Log!$C$5:$C$367,$A49,Assistance_Log!$E$5:$E$367,"Mattresses",Assistance_Log!$B$5:$B$367,"&gt;="&amp;Households!F49))</f>
        <v>2</v>
      </c>
      <c r="I49" s="25">
        <f t="shared" si="13"/>
        <v>0</v>
      </c>
      <c r="J49" s="24">
        <f>IF($A49="","",IF(AND(OR(Households!C49="Tent",Households!C49="Makeshift shelter"),Households!D49="Damaged"),Settings!$B$11,0))</f>
        <v>0</v>
      </c>
      <c r="K49" s="24">
        <f>IF($A49="","",SUMIFS(Assistance_Log!$F$5:$F$367,Assistance_Log!$C$5:$C$367,$A49,Assistance_Log!$E$5:$E$367,"Tarpaulins",Assistance_Log!$B$5:$B$367,"&gt;="&amp;Households!F49))</f>
        <v>0</v>
      </c>
      <c r="L49" s="25">
        <f t="shared" si="14"/>
        <v>0</v>
      </c>
      <c r="M49" s="24">
        <f>IF($A49="","",IF(AND(OR(Households!C49="Tent",Households!C49="Makeshift shelter"),Households!D49="Unusable"),Settings!$B$12,0))</f>
        <v>0</v>
      </c>
      <c r="N49" s="24">
        <f>IF($A49="","",SUMIFS(Assistance_Log!$F$5:$F$367,Assistance_Log!$C$5:$C$367,$A49,Assistance_Log!$E$5:$E$367,"Tent replacement",Assistance_Log!$B$5:$B$367,"&gt;="&amp;Households!F49))</f>
        <v>0</v>
      </c>
      <c r="O49" s="25">
        <f t="shared" si="15"/>
        <v>0</v>
      </c>
      <c r="P49" s="24">
        <f>IF($A49="","",IF(Households!D49="Damaged",Settings!$B$13,0))</f>
        <v>0</v>
      </c>
      <c r="Q49" s="24">
        <f>IF($A49="","",SUMIFS(Assistance_Log!$F$5:$F$367,Assistance_Log!$C$5:$C$367,$A49,Assistance_Log!$E$5:$E$367,"Shelter repair kits",Assistance_Log!$B$5:$B$367,"&gt;="&amp;Households!F49))</f>
        <v>0</v>
      </c>
      <c r="R49" s="24">
        <f t="shared" si="16"/>
        <v>0</v>
      </c>
      <c r="S49" s="24">
        <f>IF($A49="","",Households!S49*Settings!$B$14)</f>
        <v>1</v>
      </c>
      <c r="T49" s="24">
        <f>IF($A49="","",SUMIFS(Assistance_Log!$F$5:$F$367,Assistance_Log!$C$5:$C$367,$A49,Assistance_Log!$E$5:$E$367,"Winter clothing – children",Assistance_Log!$B$5:$B$367,"&gt;="&amp;Households!F49))</f>
        <v>1</v>
      </c>
      <c r="U49" s="24">
        <f t="shared" si="17"/>
        <v>0</v>
      </c>
      <c r="V49" s="24">
        <f>IF($A49="","",Households!T49*Settings!$B$14)</f>
        <v>1</v>
      </c>
      <c r="W49" s="24">
        <f>IF($A49="","",SUMIFS(Assistance_Log!$F$5:$F$367,Assistance_Log!$C$5:$C$367,$A49,Assistance_Log!$E$5:$E$367,"Winter clothing – adults",Assistance_Log!$B$5:$B$367,"&gt;="&amp;Households!F49))</f>
        <v>1</v>
      </c>
      <c r="X49" s="24">
        <f t="shared" si="18"/>
        <v>0</v>
      </c>
      <c r="Y49" s="24">
        <f>IF($A49="","",Households!J49*Settings!$B$15)</f>
        <v>0</v>
      </c>
      <c r="Z49" s="24">
        <f>IF($A49="","",SUMIFS(Assistance_Log!$F$5:$F$367,Assistance_Log!$C$5:$C$367,$A49,Assistance_Log!$E$5:$E$367,"Diapers",Assistance_Log!$B$5:$B$367,"&gt;="&amp;Households!F49))</f>
        <v>0</v>
      </c>
      <c r="AA49" s="24">
        <f t="shared" si="19"/>
        <v>0</v>
      </c>
      <c r="AB49" s="24">
        <f>IF($A49="","",Settings!$B$16)</f>
        <v>1</v>
      </c>
      <c r="AC49" s="24">
        <f>IF($A49="","",SUMIFS(Assistance_Log!$F$5:$F$367,Assistance_Log!$C$5:$C$367,$A49,Assistance_Log!$E$5:$E$367,"Family hygiene kits",Assistance_Log!$B$5:$B$367,"&gt;="&amp;Households!F49))</f>
        <v>1</v>
      </c>
      <c r="AD49" s="24">
        <f t="shared" si="20"/>
        <v>0</v>
      </c>
      <c r="AE49" s="24">
        <f>IF($A49="","",Households!N49*Settings!$B$17)</f>
        <v>3</v>
      </c>
      <c r="AF49" s="24">
        <f>IF($A49="","",SUMIFS(Assistance_Log!$F$5:$F$367,Assistance_Log!$C$5:$C$367,$A49,Assistance_Log!$E$5:$E$367,"Menstrual hygiene kits",Assistance_Log!$B$5:$B$367,"&gt;="&amp;Households!F49))</f>
        <v>0</v>
      </c>
      <c r="AG49" s="24">
        <f t="shared" si="21"/>
        <v>3</v>
      </c>
      <c r="AH49" s="25" t="str">
        <f t="shared" si="22"/>
        <v>Yes</v>
      </c>
      <c r="AI49" s="24">
        <f t="shared" si="23"/>
        <v>1</v>
      </c>
    </row>
    <row r="50" spans="1:35" x14ac:dyDescent="0.3">
      <c r="A50" s="24" t="str">
        <f>IF(Households!A50="","",Households!A50)</f>
        <v>HH-046</v>
      </c>
      <c r="B50" s="24" t="str">
        <f>IF($A50="","",Households!B50)</f>
        <v>Site B – School Shelter</v>
      </c>
      <c r="C50" s="24" t="str">
        <f>IF($A50="","",Households!X50)</f>
        <v>Medium</v>
      </c>
      <c r="D50" s="24">
        <f>IF($A50="","",MAX(0,Households!H50*Settings!$B$9-Households!Q50))</f>
        <v>9</v>
      </c>
      <c r="E50" s="24">
        <f>IF($A50="","",SUMIFS(Assistance_Log!$F$5:$F$367,Assistance_Log!$C$5:$C$367,$A50,Assistance_Log!$E$5:$E$367,"Blankets",Assistance_Log!$B$5:$B$367,"&gt;="&amp;Households!F50))</f>
        <v>0</v>
      </c>
      <c r="F50" s="25">
        <f t="shared" si="12"/>
        <v>9</v>
      </c>
      <c r="G50" s="24">
        <f>IF($A50="","",MAX(0,Households!H50*Settings!$B$10-Households!R50))</f>
        <v>0</v>
      </c>
      <c r="H50" s="24">
        <f>IF($A50="","",SUMIFS(Assistance_Log!$F$5:$F$367,Assistance_Log!$C$5:$C$367,$A50,Assistance_Log!$E$5:$E$367,"Mattresses",Assistance_Log!$B$5:$B$367,"&gt;="&amp;Households!F50))</f>
        <v>0</v>
      </c>
      <c r="I50" s="25">
        <f t="shared" si="13"/>
        <v>0</v>
      </c>
      <c r="J50" s="24">
        <f>IF($A50="","",IF(AND(OR(Households!C50="Tent",Households!C50="Makeshift shelter"),Households!D50="Damaged"),Settings!$B$11,0))</f>
        <v>0</v>
      </c>
      <c r="K50" s="24">
        <f>IF($A50="","",SUMIFS(Assistance_Log!$F$5:$F$367,Assistance_Log!$C$5:$C$367,$A50,Assistance_Log!$E$5:$E$367,"Tarpaulins",Assistance_Log!$B$5:$B$367,"&gt;="&amp;Households!F50))</f>
        <v>0</v>
      </c>
      <c r="L50" s="25">
        <f t="shared" si="14"/>
        <v>0</v>
      </c>
      <c r="M50" s="24">
        <f>IF($A50="","",IF(AND(OR(Households!C50="Tent",Households!C50="Makeshift shelter"),Households!D50="Unusable"),Settings!$B$12,0))</f>
        <v>0</v>
      </c>
      <c r="N50" s="24">
        <f>IF($A50="","",SUMIFS(Assistance_Log!$F$5:$F$367,Assistance_Log!$C$5:$C$367,$A50,Assistance_Log!$E$5:$E$367,"Tent replacement",Assistance_Log!$B$5:$B$367,"&gt;="&amp;Households!F50))</f>
        <v>0</v>
      </c>
      <c r="O50" s="25">
        <f t="shared" si="15"/>
        <v>0</v>
      </c>
      <c r="P50" s="24">
        <f>IF($A50="","",IF(Households!D50="Damaged",Settings!$B$13,0))</f>
        <v>0</v>
      </c>
      <c r="Q50" s="24">
        <f>IF($A50="","",SUMIFS(Assistance_Log!$F$5:$F$367,Assistance_Log!$C$5:$C$367,$A50,Assistance_Log!$E$5:$E$367,"Shelter repair kits",Assistance_Log!$B$5:$B$367,"&gt;="&amp;Households!F50))</f>
        <v>0</v>
      </c>
      <c r="R50" s="24">
        <f t="shared" si="16"/>
        <v>0</v>
      </c>
      <c r="S50" s="24">
        <f>IF($A50="","",Households!S50*Settings!$B$14)</f>
        <v>0</v>
      </c>
      <c r="T50" s="24">
        <f>IF($A50="","",SUMIFS(Assistance_Log!$F$5:$F$367,Assistance_Log!$C$5:$C$367,$A50,Assistance_Log!$E$5:$E$367,"Winter clothing – children",Assistance_Log!$B$5:$B$367,"&gt;="&amp;Households!F50))</f>
        <v>0</v>
      </c>
      <c r="U50" s="24">
        <f t="shared" si="17"/>
        <v>0</v>
      </c>
      <c r="V50" s="24">
        <f>IF($A50="","",Households!T50*Settings!$B$14)</f>
        <v>1</v>
      </c>
      <c r="W50" s="24">
        <f>IF($A50="","",SUMIFS(Assistance_Log!$F$5:$F$367,Assistance_Log!$C$5:$C$367,$A50,Assistance_Log!$E$5:$E$367,"Winter clothing – adults",Assistance_Log!$B$5:$B$367,"&gt;="&amp;Households!F50))</f>
        <v>0</v>
      </c>
      <c r="X50" s="24">
        <f t="shared" si="18"/>
        <v>1</v>
      </c>
      <c r="Y50" s="24">
        <f>IF($A50="","",Households!J50*Settings!$B$15)</f>
        <v>8</v>
      </c>
      <c r="Z50" s="24">
        <f>IF($A50="","",SUMIFS(Assistance_Log!$F$5:$F$367,Assistance_Log!$C$5:$C$367,$A50,Assistance_Log!$E$5:$E$367,"Diapers",Assistance_Log!$B$5:$B$367,"&gt;="&amp;Households!F50))</f>
        <v>0</v>
      </c>
      <c r="AA50" s="24">
        <f t="shared" si="19"/>
        <v>8</v>
      </c>
      <c r="AB50" s="24">
        <f>IF($A50="","",Settings!$B$16)</f>
        <v>1</v>
      </c>
      <c r="AC50" s="24">
        <f>IF($A50="","",SUMIFS(Assistance_Log!$F$5:$F$367,Assistance_Log!$C$5:$C$367,$A50,Assistance_Log!$E$5:$E$367,"Family hygiene kits",Assistance_Log!$B$5:$B$367,"&gt;="&amp;Households!F50))</f>
        <v>1</v>
      </c>
      <c r="AD50" s="24">
        <f t="shared" si="20"/>
        <v>0</v>
      </c>
      <c r="AE50" s="24">
        <f>IF($A50="","",Households!N50*Settings!$B$17)</f>
        <v>2</v>
      </c>
      <c r="AF50" s="24">
        <f>IF($A50="","",SUMIFS(Assistance_Log!$F$5:$F$367,Assistance_Log!$C$5:$C$367,$A50,Assistance_Log!$E$5:$E$367,"Menstrual hygiene kits",Assistance_Log!$B$5:$B$367,"&gt;="&amp;Households!F50))</f>
        <v>2</v>
      </c>
      <c r="AG50" s="24">
        <f t="shared" si="21"/>
        <v>0</v>
      </c>
      <c r="AH50" s="25" t="str">
        <f t="shared" si="22"/>
        <v>Yes</v>
      </c>
      <c r="AI50" s="24">
        <f t="shared" si="23"/>
        <v>3</v>
      </c>
    </row>
    <row r="51" spans="1:35" x14ac:dyDescent="0.3">
      <c r="A51" s="24" t="str">
        <f>IF(Households!A51="","",Households!A51)</f>
        <v>HH-047</v>
      </c>
      <c r="B51" s="24" t="str">
        <f>IF($A51="","",Households!B51)</f>
        <v>Site B – School Shelter</v>
      </c>
      <c r="C51" s="24" t="str">
        <f>IF($A51="","",Households!X51)</f>
        <v>Medium</v>
      </c>
      <c r="D51" s="24">
        <f>IF($A51="","",MAX(0,Households!H51*Settings!$B$9-Households!Q51))</f>
        <v>6</v>
      </c>
      <c r="E51" s="24">
        <f>IF($A51="","",SUMIFS(Assistance_Log!$F$5:$F$367,Assistance_Log!$C$5:$C$367,$A51,Assistance_Log!$E$5:$E$367,"Blankets",Assistance_Log!$B$5:$B$367,"&gt;="&amp;Households!F51))</f>
        <v>6</v>
      </c>
      <c r="F51" s="25">
        <f t="shared" si="12"/>
        <v>0</v>
      </c>
      <c r="G51" s="24">
        <f>IF($A51="","",MAX(0,Households!H51*Settings!$B$10-Households!R51))</f>
        <v>10</v>
      </c>
      <c r="H51" s="24">
        <f>IF($A51="","",SUMIFS(Assistance_Log!$F$5:$F$367,Assistance_Log!$C$5:$C$367,$A51,Assistance_Log!$E$5:$E$367,"Mattresses",Assistance_Log!$B$5:$B$367,"&gt;="&amp;Households!F51))</f>
        <v>10</v>
      </c>
      <c r="I51" s="25">
        <f t="shared" si="13"/>
        <v>0</v>
      </c>
      <c r="J51" s="24">
        <f>IF($A51="","",IF(AND(OR(Households!C51="Tent",Households!C51="Makeshift shelter"),Households!D51="Damaged"),Settings!$B$11,0))</f>
        <v>0</v>
      </c>
      <c r="K51" s="24">
        <f>IF($A51="","",SUMIFS(Assistance_Log!$F$5:$F$367,Assistance_Log!$C$5:$C$367,$A51,Assistance_Log!$E$5:$E$367,"Tarpaulins",Assistance_Log!$B$5:$B$367,"&gt;="&amp;Households!F51))</f>
        <v>0</v>
      </c>
      <c r="L51" s="25">
        <f t="shared" si="14"/>
        <v>0</v>
      </c>
      <c r="M51" s="24">
        <f>IF($A51="","",IF(AND(OR(Households!C51="Tent",Households!C51="Makeshift shelter"),Households!D51="Unusable"),Settings!$B$12,0))</f>
        <v>0</v>
      </c>
      <c r="N51" s="24">
        <f>IF($A51="","",SUMIFS(Assistance_Log!$F$5:$F$367,Assistance_Log!$C$5:$C$367,$A51,Assistance_Log!$E$5:$E$367,"Tent replacement",Assistance_Log!$B$5:$B$367,"&gt;="&amp;Households!F51))</f>
        <v>0</v>
      </c>
      <c r="O51" s="25">
        <f t="shared" si="15"/>
        <v>0</v>
      </c>
      <c r="P51" s="24">
        <f>IF($A51="","",IF(Households!D51="Damaged",Settings!$B$13,0))</f>
        <v>0</v>
      </c>
      <c r="Q51" s="24">
        <f>IF($A51="","",SUMIFS(Assistance_Log!$F$5:$F$367,Assistance_Log!$C$5:$C$367,$A51,Assistance_Log!$E$5:$E$367,"Shelter repair kits",Assistance_Log!$B$5:$B$367,"&gt;="&amp;Households!F51))</f>
        <v>0</v>
      </c>
      <c r="R51" s="24">
        <f t="shared" si="16"/>
        <v>0</v>
      </c>
      <c r="S51" s="24">
        <f>IF($A51="","",Households!S51*Settings!$B$14)</f>
        <v>8</v>
      </c>
      <c r="T51" s="24">
        <f>IF($A51="","",SUMIFS(Assistance_Log!$F$5:$F$367,Assistance_Log!$C$5:$C$367,$A51,Assistance_Log!$E$5:$E$367,"Winter clothing – children",Assistance_Log!$B$5:$B$367,"&gt;="&amp;Households!F51))</f>
        <v>0</v>
      </c>
      <c r="U51" s="24">
        <f t="shared" si="17"/>
        <v>8</v>
      </c>
      <c r="V51" s="24">
        <f>IF($A51="","",Households!T51*Settings!$B$14)</f>
        <v>2</v>
      </c>
      <c r="W51" s="24">
        <f>IF($A51="","",SUMIFS(Assistance_Log!$F$5:$F$367,Assistance_Log!$C$5:$C$367,$A51,Assistance_Log!$E$5:$E$367,"Winter clothing – adults",Assistance_Log!$B$5:$B$367,"&gt;="&amp;Households!F51))</f>
        <v>0</v>
      </c>
      <c r="X51" s="24">
        <f t="shared" si="18"/>
        <v>2</v>
      </c>
      <c r="Y51" s="24">
        <f>IF($A51="","",Households!J51*Settings!$B$15)</f>
        <v>8</v>
      </c>
      <c r="Z51" s="24">
        <f>IF($A51="","",SUMIFS(Assistance_Log!$F$5:$F$367,Assistance_Log!$C$5:$C$367,$A51,Assistance_Log!$E$5:$E$367,"Diapers",Assistance_Log!$B$5:$B$367,"&gt;="&amp;Households!F51))</f>
        <v>6</v>
      </c>
      <c r="AA51" s="24">
        <f t="shared" si="19"/>
        <v>2</v>
      </c>
      <c r="AB51" s="24">
        <f>IF($A51="","",Settings!$B$16)</f>
        <v>1</v>
      </c>
      <c r="AC51" s="24">
        <f>IF($A51="","",SUMIFS(Assistance_Log!$F$5:$F$367,Assistance_Log!$C$5:$C$367,$A51,Assistance_Log!$E$5:$E$367,"Family hygiene kits",Assistance_Log!$B$5:$B$367,"&gt;="&amp;Households!F51))</f>
        <v>0</v>
      </c>
      <c r="AD51" s="24">
        <f t="shared" si="20"/>
        <v>1</v>
      </c>
      <c r="AE51" s="24">
        <f>IF($A51="","",Households!N51*Settings!$B$17)</f>
        <v>1</v>
      </c>
      <c r="AF51" s="24">
        <f>IF($A51="","",SUMIFS(Assistance_Log!$F$5:$F$367,Assistance_Log!$C$5:$C$367,$A51,Assistance_Log!$E$5:$E$367,"Menstrual hygiene kits",Assistance_Log!$B$5:$B$367,"&gt;="&amp;Households!F51))</f>
        <v>0</v>
      </c>
      <c r="AG51" s="24">
        <f t="shared" si="21"/>
        <v>1</v>
      </c>
      <c r="AH51" s="25" t="str">
        <f t="shared" si="22"/>
        <v>Yes</v>
      </c>
      <c r="AI51" s="24">
        <f t="shared" si="23"/>
        <v>5</v>
      </c>
    </row>
    <row r="52" spans="1:35" x14ac:dyDescent="0.3">
      <c r="A52" s="24" t="str">
        <f>IF(Households!A52="","",Households!A52)</f>
        <v>HH-048</v>
      </c>
      <c r="B52" s="24" t="str">
        <f>IF($A52="","",Households!B52)</f>
        <v>Site B – School Shelter</v>
      </c>
      <c r="C52" s="24" t="str">
        <f>IF($A52="","",Households!X52)</f>
        <v>Medium</v>
      </c>
      <c r="D52" s="24">
        <f>IF($A52="","",MAX(0,Households!H52*Settings!$B$9-Households!Q52))</f>
        <v>0</v>
      </c>
      <c r="E52" s="24">
        <f>IF($A52="","",SUMIFS(Assistance_Log!$F$5:$F$367,Assistance_Log!$C$5:$C$367,$A52,Assistance_Log!$E$5:$E$367,"Blankets",Assistance_Log!$B$5:$B$367,"&gt;="&amp;Households!F52))</f>
        <v>0</v>
      </c>
      <c r="F52" s="25">
        <f t="shared" si="12"/>
        <v>0</v>
      </c>
      <c r="G52" s="24">
        <f>IF($A52="","",MAX(0,Households!H52*Settings!$B$10-Households!R52))</f>
        <v>0</v>
      </c>
      <c r="H52" s="24">
        <f>IF($A52="","",SUMIFS(Assistance_Log!$F$5:$F$367,Assistance_Log!$C$5:$C$367,$A52,Assistance_Log!$E$5:$E$367,"Mattresses",Assistance_Log!$B$5:$B$367,"&gt;="&amp;Households!F52))</f>
        <v>0</v>
      </c>
      <c r="I52" s="25">
        <f t="shared" si="13"/>
        <v>0</v>
      </c>
      <c r="J52" s="24">
        <f>IF($A52="","",IF(AND(OR(Households!C52="Tent",Households!C52="Makeshift shelter"),Households!D52="Damaged"),Settings!$B$11,0))</f>
        <v>0</v>
      </c>
      <c r="K52" s="24">
        <f>IF($A52="","",SUMIFS(Assistance_Log!$F$5:$F$367,Assistance_Log!$C$5:$C$367,$A52,Assistance_Log!$E$5:$E$367,"Tarpaulins",Assistance_Log!$B$5:$B$367,"&gt;="&amp;Households!F52))</f>
        <v>0</v>
      </c>
      <c r="L52" s="25">
        <f t="shared" si="14"/>
        <v>0</v>
      </c>
      <c r="M52" s="24">
        <f>IF($A52="","",IF(AND(OR(Households!C52="Tent",Households!C52="Makeshift shelter"),Households!D52="Unusable"),Settings!$B$12,0))</f>
        <v>0</v>
      </c>
      <c r="N52" s="24">
        <f>IF($A52="","",SUMIFS(Assistance_Log!$F$5:$F$367,Assistance_Log!$C$5:$C$367,$A52,Assistance_Log!$E$5:$E$367,"Tent replacement",Assistance_Log!$B$5:$B$367,"&gt;="&amp;Households!F52))</f>
        <v>0</v>
      </c>
      <c r="O52" s="25">
        <f t="shared" si="15"/>
        <v>0</v>
      </c>
      <c r="P52" s="24">
        <f>IF($A52="","",IF(Households!D52="Damaged",Settings!$B$13,0))</f>
        <v>0</v>
      </c>
      <c r="Q52" s="24">
        <f>IF($A52="","",SUMIFS(Assistance_Log!$F$5:$F$367,Assistance_Log!$C$5:$C$367,$A52,Assistance_Log!$E$5:$E$367,"Shelter repair kits",Assistance_Log!$B$5:$B$367,"&gt;="&amp;Households!F52))</f>
        <v>0</v>
      </c>
      <c r="R52" s="24">
        <f t="shared" si="16"/>
        <v>0</v>
      </c>
      <c r="S52" s="24">
        <f>IF($A52="","",Households!S52*Settings!$B$14)</f>
        <v>1</v>
      </c>
      <c r="T52" s="24">
        <f>IF($A52="","",SUMIFS(Assistance_Log!$F$5:$F$367,Assistance_Log!$C$5:$C$367,$A52,Assistance_Log!$E$5:$E$367,"Winter clothing – children",Assistance_Log!$B$5:$B$367,"&gt;="&amp;Households!F52))</f>
        <v>0</v>
      </c>
      <c r="U52" s="24">
        <f t="shared" si="17"/>
        <v>1</v>
      </c>
      <c r="V52" s="24">
        <f>IF($A52="","",Households!T52*Settings!$B$14)</f>
        <v>0</v>
      </c>
      <c r="W52" s="24">
        <f>IF($A52="","",SUMIFS(Assistance_Log!$F$5:$F$367,Assistance_Log!$C$5:$C$367,$A52,Assistance_Log!$E$5:$E$367,"Winter clothing – adults",Assistance_Log!$B$5:$B$367,"&gt;="&amp;Households!F52))</f>
        <v>0</v>
      </c>
      <c r="X52" s="24">
        <f t="shared" si="18"/>
        <v>0</v>
      </c>
      <c r="Y52" s="24">
        <f>IF($A52="","",Households!J52*Settings!$B$15)</f>
        <v>4</v>
      </c>
      <c r="Z52" s="24">
        <f>IF($A52="","",SUMIFS(Assistance_Log!$F$5:$F$367,Assistance_Log!$C$5:$C$367,$A52,Assistance_Log!$E$5:$E$367,"Diapers",Assistance_Log!$B$5:$B$367,"&gt;="&amp;Households!F52))</f>
        <v>2</v>
      </c>
      <c r="AA52" s="24">
        <f t="shared" si="19"/>
        <v>2</v>
      </c>
      <c r="AB52" s="24">
        <f>IF($A52="","",Settings!$B$16)</f>
        <v>1</v>
      </c>
      <c r="AC52" s="24">
        <f>IF($A52="","",SUMIFS(Assistance_Log!$F$5:$F$367,Assistance_Log!$C$5:$C$367,$A52,Assistance_Log!$E$5:$E$367,"Family hygiene kits",Assistance_Log!$B$5:$B$367,"&gt;="&amp;Households!F52))</f>
        <v>1</v>
      </c>
      <c r="AD52" s="24">
        <f t="shared" si="20"/>
        <v>0</v>
      </c>
      <c r="AE52" s="24">
        <f>IF($A52="","",Households!N52*Settings!$B$17)</f>
        <v>1</v>
      </c>
      <c r="AF52" s="24">
        <f>IF($A52="","",SUMIFS(Assistance_Log!$F$5:$F$367,Assistance_Log!$C$5:$C$367,$A52,Assistance_Log!$E$5:$E$367,"Menstrual hygiene kits",Assistance_Log!$B$5:$B$367,"&gt;="&amp;Households!F52))</f>
        <v>0</v>
      </c>
      <c r="AG52" s="24">
        <f t="shared" si="21"/>
        <v>1</v>
      </c>
      <c r="AH52" s="25" t="str">
        <f t="shared" si="22"/>
        <v>Yes</v>
      </c>
      <c r="AI52" s="24">
        <f t="shared" si="23"/>
        <v>3</v>
      </c>
    </row>
    <row r="53" spans="1:35" x14ac:dyDescent="0.3">
      <c r="A53" s="24" t="str">
        <f>IF(Households!A53="","",Households!A53)</f>
        <v>HH-049</v>
      </c>
      <c r="B53" s="24" t="str">
        <f>IF($A53="","",Households!B53)</f>
        <v>Site B – School Shelter</v>
      </c>
      <c r="C53" s="24" t="str">
        <f>IF($A53="","",Households!X53)</f>
        <v>Medium</v>
      </c>
      <c r="D53" s="24">
        <f>IF($A53="","",MAX(0,Households!H53*Settings!$B$9-Households!Q53))</f>
        <v>1</v>
      </c>
      <c r="E53" s="24">
        <f>IF($A53="","",SUMIFS(Assistance_Log!$F$5:$F$367,Assistance_Log!$C$5:$C$367,$A53,Assistance_Log!$E$5:$E$367,"Blankets",Assistance_Log!$B$5:$B$367,"&gt;="&amp;Households!F53))</f>
        <v>1</v>
      </c>
      <c r="F53" s="25">
        <f t="shared" si="12"/>
        <v>0</v>
      </c>
      <c r="G53" s="24">
        <f>IF($A53="","",MAX(0,Households!H53*Settings!$B$10-Households!R53))</f>
        <v>0</v>
      </c>
      <c r="H53" s="24">
        <f>IF($A53="","",SUMIFS(Assistance_Log!$F$5:$F$367,Assistance_Log!$C$5:$C$367,$A53,Assistance_Log!$E$5:$E$367,"Mattresses",Assistance_Log!$B$5:$B$367,"&gt;="&amp;Households!F53))</f>
        <v>0</v>
      </c>
      <c r="I53" s="25">
        <f t="shared" si="13"/>
        <v>0</v>
      </c>
      <c r="J53" s="24">
        <f>IF($A53="","",IF(AND(OR(Households!C53="Tent",Households!C53="Makeshift shelter"),Households!D53="Damaged"),Settings!$B$11,0))</f>
        <v>0</v>
      </c>
      <c r="K53" s="24">
        <f>IF($A53="","",SUMIFS(Assistance_Log!$F$5:$F$367,Assistance_Log!$C$5:$C$367,$A53,Assistance_Log!$E$5:$E$367,"Tarpaulins",Assistance_Log!$B$5:$B$367,"&gt;="&amp;Households!F53))</f>
        <v>0</v>
      </c>
      <c r="L53" s="25">
        <f t="shared" si="14"/>
        <v>0</v>
      </c>
      <c r="M53" s="24">
        <f>IF($A53="","",IF(AND(OR(Households!C53="Tent",Households!C53="Makeshift shelter"),Households!D53="Unusable"),Settings!$B$12,0))</f>
        <v>0</v>
      </c>
      <c r="N53" s="24">
        <f>IF($A53="","",SUMIFS(Assistance_Log!$F$5:$F$367,Assistance_Log!$C$5:$C$367,$A53,Assistance_Log!$E$5:$E$367,"Tent replacement",Assistance_Log!$B$5:$B$367,"&gt;="&amp;Households!F53))</f>
        <v>0</v>
      </c>
      <c r="O53" s="25">
        <f t="shared" si="15"/>
        <v>0</v>
      </c>
      <c r="P53" s="24">
        <f>IF($A53="","",IF(Households!D53="Damaged",Settings!$B$13,0))</f>
        <v>0</v>
      </c>
      <c r="Q53" s="24">
        <f>IF($A53="","",SUMIFS(Assistance_Log!$F$5:$F$367,Assistance_Log!$C$5:$C$367,$A53,Assistance_Log!$E$5:$E$367,"Shelter repair kits",Assistance_Log!$B$5:$B$367,"&gt;="&amp;Households!F53))</f>
        <v>0</v>
      </c>
      <c r="R53" s="24">
        <f t="shared" si="16"/>
        <v>0</v>
      </c>
      <c r="S53" s="24">
        <f>IF($A53="","",Households!S53*Settings!$B$14)</f>
        <v>0</v>
      </c>
      <c r="T53" s="24">
        <f>IF($A53="","",SUMIFS(Assistance_Log!$F$5:$F$367,Assistance_Log!$C$5:$C$367,$A53,Assistance_Log!$E$5:$E$367,"Winter clothing – children",Assistance_Log!$B$5:$B$367,"&gt;="&amp;Households!F53))</f>
        <v>0</v>
      </c>
      <c r="U53" s="24">
        <f t="shared" si="17"/>
        <v>0</v>
      </c>
      <c r="V53" s="24">
        <f>IF($A53="","",Households!T53*Settings!$B$14)</f>
        <v>0</v>
      </c>
      <c r="W53" s="24">
        <f>IF($A53="","",SUMIFS(Assistance_Log!$F$5:$F$367,Assistance_Log!$C$5:$C$367,$A53,Assistance_Log!$E$5:$E$367,"Winter clothing – adults",Assistance_Log!$B$5:$B$367,"&gt;="&amp;Households!F53))</f>
        <v>0</v>
      </c>
      <c r="X53" s="24">
        <f t="shared" si="18"/>
        <v>0</v>
      </c>
      <c r="Y53" s="24">
        <f>IF($A53="","",Households!J53*Settings!$B$15)</f>
        <v>4</v>
      </c>
      <c r="Z53" s="24">
        <f>IF($A53="","",SUMIFS(Assistance_Log!$F$5:$F$367,Assistance_Log!$C$5:$C$367,$A53,Assistance_Log!$E$5:$E$367,"Diapers",Assistance_Log!$B$5:$B$367,"&gt;="&amp;Households!F53))</f>
        <v>0</v>
      </c>
      <c r="AA53" s="24">
        <f t="shared" si="19"/>
        <v>4</v>
      </c>
      <c r="AB53" s="24">
        <f>IF($A53="","",Settings!$B$16)</f>
        <v>1</v>
      </c>
      <c r="AC53" s="24">
        <f>IF($A53="","",SUMIFS(Assistance_Log!$F$5:$F$367,Assistance_Log!$C$5:$C$367,$A53,Assistance_Log!$E$5:$E$367,"Family hygiene kits",Assistance_Log!$B$5:$B$367,"&gt;="&amp;Households!F53))</f>
        <v>0</v>
      </c>
      <c r="AD53" s="24">
        <f t="shared" si="20"/>
        <v>1</v>
      </c>
      <c r="AE53" s="24">
        <f>IF($A53="","",Households!N53*Settings!$B$17)</f>
        <v>1</v>
      </c>
      <c r="AF53" s="24">
        <f>IF($A53="","",SUMIFS(Assistance_Log!$F$5:$F$367,Assistance_Log!$C$5:$C$367,$A53,Assistance_Log!$E$5:$E$367,"Menstrual hygiene kits",Assistance_Log!$B$5:$B$367,"&gt;="&amp;Households!F53))</f>
        <v>0</v>
      </c>
      <c r="AG53" s="24">
        <f t="shared" si="21"/>
        <v>1</v>
      </c>
      <c r="AH53" s="25" t="str">
        <f t="shared" si="22"/>
        <v>Yes</v>
      </c>
      <c r="AI53" s="24">
        <f t="shared" si="23"/>
        <v>3</v>
      </c>
    </row>
    <row r="54" spans="1:35" x14ac:dyDescent="0.3">
      <c r="A54" s="24" t="str">
        <f>IF(Households!A54="","",Households!A54)</f>
        <v>HH-050</v>
      </c>
      <c r="B54" s="24" t="str">
        <f>IF($A54="","",Households!B54)</f>
        <v>Site B – School Shelter</v>
      </c>
      <c r="C54" s="24" t="str">
        <f>IF($A54="","",Households!X54)</f>
        <v>Medium</v>
      </c>
      <c r="D54" s="24">
        <f>IF($A54="","",MAX(0,Households!H54*Settings!$B$9-Households!Q54))</f>
        <v>7</v>
      </c>
      <c r="E54" s="24">
        <f>IF($A54="","",SUMIFS(Assistance_Log!$F$5:$F$367,Assistance_Log!$C$5:$C$367,$A54,Assistance_Log!$E$5:$E$367,"Blankets",Assistance_Log!$B$5:$B$367,"&gt;="&amp;Households!F54))</f>
        <v>0</v>
      </c>
      <c r="F54" s="25">
        <f t="shared" si="12"/>
        <v>7</v>
      </c>
      <c r="G54" s="24">
        <f>IF($A54="","",MAX(0,Households!H54*Settings!$B$10-Households!R54))</f>
        <v>2</v>
      </c>
      <c r="H54" s="24">
        <f>IF($A54="","",SUMIFS(Assistance_Log!$F$5:$F$367,Assistance_Log!$C$5:$C$367,$A54,Assistance_Log!$E$5:$E$367,"Mattresses",Assistance_Log!$B$5:$B$367,"&gt;="&amp;Households!F54))</f>
        <v>0</v>
      </c>
      <c r="I54" s="25">
        <f t="shared" si="13"/>
        <v>2</v>
      </c>
      <c r="J54" s="24">
        <f>IF($A54="","",IF(AND(OR(Households!C54="Tent",Households!C54="Makeshift shelter"),Households!D54="Damaged"),Settings!$B$11,0))</f>
        <v>0</v>
      </c>
      <c r="K54" s="24">
        <f>IF($A54="","",SUMIFS(Assistance_Log!$F$5:$F$367,Assistance_Log!$C$5:$C$367,$A54,Assistance_Log!$E$5:$E$367,"Tarpaulins",Assistance_Log!$B$5:$B$367,"&gt;="&amp;Households!F54))</f>
        <v>0</v>
      </c>
      <c r="L54" s="25">
        <f t="shared" si="14"/>
        <v>0</v>
      </c>
      <c r="M54" s="24">
        <f>IF($A54="","",IF(AND(OR(Households!C54="Tent",Households!C54="Makeshift shelter"),Households!D54="Unusable"),Settings!$B$12,0))</f>
        <v>0</v>
      </c>
      <c r="N54" s="24">
        <f>IF($A54="","",SUMIFS(Assistance_Log!$F$5:$F$367,Assistance_Log!$C$5:$C$367,$A54,Assistance_Log!$E$5:$E$367,"Tent replacement",Assistance_Log!$B$5:$B$367,"&gt;="&amp;Households!F54))</f>
        <v>0</v>
      </c>
      <c r="O54" s="25">
        <f t="shared" si="15"/>
        <v>0</v>
      </c>
      <c r="P54" s="24">
        <f>IF($A54="","",IF(Households!D54="Damaged",Settings!$B$13,0))</f>
        <v>0</v>
      </c>
      <c r="Q54" s="24">
        <f>IF($A54="","",SUMIFS(Assistance_Log!$F$5:$F$367,Assistance_Log!$C$5:$C$367,$A54,Assistance_Log!$E$5:$E$367,"Shelter repair kits",Assistance_Log!$B$5:$B$367,"&gt;="&amp;Households!F54))</f>
        <v>0</v>
      </c>
      <c r="R54" s="24">
        <f t="shared" si="16"/>
        <v>0</v>
      </c>
      <c r="S54" s="24">
        <f>IF($A54="","",Households!S54*Settings!$B$14)</f>
        <v>0</v>
      </c>
      <c r="T54" s="24">
        <f>IF($A54="","",SUMIFS(Assistance_Log!$F$5:$F$367,Assistance_Log!$C$5:$C$367,$A54,Assistance_Log!$E$5:$E$367,"Winter clothing – children",Assistance_Log!$B$5:$B$367,"&gt;="&amp;Households!F54))</f>
        <v>0</v>
      </c>
      <c r="U54" s="24">
        <f t="shared" si="17"/>
        <v>0</v>
      </c>
      <c r="V54" s="24">
        <f>IF($A54="","",Households!T54*Settings!$B$14)</f>
        <v>0</v>
      </c>
      <c r="W54" s="24">
        <f>IF($A54="","",SUMIFS(Assistance_Log!$F$5:$F$367,Assistance_Log!$C$5:$C$367,$A54,Assistance_Log!$E$5:$E$367,"Winter clothing – adults",Assistance_Log!$B$5:$B$367,"&gt;="&amp;Households!F54))</f>
        <v>0</v>
      </c>
      <c r="X54" s="24">
        <f t="shared" si="18"/>
        <v>0</v>
      </c>
      <c r="Y54" s="24">
        <f>IF($A54="","",Households!J54*Settings!$B$15)</f>
        <v>4</v>
      </c>
      <c r="Z54" s="24">
        <f>IF($A54="","",SUMIFS(Assistance_Log!$F$5:$F$367,Assistance_Log!$C$5:$C$367,$A54,Assistance_Log!$E$5:$E$367,"Diapers",Assistance_Log!$B$5:$B$367,"&gt;="&amp;Households!F54))</f>
        <v>0</v>
      </c>
      <c r="AA54" s="24">
        <f t="shared" si="19"/>
        <v>4</v>
      </c>
      <c r="AB54" s="24">
        <f>IF($A54="","",Settings!$B$16)</f>
        <v>1</v>
      </c>
      <c r="AC54" s="24">
        <f>IF($A54="","",SUMIFS(Assistance_Log!$F$5:$F$367,Assistance_Log!$C$5:$C$367,$A54,Assistance_Log!$E$5:$E$367,"Family hygiene kits",Assistance_Log!$B$5:$B$367,"&gt;="&amp;Households!F54))</f>
        <v>0</v>
      </c>
      <c r="AD54" s="24">
        <f t="shared" si="20"/>
        <v>1</v>
      </c>
      <c r="AE54" s="24">
        <f>IF($A54="","",Households!N54*Settings!$B$17)</f>
        <v>1</v>
      </c>
      <c r="AF54" s="24">
        <f>IF($A54="","",SUMIFS(Assistance_Log!$F$5:$F$367,Assistance_Log!$C$5:$C$367,$A54,Assistance_Log!$E$5:$E$367,"Menstrual hygiene kits",Assistance_Log!$B$5:$B$367,"&gt;="&amp;Households!F54))</f>
        <v>1</v>
      </c>
      <c r="AG54" s="24">
        <f t="shared" si="21"/>
        <v>0</v>
      </c>
      <c r="AH54" s="25" t="str">
        <f t="shared" si="22"/>
        <v>Yes</v>
      </c>
      <c r="AI54" s="24">
        <f t="shared" si="23"/>
        <v>4</v>
      </c>
    </row>
    <row r="55" spans="1:35" x14ac:dyDescent="0.3">
      <c r="A55" s="24" t="str">
        <f>IF(Households!A55="","",Households!A55)</f>
        <v>HH-051</v>
      </c>
      <c r="B55" s="24" t="str">
        <f>IF($A55="","",Households!B55)</f>
        <v>Site B – School Shelter</v>
      </c>
      <c r="C55" s="24" t="str">
        <f>IF($A55="","",Households!X55)</f>
        <v>Low</v>
      </c>
      <c r="D55" s="24">
        <f>IF($A55="","",MAX(0,Households!H55*Settings!$B$9-Households!Q55))</f>
        <v>22</v>
      </c>
      <c r="E55" s="24">
        <f>IF($A55="","",SUMIFS(Assistance_Log!$F$5:$F$367,Assistance_Log!$C$5:$C$367,$A55,Assistance_Log!$E$5:$E$367,"Blankets",Assistance_Log!$B$5:$B$367,"&gt;="&amp;Households!F55))</f>
        <v>0</v>
      </c>
      <c r="F55" s="25">
        <f t="shared" si="12"/>
        <v>22</v>
      </c>
      <c r="G55" s="24">
        <f>IF($A55="","",MAX(0,Households!H55*Settings!$B$10-Households!R55))</f>
        <v>3</v>
      </c>
      <c r="H55" s="24">
        <f>IF($A55="","",SUMIFS(Assistance_Log!$F$5:$F$367,Assistance_Log!$C$5:$C$367,$A55,Assistance_Log!$E$5:$E$367,"Mattresses",Assistance_Log!$B$5:$B$367,"&gt;="&amp;Households!F55))</f>
        <v>2</v>
      </c>
      <c r="I55" s="25">
        <f t="shared" si="13"/>
        <v>1</v>
      </c>
      <c r="J55" s="24">
        <f>IF($A55="","",IF(AND(OR(Households!C55="Tent",Households!C55="Makeshift shelter"),Households!D55="Damaged"),Settings!$B$11,0))</f>
        <v>0</v>
      </c>
      <c r="K55" s="24">
        <f>IF($A55="","",SUMIFS(Assistance_Log!$F$5:$F$367,Assistance_Log!$C$5:$C$367,$A55,Assistance_Log!$E$5:$E$367,"Tarpaulins",Assistance_Log!$B$5:$B$367,"&gt;="&amp;Households!F55))</f>
        <v>0</v>
      </c>
      <c r="L55" s="25">
        <f t="shared" si="14"/>
        <v>0</v>
      </c>
      <c r="M55" s="24">
        <f>IF($A55="","",IF(AND(OR(Households!C55="Tent",Households!C55="Makeshift shelter"),Households!D55="Unusable"),Settings!$B$12,0))</f>
        <v>0</v>
      </c>
      <c r="N55" s="24">
        <f>IF($A55="","",SUMIFS(Assistance_Log!$F$5:$F$367,Assistance_Log!$C$5:$C$367,$A55,Assistance_Log!$E$5:$E$367,"Tent replacement",Assistance_Log!$B$5:$B$367,"&gt;="&amp;Households!F55))</f>
        <v>0</v>
      </c>
      <c r="O55" s="25">
        <f t="shared" si="15"/>
        <v>0</v>
      </c>
      <c r="P55" s="24">
        <f>IF($A55="","",IF(Households!D55="Damaged",Settings!$B$13,0))</f>
        <v>1</v>
      </c>
      <c r="Q55" s="24">
        <f>IF($A55="","",SUMIFS(Assistance_Log!$F$5:$F$367,Assistance_Log!$C$5:$C$367,$A55,Assistance_Log!$E$5:$E$367,"Shelter repair kits",Assistance_Log!$B$5:$B$367,"&gt;="&amp;Households!F55))</f>
        <v>1</v>
      </c>
      <c r="R55" s="24">
        <f t="shared" si="16"/>
        <v>0</v>
      </c>
      <c r="S55" s="24">
        <f>IF($A55="","",Households!S55*Settings!$B$14)</f>
        <v>9</v>
      </c>
      <c r="T55" s="24">
        <f>IF($A55="","",SUMIFS(Assistance_Log!$F$5:$F$367,Assistance_Log!$C$5:$C$367,$A55,Assistance_Log!$E$5:$E$367,"Winter clothing – children",Assistance_Log!$B$5:$B$367,"&gt;="&amp;Households!F55))</f>
        <v>0</v>
      </c>
      <c r="U55" s="24">
        <f t="shared" si="17"/>
        <v>9</v>
      </c>
      <c r="V55" s="24">
        <f>IF($A55="","",Households!T55*Settings!$B$14)</f>
        <v>2</v>
      </c>
      <c r="W55" s="24">
        <f>IF($A55="","",SUMIFS(Assistance_Log!$F$5:$F$367,Assistance_Log!$C$5:$C$367,$A55,Assistance_Log!$E$5:$E$367,"Winter clothing – adults",Assistance_Log!$B$5:$B$367,"&gt;="&amp;Households!F55))</f>
        <v>0</v>
      </c>
      <c r="X55" s="24">
        <f t="shared" si="18"/>
        <v>2</v>
      </c>
      <c r="Y55" s="24">
        <f>IF($A55="","",Households!J55*Settings!$B$15)</f>
        <v>0</v>
      </c>
      <c r="Z55" s="24">
        <f>IF($A55="","",SUMIFS(Assistance_Log!$F$5:$F$367,Assistance_Log!$C$5:$C$367,$A55,Assistance_Log!$E$5:$E$367,"Diapers",Assistance_Log!$B$5:$B$367,"&gt;="&amp;Households!F55))</f>
        <v>0</v>
      </c>
      <c r="AA55" s="24">
        <f t="shared" si="19"/>
        <v>0</v>
      </c>
      <c r="AB55" s="24">
        <f>IF($A55="","",Settings!$B$16)</f>
        <v>1</v>
      </c>
      <c r="AC55" s="24">
        <f>IF($A55="","",SUMIFS(Assistance_Log!$F$5:$F$367,Assistance_Log!$C$5:$C$367,$A55,Assistance_Log!$E$5:$E$367,"Family hygiene kits",Assistance_Log!$B$5:$B$367,"&gt;="&amp;Households!F55))</f>
        <v>0</v>
      </c>
      <c r="AD55" s="24">
        <f t="shared" si="20"/>
        <v>1</v>
      </c>
      <c r="AE55" s="24">
        <f>IF($A55="","",Households!N55*Settings!$B$17)</f>
        <v>1</v>
      </c>
      <c r="AF55" s="24">
        <f>IF($A55="","",SUMIFS(Assistance_Log!$F$5:$F$367,Assistance_Log!$C$5:$C$367,$A55,Assistance_Log!$E$5:$E$367,"Menstrual hygiene kits",Assistance_Log!$B$5:$B$367,"&gt;="&amp;Households!F55))</f>
        <v>0</v>
      </c>
      <c r="AG55" s="24">
        <f t="shared" si="21"/>
        <v>1</v>
      </c>
      <c r="AH55" s="25" t="str">
        <f t="shared" si="22"/>
        <v>Yes</v>
      </c>
      <c r="AI55" s="24">
        <f t="shared" si="23"/>
        <v>6</v>
      </c>
    </row>
    <row r="56" spans="1:35" x14ac:dyDescent="0.3">
      <c r="A56" s="24" t="str">
        <f>IF(Households!A56="","",Households!A56)</f>
        <v>HH-052</v>
      </c>
      <c r="B56" s="24" t="str">
        <f>IF($A56="","",Households!B56)</f>
        <v>Site B – School Shelter</v>
      </c>
      <c r="C56" s="24" t="str">
        <f>IF($A56="","",Households!X56)</f>
        <v>Low</v>
      </c>
      <c r="D56" s="24">
        <f>IF($A56="","",MAX(0,Households!H56*Settings!$B$9-Households!Q56))</f>
        <v>10</v>
      </c>
      <c r="E56" s="24">
        <f>IF($A56="","",SUMIFS(Assistance_Log!$F$5:$F$367,Assistance_Log!$C$5:$C$367,$A56,Assistance_Log!$E$5:$E$367,"Blankets",Assistance_Log!$B$5:$B$367,"&gt;="&amp;Households!F56))</f>
        <v>0</v>
      </c>
      <c r="F56" s="25">
        <f t="shared" si="12"/>
        <v>10</v>
      </c>
      <c r="G56" s="24">
        <f>IF($A56="","",MAX(0,Households!H56*Settings!$B$10-Households!R56))</f>
        <v>7</v>
      </c>
      <c r="H56" s="24">
        <f>IF($A56="","",SUMIFS(Assistance_Log!$F$5:$F$367,Assistance_Log!$C$5:$C$367,$A56,Assistance_Log!$E$5:$E$367,"Mattresses",Assistance_Log!$B$5:$B$367,"&gt;="&amp;Households!F56))</f>
        <v>5</v>
      </c>
      <c r="I56" s="25">
        <f t="shared" si="13"/>
        <v>2</v>
      </c>
      <c r="J56" s="24">
        <f>IF($A56="","",IF(AND(OR(Households!C56="Tent",Households!C56="Makeshift shelter"),Households!D56="Damaged"),Settings!$B$11,0))</f>
        <v>0</v>
      </c>
      <c r="K56" s="24">
        <f>IF($A56="","",SUMIFS(Assistance_Log!$F$5:$F$367,Assistance_Log!$C$5:$C$367,$A56,Assistance_Log!$E$5:$E$367,"Tarpaulins",Assistance_Log!$B$5:$B$367,"&gt;="&amp;Households!F56))</f>
        <v>0</v>
      </c>
      <c r="L56" s="25">
        <f t="shared" si="14"/>
        <v>0</v>
      </c>
      <c r="M56" s="24">
        <f>IF($A56="","",IF(AND(OR(Households!C56="Tent",Households!C56="Makeshift shelter"),Households!D56="Unusable"),Settings!$B$12,0))</f>
        <v>0</v>
      </c>
      <c r="N56" s="24">
        <f>IF($A56="","",SUMIFS(Assistance_Log!$F$5:$F$367,Assistance_Log!$C$5:$C$367,$A56,Assistance_Log!$E$5:$E$367,"Tent replacement",Assistance_Log!$B$5:$B$367,"&gt;="&amp;Households!F56))</f>
        <v>0</v>
      </c>
      <c r="O56" s="25">
        <f t="shared" si="15"/>
        <v>0</v>
      </c>
      <c r="P56" s="24">
        <f>IF($A56="","",IF(Households!D56="Damaged",Settings!$B$13,0))</f>
        <v>0</v>
      </c>
      <c r="Q56" s="24">
        <f>IF($A56="","",SUMIFS(Assistance_Log!$F$5:$F$367,Assistance_Log!$C$5:$C$367,$A56,Assistance_Log!$E$5:$E$367,"Shelter repair kits",Assistance_Log!$B$5:$B$367,"&gt;="&amp;Households!F56))</f>
        <v>0</v>
      </c>
      <c r="R56" s="24">
        <f t="shared" si="16"/>
        <v>0</v>
      </c>
      <c r="S56" s="24">
        <f>IF($A56="","",Households!S56*Settings!$B$14)</f>
        <v>3</v>
      </c>
      <c r="T56" s="24">
        <f>IF($A56="","",SUMIFS(Assistance_Log!$F$5:$F$367,Assistance_Log!$C$5:$C$367,$A56,Assistance_Log!$E$5:$E$367,"Winter clothing – children",Assistance_Log!$B$5:$B$367,"&gt;="&amp;Households!F56))</f>
        <v>3</v>
      </c>
      <c r="U56" s="24">
        <f t="shared" si="17"/>
        <v>0</v>
      </c>
      <c r="V56" s="24">
        <f>IF($A56="","",Households!T56*Settings!$B$14)</f>
        <v>0</v>
      </c>
      <c r="W56" s="24">
        <f>IF($A56="","",SUMIFS(Assistance_Log!$F$5:$F$367,Assistance_Log!$C$5:$C$367,$A56,Assistance_Log!$E$5:$E$367,"Winter clothing – adults",Assistance_Log!$B$5:$B$367,"&gt;="&amp;Households!F56))</f>
        <v>0</v>
      </c>
      <c r="X56" s="24">
        <f t="shared" si="18"/>
        <v>0</v>
      </c>
      <c r="Y56" s="24">
        <f>IF($A56="","",Households!J56*Settings!$B$15)</f>
        <v>0</v>
      </c>
      <c r="Z56" s="24">
        <f>IF($A56="","",SUMIFS(Assistance_Log!$F$5:$F$367,Assistance_Log!$C$5:$C$367,$A56,Assistance_Log!$E$5:$E$367,"Diapers",Assistance_Log!$B$5:$B$367,"&gt;="&amp;Households!F56))</f>
        <v>0</v>
      </c>
      <c r="AA56" s="24">
        <f t="shared" si="19"/>
        <v>0</v>
      </c>
      <c r="AB56" s="24">
        <f>IF($A56="","",Settings!$B$16)</f>
        <v>1</v>
      </c>
      <c r="AC56" s="24">
        <f>IF($A56="","",SUMIFS(Assistance_Log!$F$5:$F$367,Assistance_Log!$C$5:$C$367,$A56,Assistance_Log!$E$5:$E$367,"Family hygiene kits",Assistance_Log!$B$5:$B$367,"&gt;="&amp;Households!F56))</f>
        <v>1</v>
      </c>
      <c r="AD56" s="24">
        <f t="shared" si="20"/>
        <v>0</v>
      </c>
      <c r="AE56" s="24">
        <f>IF($A56="","",Households!N56*Settings!$B$17)</f>
        <v>2</v>
      </c>
      <c r="AF56" s="24">
        <f>IF($A56="","",SUMIFS(Assistance_Log!$F$5:$F$367,Assistance_Log!$C$5:$C$367,$A56,Assistance_Log!$E$5:$E$367,"Menstrual hygiene kits",Assistance_Log!$B$5:$B$367,"&gt;="&amp;Households!F56))</f>
        <v>0</v>
      </c>
      <c r="AG56" s="24">
        <f t="shared" si="21"/>
        <v>2</v>
      </c>
      <c r="AH56" s="25" t="str">
        <f t="shared" si="22"/>
        <v>Yes</v>
      </c>
      <c r="AI56" s="24">
        <f t="shared" si="23"/>
        <v>3</v>
      </c>
    </row>
    <row r="57" spans="1:35" x14ac:dyDescent="0.3">
      <c r="A57" s="24" t="str">
        <f>IF(Households!A57="","",Households!A57)</f>
        <v>HH-053</v>
      </c>
      <c r="B57" s="24" t="str">
        <f>IF($A57="","",Households!B57)</f>
        <v>Site B – School Shelter</v>
      </c>
      <c r="C57" s="24" t="str">
        <f>IF($A57="","",Households!X57)</f>
        <v>Medium</v>
      </c>
      <c r="D57" s="24">
        <f>IF($A57="","",MAX(0,Households!H57*Settings!$B$9-Households!Q57))</f>
        <v>4</v>
      </c>
      <c r="E57" s="24">
        <f>IF($A57="","",SUMIFS(Assistance_Log!$F$5:$F$367,Assistance_Log!$C$5:$C$367,$A57,Assistance_Log!$E$5:$E$367,"Blankets",Assistance_Log!$B$5:$B$367,"&gt;="&amp;Households!F57))</f>
        <v>0</v>
      </c>
      <c r="F57" s="25">
        <f t="shared" si="12"/>
        <v>4</v>
      </c>
      <c r="G57" s="24">
        <f>IF($A57="","",MAX(0,Households!H57*Settings!$B$10-Households!R57))</f>
        <v>1</v>
      </c>
      <c r="H57" s="24">
        <f>IF($A57="","",SUMIFS(Assistance_Log!$F$5:$F$367,Assistance_Log!$C$5:$C$367,$A57,Assistance_Log!$E$5:$E$367,"Mattresses",Assistance_Log!$B$5:$B$367,"&gt;="&amp;Households!F57))</f>
        <v>0</v>
      </c>
      <c r="I57" s="25">
        <f t="shared" si="13"/>
        <v>1</v>
      </c>
      <c r="J57" s="24">
        <f>IF($A57="","",IF(AND(OR(Households!C57="Tent",Households!C57="Makeshift shelter"),Households!D57="Damaged"),Settings!$B$11,0))</f>
        <v>0</v>
      </c>
      <c r="K57" s="24">
        <f>IF($A57="","",SUMIFS(Assistance_Log!$F$5:$F$367,Assistance_Log!$C$5:$C$367,$A57,Assistance_Log!$E$5:$E$367,"Tarpaulins",Assistance_Log!$B$5:$B$367,"&gt;="&amp;Households!F57))</f>
        <v>0</v>
      </c>
      <c r="L57" s="25">
        <f t="shared" si="14"/>
        <v>0</v>
      </c>
      <c r="M57" s="24">
        <f>IF($A57="","",IF(AND(OR(Households!C57="Tent",Households!C57="Makeshift shelter"),Households!D57="Unusable"),Settings!$B$12,0))</f>
        <v>0</v>
      </c>
      <c r="N57" s="24">
        <f>IF($A57="","",SUMIFS(Assistance_Log!$F$5:$F$367,Assistance_Log!$C$5:$C$367,$A57,Assistance_Log!$E$5:$E$367,"Tent replacement",Assistance_Log!$B$5:$B$367,"&gt;="&amp;Households!F57))</f>
        <v>0</v>
      </c>
      <c r="O57" s="25">
        <f t="shared" si="15"/>
        <v>0</v>
      </c>
      <c r="P57" s="24">
        <f>IF($A57="","",IF(Households!D57="Damaged",Settings!$B$13,0))</f>
        <v>0</v>
      </c>
      <c r="Q57" s="24">
        <f>IF($A57="","",SUMIFS(Assistance_Log!$F$5:$F$367,Assistance_Log!$C$5:$C$367,$A57,Assistance_Log!$E$5:$E$367,"Shelter repair kits",Assistance_Log!$B$5:$B$367,"&gt;="&amp;Households!F57))</f>
        <v>0</v>
      </c>
      <c r="R57" s="24">
        <f t="shared" si="16"/>
        <v>0</v>
      </c>
      <c r="S57" s="24">
        <f>IF($A57="","",Households!S57*Settings!$B$14)</f>
        <v>0</v>
      </c>
      <c r="T57" s="24">
        <f>IF($A57="","",SUMIFS(Assistance_Log!$F$5:$F$367,Assistance_Log!$C$5:$C$367,$A57,Assistance_Log!$E$5:$E$367,"Winter clothing – children",Assistance_Log!$B$5:$B$367,"&gt;="&amp;Households!F57))</f>
        <v>0</v>
      </c>
      <c r="U57" s="24">
        <f t="shared" si="17"/>
        <v>0</v>
      </c>
      <c r="V57" s="24">
        <f>IF($A57="","",Households!T57*Settings!$B$14)</f>
        <v>0</v>
      </c>
      <c r="W57" s="24">
        <f>IF($A57="","",SUMIFS(Assistance_Log!$F$5:$F$367,Assistance_Log!$C$5:$C$367,$A57,Assistance_Log!$E$5:$E$367,"Winter clothing – adults",Assistance_Log!$B$5:$B$367,"&gt;="&amp;Households!F57))</f>
        <v>0</v>
      </c>
      <c r="X57" s="24">
        <f t="shared" si="18"/>
        <v>0</v>
      </c>
      <c r="Y57" s="24">
        <f>IF($A57="","",Households!J57*Settings!$B$15)</f>
        <v>0</v>
      </c>
      <c r="Z57" s="24">
        <f>IF($A57="","",SUMIFS(Assistance_Log!$F$5:$F$367,Assistance_Log!$C$5:$C$367,$A57,Assistance_Log!$E$5:$E$367,"Diapers",Assistance_Log!$B$5:$B$367,"&gt;="&amp;Households!F57))</f>
        <v>0</v>
      </c>
      <c r="AA57" s="24">
        <f t="shared" si="19"/>
        <v>0</v>
      </c>
      <c r="AB57" s="24">
        <f>IF($A57="","",Settings!$B$16)</f>
        <v>1</v>
      </c>
      <c r="AC57" s="24">
        <f>IF($A57="","",SUMIFS(Assistance_Log!$F$5:$F$367,Assistance_Log!$C$5:$C$367,$A57,Assistance_Log!$E$5:$E$367,"Family hygiene kits",Assistance_Log!$B$5:$B$367,"&gt;="&amp;Households!F57))</f>
        <v>1</v>
      </c>
      <c r="AD57" s="24">
        <f t="shared" si="20"/>
        <v>0</v>
      </c>
      <c r="AE57" s="24">
        <f>IF($A57="","",Households!N57*Settings!$B$17)</f>
        <v>1</v>
      </c>
      <c r="AF57" s="24">
        <f>IF($A57="","",SUMIFS(Assistance_Log!$F$5:$F$367,Assistance_Log!$C$5:$C$367,$A57,Assistance_Log!$E$5:$E$367,"Menstrual hygiene kits",Assistance_Log!$B$5:$B$367,"&gt;="&amp;Households!F57))</f>
        <v>0</v>
      </c>
      <c r="AG57" s="24">
        <f t="shared" si="21"/>
        <v>1</v>
      </c>
      <c r="AH57" s="25" t="str">
        <f t="shared" si="22"/>
        <v>Yes</v>
      </c>
      <c r="AI57" s="24">
        <f t="shared" si="23"/>
        <v>3</v>
      </c>
    </row>
    <row r="58" spans="1:35" x14ac:dyDescent="0.3">
      <c r="A58" s="24" t="str">
        <f>IF(Households!A58="","",Households!A58)</f>
        <v>HH-054</v>
      </c>
      <c r="B58" s="24" t="str">
        <f>IF($A58="","",Households!B58)</f>
        <v>Site B – School Shelter</v>
      </c>
      <c r="C58" s="24" t="str">
        <f>IF($A58="","",Households!X58)</f>
        <v>Low</v>
      </c>
      <c r="D58" s="24">
        <f>IF($A58="","",MAX(0,Households!H58*Settings!$B$9-Households!Q58))</f>
        <v>3</v>
      </c>
      <c r="E58" s="24">
        <f>IF($A58="","",SUMIFS(Assistance_Log!$F$5:$F$367,Assistance_Log!$C$5:$C$367,$A58,Assistance_Log!$E$5:$E$367,"Blankets",Assistance_Log!$B$5:$B$367,"&gt;="&amp;Households!F58))</f>
        <v>0</v>
      </c>
      <c r="F58" s="25">
        <f t="shared" si="12"/>
        <v>3</v>
      </c>
      <c r="G58" s="24">
        <f>IF($A58="","",MAX(0,Households!H58*Settings!$B$10-Households!R58))</f>
        <v>1</v>
      </c>
      <c r="H58" s="24">
        <f>IF($A58="","",SUMIFS(Assistance_Log!$F$5:$F$367,Assistance_Log!$C$5:$C$367,$A58,Assistance_Log!$E$5:$E$367,"Mattresses",Assistance_Log!$B$5:$B$367,"&gt;="&amp;Households!F58))</f>
        <v>0</v>
      </c>
      <c r="I58" s="25">
        <f t="shared" si="13"/>
        <v>1</v>
      </c>
      <c r="J58" s="24">
        <f>IF($A58="","",IF(AND(OR(Households!C58="Tent",Households!C58="Makeshift shelter"),Households!D58="Damaged"),Settings!$B$11,0))</f>
        <v>0</v>
      </c>
      <c r="K58" s="24">
        <f>IF($A58="","",SUMIFS(Assistance_Log!$F$5:$F$367,Assistance_Log!$C$5:$C$367,$A58,Assistance_Log!$E$5:$E$367,"Tarpaulins",Assistance_Log!$B$5:$B$367,"&gt;="&amp;Households!F58))</f>
        <v>0</v>
      </c>
      <c r="L58" s="25">
        <f t="shared" si="14"/>
        <v>0</v>
      </c>
      <c r="M58" s="24">
        <f>IF($A58="","",IF(AND(OR(Households!C58="Tent",Households!C58="Makeshift shelter"),Households!D58="Unusable"),Settings!$B$12,0))</f>
        <v>0</v>
      </c>
      <c r="N58" s="24">
        <f>IF($A58="","",SUMIFS(Assistance_Log!$F$5:$F$367,Assistance_Log!$C$5:$C$367,$A58,Assistance_Log!$E$5:$E$367,"Tent replacement",Assistance_Log!$B$5:$B$367,"&gt;="&amp;Households!F58))</f>
        <v>0</v>
      </c>
      <c r="O58" s="25">
        <f t="shared" si="15"/>
        <v>0</v>
      </c>
      <c r="P58" s="24">
        <f>IF($A58="","",IF(Households!D58="Damaged",Settings!$B$13,0))</f>
        <v>0</v>
      </c>
      <c r="Q58" s="24">
        <f>IF($A58="","",SUMIFS(Assistance_Log!$F$5:$F$367,Assistance_Log!$C$5:$C$367,$A58,Assistance_Log!$E$5:$E$367,"Shelter repair kits",Assistance_Log!$B$5:$B$367,"&gt;="&amp;Households!F58))</f>
        <v>0</v>
      </c>
      <c r="R58" s="24">
        <f t="shared" si="16"/>
        <v>0</v>
      </c>
      <c r="S58" s="24">
        <f>IF($A58="","",Households!S58*Settings!$B$14)</f>
        <v>0</v>
      </c>
      <c r="T58" s="24">
        <f>IF($A58="","",SUMIFS(Assistance_Log!$F$5:$F$367,Assistance_Log!$C$5:$C$367,$A58,Assistance_Log!$E$5:$E$367,"Winter clothing – children",Assistance_Log!$B$5:$B$367,"&gt;="&amp;Households!F58))</f>
        <v>0</v>
      </c>
      <c r="U58" s="24">
        <f t="shared" si="17"/>
        <v>0</v>
      </c>
      <c r="V58" s="24">
        <f>IF($A58="","",Households!T58*Settings!$B$14)</f>
        <v>1</v>
      </c>
      <c r="W58" s="24">
        <f>IF($A58="","",SUMIFS(Assistance_Log!$F$5:$F$367,Assistance_Log!$C$5:$C$367,$A58,Assistance_Log!$E$5:$E$367,"Winter clothing – adults",Assistance_Log!$B$5:$B$367,"&gt;="&amp;Households!F58))</f>
        <v>0</v>
      </c>
      <c r="X58" s="24">
        <f t="shared" si="18"/>
        <v>1</v>
      </c>
      <c r="Y58" s="24">
        <f>IF($A58="","",Households!J58*Settings!$B$15)</f>
        <v>4</v>
      </c>
      <c r="Z58" s="24">
        <f>IF($A58="","",SUMIFS(Assistance_Log!$F$5:$F$367,Assistance_Log!$C$5:$C$367,$A58,Assistance_Log!$E$5:$E$367,"Diapers",Assistance_Log!$B$5:$B$367,"&gt;="&amp;Households!F58))</f>
        <v>0</v>
      </c>
      <c r="AA58" s="24">
        <f t="shared" si="19"/>
        <v>4</v>
      </c>
      <c r="AB58" s="24">
        <f>IF($A58="","",Settings!$B$16)</f>
        <v>1</v>
      </c>
      <c r="AC58" s="24">
        <f>IF($A58="","",SUMIFS(Assistance_Log!$F$5:$F$367,Assistance_Log!$C$5:$C$367,$A58,Assistance_Log!$E$5:$E$367,"Family hygiene kits",Assistance_Log!$B$5:$B$367,"&gt;="&amp;Households!F58))</f>
        <v>1</v>
      </c>
      <c r="AD58" s="24">
        <f t="shared" si="20"/>
        <v>0</v>
      </c>
      <c r="AE58" s="24">
        <f>IF($A58="","",Households!N58*Settings!$B$17)</f>
        <v>1</v>
      </c>
      <c r="AF58" s="24">
        <f>IF($A58="","",SUMIFS(Assistance_Log!$F$5:$F$367,Assistance_Log!$C$5:$C$367,$A58,Assistance_Log!$E$5:$E$367,"Menstrual hygiene kits",Assistance_Log!$B$5:$B$367,"&gt;="&amp;Households!F58))</f>
        <v>0</v>
      </c>
      <c r="AG58" s="24">
        <f t="shared" si="21"/>
        <v>1</v>
      </c>
      <c r="AH58" s="25" t="str">
        <f t="shared" si="22"/>
        <v>Yes</v>
      </c>
      <c r="AI58" s="24">
        <f t="shared" si="23"/>
        <v>5</v>
      </c>
    </row>
    <row r="59" spans="1:35" x14ac:dyDescent="0.3">
      <c r="A59" s="24" t="str">
        <f>IF(Households!A59="","",Households!A59)</f>
        <v>HH-055</v>
      </c>
      <c r="B59" s="24" t="str">
        <f>IF($A59="","",Households!B59)</f>
        <v>Site B – School Shelter</v>
      </c>
      <c r="C59" s="24" t="str">
        <f>IF($A59="","",Households!X59)</f>
        <v>Low</v>
      </c>
      <c r="D59" s="24">
        <f>IF($A59="","",MAX(0,Households!H59*Settings!$B$9-Households!Q59))</f>
        <v>12</v>
      </c>
      <c r="E59" s="24">
        <f>IF($A59="","",SUMIFS(Assistance_Log!$F$5:$F$367,Assistance_Log!$C$5:$C$367,$A59,Assistance_Log!$E$5:$E$367,"Blankets",Assistance_Log!$B$5:$B$367,"&gt;="&amp;Households!F59))</f>
        <v>12</v>
      </c>
      <c r="F59" s="25">
        <f t="shared" si="12"/>
        <v>0</v>
      </c>
      <c r="G59" s="24">
        <f>IF($A59="","",MAX(0,Households!H59*Settings!$B$10-Households!R59))</f>
        <v>0</v>
      </c>
      <c r="H59" s="24">
        <f>IF($A59="","",SUMIFS(Assistance_Log!$F$5:$F$367,Assistance_Log!$C$5:$C$367,$A59,Assistance_Log!$E$5:$E$367,"Mattresses",Assistance_Log!$B$5:$B$367,"&gt;="&amp;Households!F59))</f>
        <v>0</v>
      </c>
      <c r="I59" s="25">
        <f t="shared" si="13"/>
        <v>0</v>
      </c>
      <c r="J59" s="24">
        <f>IF($A59="","",IF(AND(OR(Households!C59="Tent",Households!C59="Makeshift shelter"),Households!D59="Damaged"),Settings!$B$11,0))</f>
        <v>0</v>
      </c>
      <c r="K59" s="24">
        <f>IF($A59="","",SUMIFS(Assistance_Log!$F$5:$F$367,Assistance_Log!$C$5:$C$367,$A59,Assistance_Log!$E$5:$E$367,"Tarpaulins",Assistance_Log!$B$5:$B$367,"&gt;="&amp;Households!F59))</f>
        <v>0</v>
      </c>
      <c r="L59" s="25">
        <f t="shared" si="14"/>
        <v>0</v>
      </c>
      <c r="M59" s="24">
        <f>IF($A59="","",IF(AND(OR(Households!C59="Tent",Households!C59="Makeshift shelter"),Households!D59="Unusable"),Settings!$B$12,0))</f>
        <v>0</v>
      </c>
      <c r="N59" s="24">
        <f>IF($A59="","",SUMIFS(Assistance_Log!$F$5:$F$367,Assistance_Log!$C$5:$C$367,$A59,Assistance_Log!$E$5:$E$367,"Tent replacement",Assistance_Log!$B$5:$B$367,"&gt;="&amp;Households!F59))</f>
        <v>0</v>
      </c>
      <c r="O59" s="25">
        <f t="shared" si="15"/>
        <v>0</v>
      </c>
      <c r="P59" s="24">
        <f>IF($A59="","",IF(Households!D59="Damaged",Settings!$B$13,0))</f>
        <v>0</v>
      </c>
      <c r="Q59" s="24">
        <f>IF($A59="","",SUMIFS(Assistance_Log!$F$5:$F$367,Assistance_Log!$C$5:$C$367,$A59,Assistance_Log!$E$5:$E$367,"Shelter repair kits",Assistance_Log!$B$5:$B$367,"&gt;="&amp;Households!F59))</f>
        <v>0</v>
      </c>
      <c r="R59" s="24">
        <f t="shared" si="16"/>
        <v>0</v>
      </c>
      <c r="S59" s="24">
        <f>IF($A59="","",Households!S59*Settings!$B$14)</f>
        <v>3</v>
      </c>
      <c r="T59" s="24">
        <f>IF($A59="","",SUMIFS(Assistance_Log!$F$5:$F$367,Assistance_Log!$C$5:$C$367,$A59,Assistance_Log!$E$5:$E$367,"Winter clothing – children",Assistance_Log!$B$5:$B$367,"&gt;="&amp;Households!F59))</f>
        <v>0</v>
      </c>
      <c r="U59" s="24">
        <f t="shared" si="17"/>
        <v>3</v>
      </c>
      <c r="V59" s="24">
        <f>IF($A59="","",Households!T59*Settings!$B$14)</f>
        <v>2</v>
      </c>
      <c r="W59" s="24">
        <f>IF($A59="","",SUMIFS(Assistance_Log!$F$5:$F$367,Assistance_Log!$C$5:$C$367,$A59,Assistance_Log!$E$5:$E$367,"Winter clothing – adults",Assistance_Log!$B$5:$B$367,"&gt;="&amp;Households!F59))</f>
        <v>0</v>
      </c>
      <c r="X59" s="24">
        <f t="shared" si="18"/>
        <v>2</v>
      </c>
      <c r="Y59" s="24">
        <f>IF($A59="","",Households!J59*Settings!$B$15)</f>
        <v>0</v>
      </c>
      <c r="Z59" s="24">
        <f>IF($A59="","",SUMIFS(Assistance_Log!$F$5:$F$367,Assistance_Log!$C$5:$C$367,$A59,Assistance_Log!$E$5:$E$367,"Diapers",Assistance_Log!$B$5:$B$367,"&gt;="&amp;Households!F59))</f>
        <v>0</v>
      </c>
      <c r="AA59" s="24">
        <f t="shared" si="19"/>
        <v>0</v>
      </c>
      <c r="AB59" s="24">
        <f>IF($A59="","",Settings!$B$16)</f>
        <v>1</v>
      </c>
      <c r="AC59" s="24">
        <f>IF($A59="","",SUMIFS(Assistance_Log!$F$5:$F$367,Assistance_Log!$C$5:$C$367,$A59,Assistance_Log!$E$5:$E$367,"Family hygiene kits",Assistance_Log!$B$5:$B$367,"&gt;="&amp;Households!F59))</f>
        <v>1</v>
      </c>
      <c r="AD59" s="24">
        <f t="shared" si="20"/>
        <v>0</v>
      </c>
      <c r="AE59" s="24">
        <f>IF($A59="","",Households!N59*Settings!$B$17)</f>
        <v>1</v>
      </c>
      <c r="AF59" s="24">
        <f>IF($A59="","",SUMIFS(Assistance_Log!$F$5:$F$367,Assistance_Log!$C$5:$C$367,$A59,Assistance_Log!$E$5:$E$367,"Menstrual hygiene kits",Assistance_Log!$B$5:$B$367,"&gt;="&amp;Households!F59))</f>
        <v>0</v>
      </c>
      <c r="AG59" s="24">
        <f t="shared" si="21"/>
        <v>1</v>
      </c>
      <c r="AH59" s="25" t="str">
        <f t="shared" si="22"/>
        <v>Yes</v>
      </c>
      <c r="AI59" s="24">
        <f t="shared" si="23"/>
        <v>3</v>
      </c>
    </row>
    <row r="60" spans="1:35" x14ac:dyDescent="0.3">
      <c r="A60" s="24" t="str">
        <f>IF(Households!A60="","",Households!A60)</f>
        <v>HH-056</v>
      </c>
      <c r="B60" s="24" t="str">
        <f>IF($A60="","",Households!B60)</f>
        <v>Site B – School Shelter</v>
      </c>
      <c r="C60" s="24" t="str">
        <f>IF($A60="","",Households!X60)</f>
        <v>Medium</v>
      </c>
      <c r="D60" s="24">
        <f>IF($A60="","",MAX(0,Households!H60*Settings!$B$9-Households!Q60))</f>
        <v>10</v>
      </c>
      <c r="E60" s="24">
        <f>IF($A60="","",SUMIFS(Assistance_Log!$F$5:$F$367,Assistance_Log!$C$5:$C$367,$A60,Assistance_Log!$E$5:$E$367,"Blankets",Assistance_Log!$B$5:$B$367,"&gt;="&amp;Households!F60))</f>
        <v>1</v>
      </c>
      <c r="F60" s="25">
        <f t="shared" si="12"/>
        <v>9</v>
      </c>
      <c r="G60" s="24">
        <f>IF($A60="","",MAX(0,Households!H60*Settings!$B$10-Households!R60))</f>
        <v>4</v>
      </c>
      <c r="H60" s="24">
        <f>IF($A60="","",SUMIFS(Assistance_Log!$F$5:$F$367,Assistance_Log!$C$5:$C$367,$A60,Assistance_Log!$E$5:$E$367,"Mattresses",Assistance_Log!$B$5:$B$367,"&gt;="&amp;Households!F60))</f>
        <v>0</v>
      </c>
      <c r="I60" s="25">
        <f t="shared" si="13"/>
        <v>4</v>
      </c>
      <c r="J60" s="24">
        <f>IF($A60="","",IF(AND(OR(Households!C60="Tent",Households!C60="Makeshift shelter"),Households!D60="Damaged"),Settings!$B$11,0))</f>
        <v>0</v>
      </c>
      <c r="K60" s="24">
        <f>IF($A60="","",SUMIFS(Assistance_Log!$F$5:$F$367,Assistance_Log!$C$5:$C$367,$A60,Assistance_Log!$E$5:$E$367,"Tarpaulins",Assistance_Log!$B$5:$B$367,"&gt;="&amp;Households!F60))</f>
        <v>0</v>
      </c>
      <c r="L60" s="25">
        <f t="shared" si="14"/>
        <v>0</v>
      </c>
      <c r="M60" s="24">
        <f>IF($A60="","",IF(AND(OR(Households!C60="Tent",Households!C60="Makeshift shelter"),Households!D60="Unusable"),Settings!$B$12,0))</f>
        <v>0</v>
      </c>
      <c r="N60" s="24">
        <f>IF($A60="","",SUMIFS(Assistance_Log!$F$5:$F$367,Assistance_Log!$C$5:$C$367,$A60,Assistance_Log!$E$5:$E$367,"Tent replacement",Assistance_Log!$B$5:$B$367,"&gt;="&amp;Households!F60))</f>
        <v>0</v>
      </c>
      <c r="O60" s="25">
        <f t="shared" si="15"/>
        <v>0</v>
      </c>
      <c r="P60" s="24">
        <f>IF($A60="","",IF(Households!D60="Damaged",Settings!$B$13,0))</f>
        <v>0</v>
      </c>
      <c r="Q60" s="24">
        <f>IF($A60="","",SUMIFS(Assistance_Log!$F$5:$F$367,Assistance_Log!$C$5:$C$367,$A60,Assistance_Log!$E$5:$E$367,"Shelter repair kits",Assistance_Log!$B$5:$B$367,"&gt;="&amp;Households!F60))</f>
        <v>0</v>
      </c>
      <c r="R60" s="24">
        <f t="shared" si="16"/>
        <v>0</v>
      </c>
      <c r="S60" s="24">
        <f>IF($A60="","",Households!S60*Settings!$B$14)</f>
        <v>3</v>
      </c>
      <c r="T60" s="24">
        <f>IF($A60="","",SUMIFS(Assistance_Log!$F$5:$F$367,Assistance_Log!$C$5:$C$367,$A60,Assistance_Log!$E$5:$E$367,"Winter clothing – children",Assistance_Log!$B$5:$B$367,"&gt;="&amp;Households!F60))</f>
        <v>3</v>
      </c>
      <c r="U60" s="24">
        <f t="shared" si="17"/>
        <v>0</v>
      </c>
      <c r="V60" s="24">
        <f>IF($A60="","",Households!T60*Settings!$B$14)</f>
        <v>0</v>
      </c>
      <c r="W60" s="24">
        <f>IF($A60="","",SUMIFS(Assistance_Log!$F$5:$F$367,Assistance_Log!$C$5:$C$367,$A60,Assistance_Log!$E$5:$E$367,"Winter clothing – adults",Assistance_Log!$B$5:$B$367,"&gt;="&amp;Households!F60))</f>
        <v>0</v>
      </c>
      <c r="X60" s="24">
        <f t="shared" si="18"/>
        <v>0</v>
      </c>
      <c r="Y60" s="24">
        <f>IF($A60="","",Households!J60*Settings!$B$15)</f>
        <v>0</v>
      </c>
      <c r="Z60" s="24">
        <f>IF($A60="","",SUMIFS(Assistance_Log!$F$5:$F$367,Assistance_Log!$C$5:$C$367,$A60,Assistance_Log!$E$5:$E$367,"Diapers",Assistance_Log!$B$5:$B$367,"&gt;="&amp;Households!F60))</f>
        <v>0</v>
      </c>
      <c r="AA60" s="24">
        <f t="shared" si="19"/>
        <v>0</v>
      </c>
      <c r="AB60" s="24">
        <f>IF($A60="","",Settings!$B$16)</f>
        <v>1</v>
      </c>
      <c r="AC60" s="24">
        <f>IF($A60="","",SUMIFS(Assistance_Log!$F$5:$F$367,Assistance_Log!$C$5:$C$367,$A60,Assistance_Log!$E$5:$E$367,"Family hygiene kits",Assistance_Log!$B$5:$B$367,"&gt;="&amp;Households!F60))</f>
        <v>1</v>
      </c>
      <c r="AD60" s="24">
        <f t="shared" si="20"/>
        <v>0</v>
      </c>
      <c r="AE60" s="24">
        <f>IF($A60="","",Households!N60*Settings!$B$17)</f>
        <v>2</v>
      </c>
      <c r="AF60" s="24">
        <f>IF($A60="","",SUMIFS(Assistance_Log!$F$5:$F$367,Assistance_Log!$C$5:$C$367,$A60,Assistance_Log!$E$5:$E$367,"Menstrual hygiene kits",Assistance_Log!$B$5:$B$367,"&gt;="&amp;Households!F60))</f>
        <v>0</v>
      </c>
      <c r="AG60" s="24">
        <f t="shared" si="21"/>
        <v>2</v>
      </c>
      <c r="AH60" s="25" t="str">
        <f t="shared" si="22"/>
        <v>Yes</v>
      </c>
      <c r="AI60" s="24">
        <f t="shared" si="23"/>
        <v>3</v>
      </c>
    </row>
    <row r="61" spans="1:35" x14ac:dyDescent="0.3">
      <c r="A61" s="24" t="str">
        <f>IF(Households!A61="","",Households!A61)</f>
        <v>HH-057</v>
      </c>
      <c r="B61" s="24" t="str">
        <f>IF($A61="","",Households!B61)</f>
        <v>Site B – School Shelter</v>
      </c>
      <c r="C61" s="24" t="str">
        <f>IF($A61="","",Households!X61)</f>
        <v>Medium</v>
      </c>
      <c r="D61" s="24">
        <f>IF($A61="","",MAX(0,Households!H61*Settings!$B$9-Households!Q61))</f>
        <v>3</v>
      </c>
      <c r="E61" s="24">
        <f>IF($A61="","",SUMIFS(Assistance_Log!$F$5:$F$367,Assistance_Log!$C$5:$C$367,$A61,Assistance_Log!$E$5:$E$367,"Blankets",Assistance_Log!$B$5:$B$367,"&gt;="&amp;Households!F61))</f>
        <v>0</v>
      </c>
      <c r="F61" s="25">
        <f t="shared" si="12"/>
        <v>3</v>
      </c>
      <c r="G61" s="24">
        <f>IF($A61="","",MAX(0,Households!H61*Settings!$B$10-Households!R61))</f>
        <v>6</v>
      </c>
      <c r="H61" s="24">
        <f>IF($A61="","",SUMIFS(Assistance_Log!$F$5:$F$367,Assistance_Log!$C$5:$C$367,$A61,Assistance_Log!$E$5:$E$367,"Mattresses",Assistance_Log!$B$5:$B$367,"&gt;="&amp;Households!F61))</f>
        <v>0</v>
      </c>
      <c r="I61" s="25">
        <f t="shared" si="13"/>
        <v>6</v>
      </c>
      <c r="J61" s="24">
        <f>IF($A61="","",IF(AND(OR(Households!C61="Tent",Households!C61="Makeshift shelter"),Households!D61="Damaged"),Settings!$B$11,0))</f>
        <v>0</v>
      </c>
      <c r="K61" s="24">
        <f>IF($A61="","",SUMIFS(Assistance_Log!$F$5:$F$367,Assistance_Log!$C$5:$C$367,$A61,Assistance_Log!$E$5:$E$367,"Tarpaulins",Assistance_Log!$B$5:$B$367,"&gt;="&amp;Households!F61))</f>
        <v>0</v>
      </c>
      <c r="L61" s="25">
        <f t="shared" si="14"/>
        <v>0</v>
      </c>
      <c r="M61" s="24">
        <f>IF($A61="","",IF(AND(OR(Households!C61="Tent",Households!C61="Makeshift shelter"),Households!D61="Unusable"),Settings!$B$12,0))</f>
        <v>0</v>
      </c>
      <c r="N61" s="24">
        <f>IF($A61="","",SUMIFS(Assistance_Log!$F$5:$F$367,Assistance_Log!$C$5:$C$367,$A61,Assistance_Log!$E$5:$E$367,"Tent replacement",Assistance_Log!$B$5:$B$367,"&gt;="&amp;Households!F61))</f>
        <v>0</v>
      </c>
      <c r="O61" s="25">
        <f t="shared" si="15"/>
        <v>0</v>
      </c>
      <c r="P61" s="24">
        <f>IF($A61="","",IF(Households!D61="Damaged",Settings!$B$13,0))</f>
        <v>0</v>
      </c>
      <c r="Q61" s="24">
        <f>IF($A61="","",SUMIFS(Assistance_Log!$F$5:$F$367,Assistance_Log!$C$5:$C$367,$A61,Assistance_Log!$E$5:$E$367,"Shelter repair kits",Assistance_Log!$B$5:$B$367,"&gt;="&amp;Households!F61))</f>
        <v>0</v>
      </c>
      <c r="R61" s="24">
        <f t="shared" si="16"/>
        <v>0</v>
      </c>
      <c r="S61" s="24">
        <f>IF($A61="","",Households!S61*Settings!$B$14)</f>
        <v>2</v>
      </c>
      <c r="T61" s="24">
        <f>IF($A61="","",SUMIFS(Assistance_Log!$F$5:$F$367,Assistance_Log!$C$5:$C$367,$A61,Assistance_Log!$E$5:$E$367,"Winter clothing – children",Assistance_Log!$B$5:$B$367,"&gt;="&amp;Households!F61))</f>
        <v>0</v>
      </c>
      <c r="U61" s="24">
        <f t="shared" si="17"/>
        <v>2</v>
      </c>
      <c r="V61" s="24">
        <f>IF($A61="","",Households!T61*Settings!$B$14)</f>
        <v>0</v>
      </c>
      <c r="W61" s="24">
        <f>IF($A61="","",SUMIFS(Assistance_Log!$F$5:$F$367,Assistance_Log!$C$5:$C$367,$A61,Assistance_Log!$E$5:$E$367,"Winter clothing – adults",Assistance_Log!$B$5:$B$367,"&gt;="&amp;Households!F61))</f>
        <v>0</v>
      </c>
      <c r="X61" s="24">
        <f t="shared" si="18"/>
        <v>0</v>
      </c>
      <c r="Y61" s="24">
        <f>IF($A61="","",Households!J61*Settings!$B$15)</f>
        <v>0</v>
      </c>
      <c r="Z61" s="24">
        <f>IF($A61="","",SUMIFS(Assistance_Log!$F$5:$F$367,Assistance_Log!$C$5:$C$367,$A61,Assistance_Log!$E$5:$E$367,"Diapers",Assistance_Log!$B$5:$B$367,"&gt;="&amp;Households!F61))</f>
        <v>0</v>
      </c>
      <c r="AA61" s="24">
        <f t="shared" si="19"/>
        <v>0</v>
      </c>
      <c r="AB61" s="24">
        <f>IF($A61="","",Settings!$B$16)</f>
        <v>1</v>
      </c>
      <c r="AC61" s="24">
        <f>IF($A61="","",SUMIFS(Assistance_Log!$F$5:$F$367,Assistance_Log!$C$5:$C$367,$A61,Assistance_Log!$E$5:$E$367,"Family hygiene kits",Assistance_Log!$B$5:$B$367,"&gt;="&amp;Households!F61))</f>
        <v>1</v>
      </c>
      <c r="AD61" s="24">
        <f t="shared" si="20"/>
        <v>0</v>
      </c>
      <c r="AE61" s="24">
        <f>IF($A61="","",Households!N61*Settings!$B$17)</f>
        <v>2</v>
      </c>
      <c r="AF61" s="24">
        <f>IF($A61="","",SUMIFS(Assistance_Log!$F$5:$F$367,Assistance_Log!$C$5:$C$367,$A61,Assistance_Log!$E$5:$E$367,"Menstrual hygiene kits",Assistance_Log!$B$5:$B$367,"&gt;="&amp;Households!F61))</f>
        <v>2</v>
      </c>
      <c r="AG61" s="24">
        <f t="shared" si="21"/>
        <v>0</v>
      </c>
      <c r="AH61" s="25" t="str">
        <f t="shared" si="22"/>
        <v>Yes</v>
      </c>
      <c r="AI61" s="24">
        <f t="shared" si="23"/>
        <v>3</v>
      </c>
    </row>
    <row r="62" spans="1:35" x14ac:dyDescent="0.3">
      <c r="A62" s="24" t="str">
        <f>IF(Households!A62="","",Households!A62)</f>
        <v>HH-058</v>
      </c>
      <c r="B62" s="24" t="str">
        <f>IF($A62="","",Households!B62)</f>
        <v>Site B – School Shelter</v>
      </c>
      <c r="C62" s="24" t="str">
        <f>IF($A62="","",Households!X62)</f>
        <v>High</v>
      </c>
      <c r="D62" s="24">
        <f>IF($A62="","",MAX(0,Households!H62*Settings!$B$9-Households!Q62))</f>
        <v>4</v>
      </c>
      <c r="E62" s="24">
        <f>IF($A62="","",SUMIFS(Assistance_Log!$F$5:$F$367,Assistance_Log!$C$5:$C$367,$A62,Assistance_Log!$E$5:$E$367,"Blankets",Assistance_Log!$B$5:$B$367,"&gt;="&amp;Households!F62))</f>
        <v>4</v>
      </c>
      <c r="F62" s="25">
        <f t="shared" si="12"/>
        <v>0</v>
      </c>
      <c r="G62" s="24">
        <f>IF($A62="","",MAX(0,Households!H62*Settings!$B$10-Households!R62))</f>
        <v>4</v>
      </c>
      <c r="H62" s="24">
        <f>IF($A62="","",SUMIFS(Assistance_Log!$F$5:$F$367,Assistance_Log!$C$5:$C$367,$A62,Assistance_Log!$E$5:$E$367,"Mattresses",Assistance_Log!$B$5:$B$367,"&gt;="&amp;Households!F62))</f>
        <v>0</v>
      </c>
      <c r="I62" s="25">
        <f t="shared" si="13"/>
        <v>4</v>
      </c>
      <c r="J62" s="24">
        <f>IF($A62="","",IF(AND(OR(Households!C62="Tent",Households!C62="Makeshift shelter"),Households!D62="Damaged"),Settings!$B$11,0))</f>
        <v>0</v>
      </c>
      <c r="K62" s="24">
        <f>IF($A62="","",SUMIFS(Assistance_Log!$F$5:$F$367,Assistance_Log!$C$5:$C$367,$A62,Assistance_Log!$E$5:$E$367,"Tarpaulins",Assistance_Log!$B$5:$B$367,"&gt;="&amp;Households!F62))</f>
        <v>0</v>
      </c>
      <c r="L62" s="25">
        <f t="shared" si="14"/>
        <v>0</v>
      </c>
      <c r="M62" s="24">
        <f>IF($A62="","",IF(AND(OR(Households!C62="Tent",Households!C62="Makeshift shelter"),Households!D62="Unusable"),Settings!$B$12,0))</f>
        <v>0</v>
      </c>
      <c r="N62" s="24">
        <f>IF($A62="","",SUMIFS(Assistance_Log!$F$5:$F$367,Assistance_Log!$C$5:$C$367,$A62,Assistance_Log!$E$5:$E$367,"Tent replacement",Assistance_Log!$B$5:$B$367,"&gt;="&amp;Households!F62))</f>
        <v>0</v>
      </c>
      <c r="O62" s="25">
        <f t="shared" si="15"/>
        <v>0</v>
      </c>
      <c r="P62" s="24">
        <f>IF($A62="","",IF(Households!D62="Damaged",Settings!$B$13,0))</f>
        <v>0</v>
      </c>
      <c r="Q62" s="24">
        <f>IF($A62="","",SUMIFS(Assistance_Log!$F$5:$F$367,Assistance_Log!$C$5:$C$367,$A62,Assistance_Log!$E$5:$E$367,"Shelter repair kits",Assistance_Log!$B$5:$B$367,"&gt;="&amp;Households!F62))</f>
        <v>0</v>
      </c>
      <c r="R62" s="24">
        <f t="shared" si="16"/>
        <v>0</v>
      </c>
      <c r="S62" s="24">
        <f>IF($A62="","",Households!S62*Settings!$B$14)</f>
        <v>6</v>
      </c>
      <c r="T62" s="24">
        <f>IF($A62="","",SUMIFS(Assistance_Log!$F$5:$F$367,Assistance_Log!$C$5:$C$367,$A62,Assistance_Log!$E$5:$E$367,"Winter clothing – children",Assistance_Log!$B$5:$B$367,"&gt;="&amp;Households!F62))</f>
        <v>0</v>
      </c>
      <c r="U62" s="24">
        <f t="shared" si="17"/>
        <v>6</v>
      </c>
      <c r="V62" s="24">
        <f>IF($A62="","",Households!T62*Settings!$B$14)</f>
        <v>2</v>
      </c>
      <c r="W62" s="24">
        <f>IF($A62="","",SUMIFS(Assistance_Log!$F$5:$F$367,Assistance_Log!$C$5:$C$367,$A62,Assistance_Log!$E$5:$E$367,"Winter clothing – adults",Assistance_Log!$B$5:$B$367,"&gt;="&amp;Households!F62))</f>
        <v>0</v>
      </c>
      <c r="X62" s="24">
        <f t="shared" si="18"/>
        <v>2</v>
      </c>
      <c r="Y62" s="24">
        <f>IF($A62="","",Households!J62*Settings!$B$15)</f>
        <v>4</v>
      </c>
      <c r="Z62" s="24">
        <f>IF($A62="","",SUMIFS(Assistance_Log!$F$5:$F$367,Assistance_Log!$C$5:$C$367,$A62,Assistance_Log!$E$5:$E$367,"Diapers",Assistance_Log!$B$5:$B$367,"&gt;="&amp;Households!F62))</f>
        <v>0</v>
      </c>
      <c r="AA62" s="24">
        <f t="shared" si="19"/>
        <v>4</v>
      </c>
      <c r="AB62" s="24">
        <f>IF($A62="","",Settings!$B$16)</f>
        <v>1</v>
      </c>
      <c r="AC62" s="24">
        <f>IF($A62="","",SUMIFS(Assistance_Log!$F$5:$F$367,Assistance_Log!$C$5:$C$367,$A62,Assistance_Log!$E$5:$E$367,"Family hygiene kits",Assistance_Log!$B$5:$B$367,"&gt;="&amp;Households!F62))</f>
        <v>1</v>
      </c>
      <c r="AD62" s="24">
        <f t="shared" si="20"/>
        <v>0</v>
      </c>
      <c r="AE62" s="24">
        <f>IF($A62="","",Households!N62*Settings!$B$17)</f>
        <v>2</v>
      </c>
      <c r="AF62" s="24">
        <f>IF($A62="","",SUMIFS(Assistance_Log!$F$5:$F$367,Assistance_Log!$C$5:$C$367,$A62,Assistance_Log!$E$5:$E$367,"Menstrual hygiene kits",Assistance_Log!$B$5:$B$367,"&gt;="&amp;Households!F62))</f>
        <v>0</v>
      </c>
      <c r="AG62" s="24">
        <f t="shared" si="21"/>
        <v>2</v>
      </c>
      <c r="AH62" s="25" t="str">
        <f t="shared" si="22"/>
        <v>Yes</v>
      </c>
      <c r="AI62" s="24">
        <f t="shared" si="23"/>
        <v>5</v>
      </c>
    </row>
    <row r="63" spans="1:35" x14ac:dyDescent="0.3">
      <c r="A63" s="24" t="str">
        <f>IF(Households!A63="","",Households!A63)</f>
        <v>HH-059</v>
      </c>
      <c r="B63" s="24" t="str">
        <f>IF($A63="","",Households!B63)</f>
        <v>Site B – School Shelter</v>
      </c>
      <c r="C63" s="24" t="str">
        <f>IF($A63="","",Households!X63)</f>
        <v>Medium</v>
      </c>
      <c r="D63" s="24">
        <f>IF($A63="","",MAX(0,Households!H63*Settings!$B$9-Households!Q63))</f>
        <v>15</v>
      </c>
      <c r="E63" s="24">
        <f>IF($A63="","",SUMIFS(Assistance_Log!$F$5:$F$367,Assistance_Log!$C$5:$C$367,$A63,Assistance_Log!$E$5:$E$367,"Blankets",Assistance_Log!$B$5:$B$367,"&gt;="&amp;Households!F63))</f>
        <v>15</v>
      </c>
      <c r="F63" s="25">
        <f t="shared" si="12"/>
        <v>0</v>
      </c>
      <c r="G63" s="24">
        <f>IF($A63="","",MAX(0,Households!H63*Settings!$B$10-Households!R63))</f>
        <v>8</v>
      </c>
      <c r="H63" s="24">
        <f>IF($A63="","",SUMIFS(Assistance_Log!$F$5:$F$367,Assistance_Log!$C$5:$C$367,$A63,Assistance_Log!$E$5:$E$367,"Mattresses",Assistance_Log!$B$5:$B$367,"&gt;="&amp;Households!F63))</f>
        <v>8</v>
      </c>
      <c r="I63" s="25">
        <f t="shared" si="13"/>
        <v>0</v>
      </c>
      <c r="J63" s="24">
        <f>IF($A63="","",IF(AND(OR(Households!C63="Tent",Households!C63="Makeshift shelter"),Households!D63="Damaged"),Settings!$B$11,0))</f>
        <v>0</v>
      </c>
      <c r="K63" s="24">
        <f>IF($A63="","",SUMIFS(Assistance_Log!$F$5:$F$367,Assistance_Log!$C$5:$C$367,$A63,Assistance_Log!$E$5:$E$367,"Tarpaulins",Assistance_Log!$B$5:$B$367,"&gt;="&amp;Households!F63))</f>
        <v>0</v>
      </c>
      <c r="L63" s="25">
        <f t="shared" si="14"/>
        <v>0</v>
      </c>
      <c r="M63" s="24">
        <f>IF($A63="","",IF(AND(OR(Households!C63="Tent",Households!C63="Makeshift shelter"),Households!D63="Unusable"),Settings!$B$12,0))</f>
        <v>0</v>
      </c>
      <c r="N63" s="24">
        <f>IF($A63="","",SUMIFS(Assistance_Log!$F$5:$F$367,Assistance_Log!$C$5:$C$367,$A63,Assistance_Log!$E$5:$E$367,"Tent replacement",Assistance_Log!$B$5:$B$367,"&gt;="&amp;Households!F63))</f>
        <v>0</v>
      </c>
      <c r="O63" s="25">
        <f t="shared" si="15"/>
        <v>0</v>
      </c>
      <c r="P63" s="24">
        <f>IF($A63="","",IF(Households!D63="Damaged",Settings!$B$13,0))</f>
        <v>1</v>
      </c>
      <c r="Q63" s="24">
        <f>IF($A63="","",SUMIFS(Assistance_Log!$F$5:$F$367,Assistance_Log!$C$5:$C$367,$A63,Assistance_Log!$E$5:$E$367,"Shelter repair kits",Assistance_Log!$B$5:$B$367,"&gt;="&amp;Households!F63))</f>
        <v>1</v>
      </c>
      <c r="R63" s="24">
        <f t="shared" si="16"/>
        <v>0</v>
      </c>
      <c r="S63" s="24">
        <f>IF($A63="","",Households!S63*Settings!$B$14)</f>
        <v>0</v>
      </c>
      <c r="T63" s="24">
        <f>IF($A63="","",SUMIFS(Assistance_Log!$F$5:$F$367,Assistance_Log!$C$5:$C$367,$A63,Assistance_Log!$E$5:$E$367,"Winter clothing – children",Assistance_Log!$B$5:$B$367,"&gt;="&amp;Households!F63))</f>
        <v>0</v>
      </c>
      <c r="U63" s="24">
        <f t="shared" si="17"/>
        <v>0</v>
      </c>
      <c r="V63" s="24">
        <f>IF($A63="","",Households!T63*Settings!$B$14)</f>
        <v>0</v>
      </c>
      <c r="W63" s="24">
        <f>IF($A63="","",SUMIFS(Assistance_Log!$F$5:$F$367,Assistance_Log!$C$5:$C$367,$A63,Assistance_Log!$E$5:$E$367,"Winter clothing – adults",Assistance_Log!$B$5:$B$367,"&gt;="&amp;Households!F63))</f>
        <v>0</v>
      </c>
      <c r="X63" s="24">
        <f t="shared" si="18"/>
        <v>0</v>
      </c>
      <c r="Y63" s="24">
        <f>IF($A63="","",Households!J63*Settings!$B$15)</f>
        <v>0</v>
      </c>
      <c r="Z63" s="24">
        <f>IF($A63="","",SUMIFS(Assistance_Log!$F$5:$F$367,Assistance_Log!$C$5:$C$367,$A63,Assistance_Log!$E$5:$E$367,"Diapers",Assistance_Log!$B$5:$B$367,"&gt;="&amp;Households!F63))</f>
        <v>0</v>
      </c>
      <c r="AA63" s="24">
        <f t="shared" si="19"/>
        <v>0</v>
      </c>
      <c r="AB63" s="24">
        <f>IF($A63="","",Settings!$B$16)</f>
        <v>1</v>
      </c>
      <c r="AC63" s="24">
        <f>IF($A63="","",SUMIFS(Assistance_Log!$F$5:$F$367,Assistance_Log!$C$5:$C$367,$A63,Assistance_Log!$E$5:$E$367,"Family hygiene kits",Assistance_Log!$B$5:$B$367,"&gt;="&amp;Households!F63))</f>
        <v>1</v>
      </c>
      <c r="AD63" s="24">
        <f t="shared" si="20"/>
        <v>0</v>
      </c>
      <c r="AE63" s="24">
        <f>IF($A63="","",Households!N63*Settings!$B$17)</f>
        <v>2</v>
      </c>
      <c r="AF63" s="24">
        <f>IF($A63="","",SUMIFS(Assistance_Log!$F$5:$F$367,Assistance_Log!$C$5:$C$367,$A63,Assistance_Log!$E$5:$E$367,"Menstrual hygiene kits",Assistance_Log!$B$5:$B$367,"&gt;="&amp;Households!F63))</f>
        <v>0</v>
      </c>
      <c r="AG63" s="24">
        <f t="shared" si="21"/>
        <v>2</v>
      </c>
      <c r="AH63" s="25" t="str">
        <f t="shared" si="22"/>
        <v>Yes</v>
      </c>
      <c r="AI63" s="24">
        <f t="shared" si="23"/>
        <v>1</v>
      </c>
    </row>
    <row r="64" spans="1:35" x14ac:dyDescent="0.3">
      <c r="A64" s="24" t="str">
        <f>IF(Households!A64="","",Households!A64)</f>
        <v>HH-060</v>
      </c>
      <c r="B64" s="24" t="str">
        <f>IF($A64="","",Households!B64)</f>
        <v>Site B – School Shelter</v>
      </c>
      <c r="C64" s="24" t="str">
        <f>IF($A64="","",Households!X64)</f>
        <v>Medium</v>
      </c>
      <c r="D64" s="24">
        <f>IF($A64="","",MAX(0,Households!H64*Settings!$B$9-Households!Q64))</f>
        <v>14</v>
      </c>
      <c r="E64" s="24">
        <f>IF($A64="","",SUMIFS(Assistance_Log!$F$5:$F$367,Assistance_Log!$C$5:$C$367,$A64,Assistance_Log!$E$5:$E$367,"Blankets",Assistance_Log!$B$5:$B$367,"&gt;="&amp;Households!F64))</f>
        <v>0</v>
      </c>
      <c r="F64" s="25">
        <f t="shared" si="12"/>
        <v>14</v>
      </c>
      <c r="G64" s="24">
        <f>IF($A64="","",MAX(0,Households!H64*Settings!$B$10-Households!R64))</f>
        <v>0</v>
      </c>
      <c r="H64" s="24">
        <f>IF($A64="","",SUMIFS(Assistance_Log!$F$5:$F$367,Assistance_Log!$C$5:$C$367,$A64,Assistance_Log!$E$5:$E$367,"Mattresses",Assistance_Log!$B$5:$B$367,"&gt;="&amp;Households!F64))</f>
        <v>0</v>
      </c>
      <c r="I64" s="25">
        <f t="shared" si="13"/>
        <v>0</v>
      </c>
      <c r="J64" s="24">
        <f>IF($A64="","",IF(AND(OR(Households!C64="Tent",Households!C64="Makeshift shelter"),Households!D64="Damaged"),Settings!$B$11,0))</f>
        <v>0</v>
      </c>
      <c r="K64" s="24">
        <f>IF($A64="","",SUMIFS(Assistance_Log!$F$5:$F$367,Assistance_Log!$C$5:$C$367,$A64,Assistance_Log!$E$5:$E$367,"Tarpaulins",Assistance_Log!$B$5:$B$367,"&gt;="&amp;Households!F64))</f>
        <v>0</v>
      </c>
      <c r="L64" s="25">
        <f t="shared" si="14"/>
        <v>0</v>
      </c>
      <c r="M64" s="24">
        <f>IF($A64="","",IF(AND(OR(Households!C64="Tent",Households!C64="Makeshift shelter"),Households!D64="Unusable"),Settings!$B$12,0))</f>
        <v>0</v>
      </c>
      <c r="N64" s="24">
        <f>IF($A64="","",SUMIFS(Assistance_Log!$F$5:$F$367,Assistance_Log!$C$5:$C$367,$A64,Assistance_Log!$E$5:$E$367,"Tent replacement",Assistance_Log!$B$5:$B$367,"&gt;="&amp;Households!F64))</f>
        <v>0</v>
      </c>
      <c r="O64" s="25">
        <f t="shared" si="15"/>
        <v>0</v>
      </c>
      <c r="P64" s="24">
        <f>IF($A64="","",IF(Households!D64="Damaged",Settings!$B$13,0))</f>
        <v>0</v>
      </c>
      <c r="Q64" s="24">
        <f>IF($A64="","",SUMIFS(Assistance_Log!$F$5:$F$367,Assistance_Log!$C$5:$C$367,$A64,Assistance_Log!$E$5:$E$367,"Shelter repair kits",Assistance_Log!$B$5:$B$367,"&gt;="&amp;Households!F64))</f>
        <v>0</v>
      </c>
      <c r="R64" s="24">
        <f t="shared" si="16"/>
        <v>0</v>
      </c>
      <c r="S64" s="24">
        <f>IF($A64="","",Households!S64*Settings!$B$14)</f>
        <v>4</v>
      </c>
      <c r="T64" s="24">
        <f>IF($A64="","",SUMIFS(Assistance_Log!$F$5:$F$367,Assistance_Log!$C$5:$C$367,$A64,Assistance_Log!$E$5:$E$367,"Winter clothing – children",Assistance_Log!$B$5:$B$367,"&gt;="&amp;Households!F64))</f>
        <v>4</v>
      </c>
      <c r="U64" s="24">
        <f t="shared" si="17"/>
        <v>0</v>
      </c>
      <c r="V64" s="24">
        <f>IF($A64="","",Households!T64*Settings!$B$14)</f>
        <v>1</v>
      </c>
      <c r="W64" s="24">
        <f>IF($A64="","",SUMIFS(Assistance_Log!$F$5:$F$367,Assistance_Log!$C$5:$C$367,$A64,Assistance_Log!$E$5:$E$367,"Winter clothing – adults",Assistance_Log!$B$5:$B$367,"&gt;="&amp;Households!F64))</f>
        <v>0</v>
      </c>
      <c r="X64" s="24">
        <f t="shared" si="18"/>
        <v>1</v>
      </c>
      <c r="Y64" s="24">
        <f>IF($A64="","",Households!J64*Settings!$B$15)</f>
        <v>4</v>
      </c>
      <c r="Z64" s="24">
        <f>IF($A64="","",SUMIFS(Assistance_Log!$F$5:$F$367,Assistance_Log!$C$5:$C$367,$A64,Assistance_Log!$E$5:$E$367,"Diapers",Assistance_Log!$B$5:$B$367,"&gt;="&amp;Households!F64))</f>
        <v>0</v>
      </c>
      <c r="AA64" s="24">
        <f t="shared" si="19"/>
        <v>4</v>
      </c>
      <c r="AB64" s="24">
        <f>IF($A64="","",Settings!$B$16)</f>
        <v>1</v>
      </c>
      <c r="AC64" s="24">
        <f>IF($A64="","",SUMIFS(Assistance_Log!$F$5:$F$367,Assistance_Log!$C$5:$C$367,$A64,Assistance_Log!$E$5:$E$367,"Family hygiene kits",Assistance_Log!$B$5:$B$367,"&gt;="&amp;Households!F64))</f>
        <v>1</v>
      </c>
      <c r="AD64" s="24">
        <f t="shared" si="20"/>
        <v>0</v>
      </c>
      <c r="AE64" s="24">
        <f>IF($A64="","",Households!N64*Settings!$B$17)</f>
        <v>1</v>
      </c>
      <c r="AF64" s="24">
        <f>IF($A64="","",SUMIFS(Assistance_Log!$F$5:$F$367,Assistance_Log!$C$5:$C$367,$A64,Assistance_Log!$E$5:$E$367,"Menstrual hygiene kits",Assistance_Log!$B$5:$B$367,"&gt;="&amp;Households!F64))</f>
        <v>1</v>
      </c>
      <c r="AG64" s="24">
        <f t="shared" si="21"/>
        <v>0</v>
      </c>
      <c r="AH64" s="25" t="str">
        <f t="shared" si="22"/>
        <v>Yes</v>
      </c>
      <c r="AI64" s="24">
        <f t="shared" si="23"/>
        <v>3</v>
      </c>
    </row>
    <row r="65" spans="1:35" x14ac:dyDescent="0.3">
      <c r="A65" s="24" t="str">
        <f>IF(Households!A65="","",Households!A65)</f>
        <v>HH-061</v>
      </c>
      <c r="B65" s="24" t="str">
        <f>IF($A65="","",Households!B65)</f>
        <v>Site B – School Shelter</v>
      </c>
      <c r="C65" s="24" t="str">
        <f>IF($A65="","",Households!X65)</f>
        <v>Low</v>
      </c>
      <c r="D65" s="24">
        <f>IF($A65="","",MAX(0,Households!H65*Settings!$B$9-Households!Q65))</f>
        <v>11</v>
      </c>
      <c r="E65" s="24">
        <f>IF($A65="","",SUMIFS(Assistance_Log!$F$5:$F$367,Assistance_Log!$C$5:$C$367,$A65,Assistance_Log!$E$5:$E$367,"Blankets",Assistance_Log!$B$5:$B$367,"&gt;="&amp;Households!F65))</f>
        <v>0</v>
      </c>
      <c r="F65" s="25">
        <f t="shared" si="12"/>
        <v>11</v>
      </c>
      <c r="G65" s="24">
        <f>IF($A65="","",MAX(0,Households!H65*Settings!$B$10-Households!R65))</f>
        <v>2</v>
      </c>
      <c r="H65" s="24">
        <f>IF($A65="","",SUMIFS(Assistance_Log!$F$5:$F$367,Assistance_Log!$C$5:$C$367,$A65,Assistance_Log!$E$5:$E$367,"Mattresses",Assistance_Log!$B$5:$B$367,"&gt;="&amp;Households!F65))</f>
        <v>0</v>
      </c>
      <c r="I65" s="25">
        <f t="shared" si="13"/>
        <v>2</v>
      </c>
      <c r="J65" s="24">
        <f>IF($A65="","",IF(AND(OR(Households!C65="Tent",Households!C65="Makeshift shelter"),Households!D65="Damaged"),Settings!$B$11,0))</f>
        <v>0</v>
      </c>
      <c r="K65" s="24">
        <f>IF($A65="","",SUMIFS(Assistance_Log!$F$5:$F$367,Assistance_Log!$C$5:$C$367,$A65,Assistance_Log!$E$5:$E$367,"Tarpaulins",Assistance_Log!$B$5:$B$367,"&gt;="&amp;Households!F65))</f>
        <v>0</v>
      </c>
      <c r="L65" s="25">
        <f t="shared" si="14"/>
        <v>0</v>
      </c>
      <c r="M65" s="24">
        <f>IF($A65="","",IF(AND(OR(Households!C65="Tent",Households!C65="Makeshift shelter"),Households!D65="Unusable"),Settings!$B$12,0))</f>
        <v>0</v>
      </c>
      <c r="N65" s="24">
        <f>IF($A65="","",SUMIFS(Assistance_Log!$F$5:$F$367,Assistance_Log!$C$5:$C$367,$A65,Assistance_Log!$E$5:$E$367,"Tent replacement",Assistance_Log!$B$5:$B$367,"&gt;="&amp;Households!F65))</f>
        <v>0</v>
      </c>
      <c r="O65" s="25">
        <f t="shared" si="15"/>
        <v>0</v>
      </c>
      <c r="P65" s="24">
        <f>IF($A65="","",IF(Households!D65="Damaged",Settings!$B$13,0))</f>
        <v>1</v>
      </c>
      <c r="Q65" s="24">
        <f>IF($A65="","",SUMIFS(Assistance_Log!$F$5:$F$367,Assistance_Log!$C$5:$C$367,$A65,Assistance_Log!$E$5:$E$367,"Shelter repair kits",Assistance_Log!$B$5:$B$367,"&gt;="&amp;Households!F65))</f>
        <v>1</v>
      </c>
      <c r="R65" s="24">
        <f t="shared" si="16"/>
        <v>0</v>
      </c>
      <c r="S65" s="24">
        <f>IF($A65="","",Households!S65*Settings!$B$14)</f>
        <v>0</v>
      </c>
      <c r="T65" s="24">
        <f>IF($A65="","",SUMIFS(Assistance_Log!$F$5:$F$367,Assistance_Log!$C$5:$C$367,$A65,Assistance_Log!$E$5:$E$367,"Winter clothing – children",Assistance_Log!$B$5:$B$367,"&gt;="&amp;Households!F65))</f>
        <v>0</v>
      </c>
      <c r="U65" s="24">
        <f t="shared" si="17"/>
        <v>0</v>
      </c>
      <c r="V65" s="24">
        <f>IF($A65="","",Households!T65*Settings!$B$14)</f>
        <v>1</v>
      </c>
      <c r="W65" s="24">
        <f>IF($A65="","",SUMIFS(Assistance_Log!$F$5:$F$367,Assistance_Log!$C$5:$C$367,$A65,Assistance_Log!$E$5:$E$367,"Winter clothing – adults",Assistance_Log!$B$5:$B$367,"&gt;="&amp;Households!F65))</f>
        <v>1</v>
      </c>
      <c r="X65" s="24">
        <f t="shared" si="18"/>
        <v>0</v>
      </c>
      <c r="Y65" s="24">
        <f>IF($A65="","",Households!J65*Settings!$B$15)</f>
        <v>0</v>
      </c>
      <c r="Z65" s="24">
        <f>IF($A65="","",SUMIFS(Assistance_Log!$F$5:$F$367,Assistance_Log!$C$5:$C$367,$A65,Assistance_Log!$E$5:$E$367,"Diapers",Assistance_Log!$B$5:$B$367,"&gt;="&amp;Households!F65))</f>
        <v>0</v>
      </c>
      <c r="AA65" s="24">
        <f t="shared" si="19"/>
        <v>0</v>
      </c>
      <c r="AB65" s="24">
        <f>IF($A65="","",Settings!$B$16)</f>
        <v>1</v>
      </c>
      <c r="AC65" s="24">
        <f>IF($A65="","",SUMIFS(Assistance_Log!$F$5:$F$367,Assistance_Log!$C$5:$C$367,$A65,Assistance_Log!$E$5:$E$367,"Family hygiene kits",Assistance_Log!$B$5:$B$367,"&gt;="&amp;Households!F65))</f>
        <v>1</v>
      </c>
      <c r="AD65" s="24">
        <f t="shared" si="20"/>
        <v>0</v>
      </c>
      <c r="AE65" s="24">
        <f>IF($A65="","",Households!N65*Settings!$B$17)</f>
        <v>2</v>
      </c>
      <c r="AF65" s="24">
        <f>IF($A65="","",SUMIFS(Assistance_Log!$F$5:$F$367,Assistance_Log!$C$5:$C$367,$A65,Assistance_Log!$E$5:$E$367,"Menstrual hygiene kits",Assistance_Log!$B$5:$B$367,"&gt;="&amp;Households!F65))</f>
        <v>0</v>
      </c>
      <c r="AG65" s="24">
        <f t="shared" si="21"/>
        <v>2</v>
      </c>
      <c r="AH65" s="25" t="str">
        <f t="shared" si="22"/>
        <v>Yes</v>
      </c>
      <c r="AI65" s="24">
        <f t="shared" si="23"/>
        <v>3</v>
      </c>
    </row>
    <row r="66" spans="1:35" x14ac:dyDescent="0.3">
      <c r="A66" s="24" t="str">
        <f>IF(Households!A66="","",Households!A66)</f>
        <v>HH-062</v>
      </c>
      <c r="B66" s="24" t="str">
        <f>IF($A66="","",Households!B66)</f>
        <v>Site B – School Shelter</v>
      </c>
      <c r="C66" s="24" t="str">
        <f>IF($A66="","",Households!X66)</f>
        <v>Low</v>
      </c>
      <c r="D66" s="24">
        <f>IF($A66="","",MAX(0,Households!H66*Settings!$B$9-Households!Q66))</f>
        <v>14</v>
      </c>
      <c r="E66" s="24">
        <f>IF($A66="","",SUMIFS(Assistance_Log!$F$5:$F$367,Assistance_Log!$C$5:$C$367,$A66,Assistance_Log!$E$5:$E$367,"Blankets",Assistance_Log!$B$5:$B$367,"&gt;="&amp;Households!F66))</f>
        <v>14</v>
      </c>
      <c r="F66" s="25">
        <f t="shared" si="12"/>
        <v>0</v>
      </c>
      <c r="G66" s="24">
        <f>IF($A66="","",MAX(0,Households!H66*Settings!$B$10-Households!R66))</f>
        <v>1</v>
      </c>
      <c r="H66" s="24">
        <f>IF($A66="","",SUMIFS(Assistance_Log!$F$5:$F$367,Assistance_Log!$C$5:$C$367,$A66,Assistance_Log!$E$5:$E$367,"Mattresses",Assistance_Log!$B$5:$B$367,"&gt;="&amp;Households!F66))</f>
        <v>0</v>
      </c>
      <c r="I66" s="25">
        <f t="shared" si="13"/>
        <v>1</v>
      </c>
      <c r="J66" s="24">
        <f>IF($A66="","",IF(AND(OR(Households!C66="Tent",Households!C66="Makeshift shelter"),Households!D66="Damaged"),Settings!$B$11,0))</f>
        <v>0</v>
      </c>
      <c r="K66" s="24">
        <f>IF($A66="","",SUMIFS(Assistance_Log!$F$5:$F$367,Assistance_Log!$C$5:$C$367,$A66,Assistance_Log!$E$5:$E$367,"Tarpaulins",Assistance_Log!$B$5:$B$367,"&gt;="&amp;Households!F66))</f>
        <v>0</v>
      </c>
      <c r="L66" s="25">
        <f t="shared" si="14"/>
        <v>0</v>
      </c>
      <c r="M66" s="24">
        <f>IF($A66="","",IF(AND(OR(Households!C66="Tent",Households!C66="Makeshift shelter"),Households!D66="Unusable"),Settings!$B$12,0))</f>
        <v>0</v>
      </c>
      <c r="N66" s="24">
        <f>IF($A66="","",SUMIFS(Assistance_Log!$F$5:$F$367,Assistance_Log!$C$5:$C$367,$A66,Assistance_Log!$E$5:$E$367,"Tent replacement",Assistance_Log!$B$5:$B$367,"&gt;="&amp;Households!F66))</f>
        <v>0</v>
      </c>
      <c r="O66" s="25">
        <f t="shared" si="15"/>
        <v>0</v>
      </c>
      <c r="P66" s="24">
        <f>IF($A66="","",IF(Households!D66="Damaged",Settings!$B$13,0))</f>
        <v>0</v>
      </c>
      <c r="Q66" s="24">
        <f>IF($A66="","",SUMIFS(Assistance_Log!$F$5:$F$367,Assistance_Log!$C$5:$C$367,$A66,Assistance_Log!$E$5:$E$367,"Shelter repair kits",Assistance_Log!$B$5:$B$367,"&gt;="&amp;Households!F66))</f>
        <v>0</v>
      </c>
      <c r="R66" s="24">
        <f t="shared" si="16"/>
        <v>0</v>
      </c>
      <c r="S66" s="24">
        <f>IF($A66="","",Households!S66*Settings!$B$14)</f>
        <v>1</v>
      </c>
      <c r="T66" s="24">
        <f>IF($A66="","",SUMIFS(Assistance_Log!$F$5:$F$367,Assistance_Log!$C$5:$C$367,$A66,Assistance_Log!$E$5:$E$367,"Winter clothing – children",Assistance_Log!$B$5:$B$367,"&gt;="&amp;Households!F66))</f>
        <v>1</v>
      </c>
      <c r="U66" s="24">
        <f t="shared" si="17"/>
        <v>0</v>
      </c>
      <c r="V66" s="24">
        <f>IF($A66="","",Households!T66*Settings!$B$14)</f>
        <v>2</v>
      </c>
      <c r="W66" s="24">
        <f>IF($A66="","",SUMIFS(Assistance_Log!$F$5:$F$367,Assistance_Log!$C$5:$C$367,$A66,Assistance_Log!$E$5:$E$367,"Winter clothing – adults",Assistance_Log!$B$5:$B$367,"&gt;="&amp;Households!F66))</f>
        <v>2</v>
      </c>
      <c r="X66" s="24">
        <f t="shared" si="18"/>
        <v>0</v>
      </c>
      <c r="Y66" s="24">
        <f>IF($A66="","",Households!J66*Settings!$B$15)</f>
        <v>0</v>
      </c>
      <c r="Z66" s="24">
        <f>IF($A66="","",SUMIFS(Assistance_Log!$F$5:$F$367,Assistance_Log!$C$5:$C$367,$A66,Assistance_Log!$E$5:$E$367,"Diapers",Assistance_Log!$B$5:$B$367,"&gt;="&amp;Households!F66))</f>
        <v>0</v>
      </c>
      <c r="AA66" s="24">
        <f t="shared" si="19"/>
        <v>0</v>
      </c>
      <c r="AB66" s="24">
        <f>IF($A66="","",Settings!$B$16)</f>
        <v>1</v>
      </c>
      <c r="AC66" s="24">
        <f>IF($A66="","",SUMIFS(Assistance_Log!$F$5:$F$367,Assistance_Log!$C$5:$C$367,$A66,Assistance_Log!$E$5:$E$367,"Family hygiene kits",Assistance_Log!$B$5:$B$367,"&gt;="&amp;Households!F66))</f>
        <v>1</v>
      </c>
      <c r="AD66" s="24">
        <f t="shared" si="20"/>
        <v>0</v>
      </c>
      <c r="AE66" s="24">
        <f>IF($A66="","",Households!N66*Settings!$B$17)</f>
        <v>3</v>
      </c>
      <c r="AF66" s="24">
        <f>IF($A66="","",SUMIFS(Assistance_Log!$F$5:$F$367,Assistance_Log!$C$5:$C$367,$A66,Assistance_Log!$E$5:$E$367,"Menstrual hygiene kits",Assistance_Log!$B$5:$B$367,"&gt;="&amp;Households!F66))</f>
        <v>0</v>
      </c>
      <c r="AG66" s="24">
        <f t="shared" si="21"/>
        <v>3</v>
      </c>
      <c r="AH66" s="25" t="str">
        <f t="shared" si="22"/>
        <v>Yes</v>
      </c>
      <c r="AI66" s="24">
        <f t="shared" si="23"/>
        <v>2</v>
      </c>
    </row>
    <row r="67" spans="1:35" x14ac:dyDescent="0.3">
      <c r="A67" s="24" t="str">
        <f>IF(Households!A67="","",Households!A67)</f>
        <v>HH-063</v>
      </c>
      <c r="B67" s="24" t="str">
        <f>IF($A67="","",Households!B67)</f>
        <v>Site B – School Shelter</v>
      </c>
      <c r="C67" s="24" t="str">
        <f>IF($A67="","",Households!X67)</f>
        <v>High</v>
      </c>
      <c r="D67" s="24">
        <f>IF($A67="","",MAX(0,Households!H67*Settings!$B$9-Households!Q67))</f>
        <v>5</v>
      </c>
      <c r="E67" s="24">
        <f>IF($A67="","",SUMIFS(Assistance_Log!$F$5:$F$367,Assistance_Log!$C$5:$C$367,$A67,Assistance_Log!$E$5:$E$367,"Blankets",Assistance_Log!$B$5:$B$367,"&gt;="&amp;Households!F67))</f>
        <v>0</v>
      </c>
      <c r="F67" s="25">
        <f t="shared" si="12"/>
        <v>5</v>
      </c>
      <c r="G67" s="24">
        <f>IF($A67="","",MAX(0,Households!H67*Settings!$B$10-Households!R67))</f>
        <v>0</v>
      </c>
      <c r="H67" s="24">
        <f>IF($A67="","",SUMIFS(Assistance_Log!$F$5:$F$367,Assistance_Log!$C$5:$C$367,$A67,Assistance_Log!$E$5:$E$367,"Mattresses",Assistance_Log!$B$5:$B$367,"&gt;="&amp;Households!F67))</f>
        <v>0</v>
      </c>
      <c r="I67" s="25">
        <f t="shared" si="13"/>
        <v>0</v>
      </c>
      <c r="J67" s="24">
        <f>IF($A67="","",IF(AND(OR(Households!C67="Tent",Households!C67="Makeshift shelter"),Households!D67="Damaged"),Settings!$B$11,0))</f>
        <v>0</v>
      </c>
      <c r="K67" s="24">
        <f>IF($A67="","",SUMIFS(Assistance_Log!$F$5:$F$367,Assistance_Log!$C$5:$C$367,$A67,Assistance_Log!$E$5:$E$367,"Tarpaulins",Assistance_Log!$B$5:$B$367,"&gt;="&amp;Households!F67))</f>
        <v>0</v>
      </c>
      <c r="L67" s="25">
        <f t="shared" si="14"/>
        <v>0</v>
      </c>
      <c r="M67" s="24">
        <f>IF($A67="","",IF(AND(OR(Households!C67="Tent",Households!C67="Makeshift shelter"),Households!D67="Unusable"),Settings!$B$12,0))</f>
        <v>0</v>
      </c>
      <c r="N67" s="24">
        <f>IF($A67="","",SUMIFS(Assistance_Log!$F$5:$F$367,Assistance_Log!$C$5:$C$367,$A67,Assistance_Log!$E$5:$E$367,"Tent replacement",Assistance_Log!$B$5:$B$367,"&gt;="&amp;Households!F67))</f>
        <v>0</v>
      </c>
      <c r="O67" s="25">
        <f t="shared" si="15"/>
        <v>0</v>
      </c>
      <c r="P67" s="24">
        <f>IF($A67="","",IF(Households!D67="Damaged",Settings!$B$13,0))</f>
        <v>0</v>
      </c>
      <c r="Q67" s="24">
        <f>IF($A67="","",SUMIFS(Assistance_Log!$F$5:$F$367,Assistance_Log!$C$5:$C$367,$A67,Assistance_Log!$E$5:$E$367,"Shelter repair kits",Assistance_Log!$B$5:$B$367,"&gt;="&amp;Households!F67))</f>
        <v>0</v>
      </c>
      <c r="R67" s="24">
        <f t="shared" si="16"/>
        <v>0</v>
      </c>
      <c r="S67" s="24">
        <f>IF($A67="","",Households!S67*Settings!$B$14)</f>
        <v>0</v>
      </c>
      <c r="T67" s="24">
        <f>IF($A67="","",SUMIFS(Assistance_Log!$F$5:$F$367,Assistance_Log!$C$5:$C$367,$A67,Assistance_Log!$E$5:$E$367,"Winter clothing – children",Assistance_Log!$B$5:$B$367,"&gt;="&amp;Households!F67))</f>
        <v>0</v>
      </c>
      <c r="U67" s="24">
        <f t="shared" si="17"/>
        <v>0</v>
      </c>
      <c r="V67" s="24">
        <f>IF($A67="","",Households!T67*Settings!$B$14)</f>
        <v>0</v>
      </c>
      <c r="W67" s="24">
        <f>IF($A67="","",SUMIFS(Assistance_Log!$F$5:$F$367,Assistance_Log!$C$5:$C$367,$A67,Assistance_Log!$E$5:$E$367,"Winter clothing – adults",Assistance_Log!$B$5:$B$367,"&gt;="&amp;Households!F67))</f>
        <v>0</v>
      </c>
      <c r="X67" s="24">
        <f t="shared" si="18"/>
        <v>0</v>
      </c>
      <c r="Y67" s="24">
        <f>IF($A67="","",Households!J67*Settings!$B$15)</f>
        <v>4</v>
      </c>
      <c r="Z67" s="24">
        <f>IF($A67="","",SUMIFS(Assistance_Log!$F$5:$F$367,Assistance_Log!$C$5:$C$367,$A67,Assistance_Log!$E$5:$E$367,"Diapers",Assistance_Log!$B$5:$B$367,"&gt;="&amp;Households!F67))</f>
        <v>0</v>
      </c>
      <c r="AA67" s="24">
        <f t="shared" si="19"/>
        <v>4</v>
      </c>
      <c r="AB67" s="24">
        <f>IF($A67="","",Settings!$B$16)</f>
        <v>1</v>
      </c>
      <c r="AC67" s="24">
        <f>IF($A67="","",SUMIFS(Assistance_Log!$F$5:$F$367,Assistance_Log!$C$5:$C$367,$A67,Assistance_Log!$E$5:$E$367,"Family hygiene kits",Assistance_Log!$B$5:$B$367,"&gt;="&amp;Households!F67))</f>
        <v>1</v>
      </c>
      <c r="AD67" s="24">
        <f t="shared" si="20"/>
        <v>0</v>
      </c>
      <c r="AE67" s="24">
        <f>IF($A67="","",Households!N67*Settings!$B$17)</f>
        <v>1</v>
      </c>
      <c r="AF67" s="24">
        <f>IF($A67="","",SUMIFS(Assistance_Log!$F$5:$F$367,Assistance_Log!$C$5:$C$367,$A67,Assistance_Log!$E$5:$E$367,"Menstrual hygiene kits",Assistance_Log!$B$5:$B$367,"&gt;="&amp;Households!F67))</f>
        <v>0</v>
      </c>
      <c r="AG67" s="24">
        <f t="shared" si="21"/>
        <v>1</v>
      </c>
      <c r="AH67" s="25" t="str">
        <f t="shared" si="22"/>
        <v>Yes</v>
      </c>
      <c r="AI67" s="24">
        <f t="shared" si="23"/>
        <v>3</v>
      </c>
    </row>
    <row r="68" spans="1:35" x14ac:dyDescent="0.3">
      <c r="A68" s="24" t="str">
        <f>IF(Households!A68="","",Households!A68)</f>
        <v>HH-064</v>
      </c>
      <c r="B68" s="24" t="str">
        <f>IF($A68="","",Households!B68)</f>
        <v>Site B – School Shelter</v>
      </c>
      <c r="C68" s="24" t="str">
        <f>IF($A68="","",Households!X68)</f>
        <v>High</v>
      </c>
      <c r="D68" s="24">
        <f>IF($A68="","",MAX(0,Households!H68*Settings!$B$9-Households!Q68))</f>
        <v>6</v>
      </c>
      <c r="E68" s="24">
        <f>IF($A68="","",SUMIFS(Assistance_Log!$F$5:$F$367,Assistance_Log!$C$5:$C$367,$A68,Assistance_Log!$E$5:$E$367,"Blankets",Assistance_Log!$B$5:$B$367,"&gt;="&amp;Households!F68))</f>
        <v>0</v>
      </c>
      <c r="F68" s="25">
        <f t="shared" si="12"/>
        <v>6</v>
      </c>
      <c r="G68" s="24">
        <f>IF($A68="","",MAX(0,Households!H68*Settings!$B$10-Households!R68))</f>
        <v>2</v>
      </c>
      <c r="H68" s="24">
        <f>IF($A68="","",SUMIFS(Assistance_Log!$F$5:$F$367,Assistance_Log!$C$5:$C$367,$A68,Assistance_Log!$E$5:$E$367,"Mattresses",Assistance_Log!$B$5:$B$367,"&gt;="&amp;Households!F68))</f>
        <v>1</v>
      </c>
      <c r="I68" s="25">
        <f t="shared" si="13"/>
        <v>1</v>
      </c>
      <c r="J68" s="24">
        <f>IF($A68="","",IF(AND(OR(Households!C68="Tent",Households!C68="Makeshift shelter"),Households!D68="Damaged"),Settings!$B$11,0))</f>
        <v>0</v>
      </c>
      <c r="K68" s="24">
        <f>IF($A68="","",SUMIFS(Assistance_Log!$F$5:$F$367,Assistance_Log!$C$5:$C$367,$A68,Assistance_Log!$E$5:$E$367,"Tarpaulins",Assistance_Log!$B$5:$B$367,"&gt;="&amp;Households!F68))</f>
        <v>0</v>
      </c>
      <c r="L68" s="25">
        <f t="shared" si="14"/>
        <v>0</v>
      </c>
      <c r="M68" s="24">
        <f>IF($A68="","",IF(AND(OR(Households!C68="Tent",Households!C68="Makeshift shelter"),Households!D68="Unusable"),Settings!$B$12,0))</f>
        <v>0</v>
      </c>
      <c r="N68" s="24">
        <f>IF($A68="","",SUMIFS(Assistance_Log!$F$5:$F$367,Assistance_Log!$C$5:$C$367,$A68,Assistance_Log!$E$5:$E$367,"Tent replacement",Assistance_Log!$B$5:$B$367,"&gt;="&amp;Households!F68))</f>
        <v>0</v>
      </c>
      <c r="O68" s="25">
        <f t="shared" si="15"/>
        <v>0</v>
      </c>
      <c r="P68" s="24">
        <f>IF($A68="","",IF(Households!D68="Damaged",Settings!$B$13,0))</f>
        <v>0</v>
      </c>
      <c r="Q68" s="24">
        <f>IF($A68="","",SUMIFS(Assistance_Log!$F$5:$F$367,Assistance_Log!$C$5:$C$367,$A68,Assistance_Log!$E$5:$E$367,"Shelter repair kits",Assistance_Log!$B$5:$B$367,"&gt;="&amp;Households!F68))</f>
        <v>0</v>
      </c>
      <c r="R68" s="24">
        <f t="shared" si="16"/>
        <v>0</v>
      </c>
      <c r="S68" s="24">
        <f>IF($A68="","",Households!S68*Settings!$B$14)</f>
        <v>1</v>
      </c>
      <c r="T68" s="24">
        <f>IF($A68="","",SUMIFS(Assistance_Log!$F$5:$F$367,Assistance_Log!$C$5:$C$367,$A68,Assistance_Log!$E$5:$E$367,"Winter clothing – children",Assistance_Log!$B$5:$B$367,"&gt;="&amp;Households!F68))</f>
        <v>0</v>
      </c>
      <c r="U68" s="24">
        <f t="shared" si="17"/>
        <v>1</v>
      </c>
      <c r="V68" s="24">
        <f>IF($A68="","",Households!T68*Settings!$B$14)</f>
        <v>2</v>
      </c>
      <c r="W68" s="24">
        <f>IF($A68="","",SUMIFS(Assistance_Log!$F$5:$F$367,Assistance_Log!$C$5:$C$367,$A68,Assistance_Log!$E$5:$E$367,"Winter clothing – adults",Assistance_Log!$B$5:$B$367,"&gt;="&amp;Households!F68))</f>
        <v>0</v>
      </c>
      <c r="X68" s="24">
        <f t="shared" si="18"/>
        <v>2</v>
      </c>
      <c r="Y68" s="24">
        <f>IF($A68="","",Households!J68*Settings!$B$15)</f>
        <v>4</v>
      </c>
      <c r="Z68" s="24">
        <f>IF($A68="","",SUMIFS(Assistance_Log!$F$5:$F$367,Assistance_Log!$C$5:$C$367,$A68,Assistance_Log!$E$5:$E$367,"Diapers",Assistance_Log!$B$5:$B$367,"&gt;="&amp;Households!F68))</f>
        <v>3</v>
      </c>
      <c r="AA68" s="24">
        <f t="shared" si="19"/>
        <v>1</v>
      </c>
      <c r="AB68" s="24">
        <f>IF($A68="","",Settings!$B$16)</f>
        <v>1</v>
      </c>
      <c r="AC68" s="24">
        <f>IF($A68="","",SUMIFS(Assistance_Log!$F$5:$F$367,Assistance_Log!$C$5:$C$367,$A68,Assistance_Log!$E$5:$E$367,"Family hygiene kits",Assistance_Log!$B$5:$B$367,"&gt;="&amp;Households!F68))</f>
        <v>1</v>
      </c>
      <c r="AD68" s="24">
        <f t="shared" si="20"/>
        <v>0</v>
      </c>
      <c r="AE68" s="24">
        <f>IF($A68="","",Households!N68*Settings!$B$17)</f>
        <v>1</v>
      </c>
      <c r="AF68" s="24">
        <f>IF($A68="","",SUMIFS(Assistance_Log!$F$5:$F$367,Assistance_Log!$C$5:$C$367,$A68,Assistance_Log!$E$5:$E$367,"Menstrual hygiene kits",Assistance_Log!$B$5:$B$367,"&gt;="&amp;Households!F68))</f>
        <v>0</v>
      </c>
      <c r="AG68" s="24">
        <f t="shared" si="21"/>
        <v>1</v>
      </c>
      <c r="AH68" s="25" t="str">
        <f t="shared" si="22"/>
        <v>Yes</v>
      </c>
      <c r="AI68" s="24">
        <f t="shared" si="23"/>
        <v>6</v>
      </c>
    </row>
    <row r="69" spans="1:35" x14ac:dyDescent="0.3">
      <c r="A69" s="24" t="str">
        <f>IF(Households!A69="","",Households!A69)</f>
        <v>HH-065</v>
      </c>
      <c r="B69" s="24" t="str">
        <f>IF($A69="","",Households!B69)</f>
        <v>Site C – Informal Tent Area</v>
      </c>
      <c r="C69" s="24" t="str">
        <f>IF($A69="","",Households!X69)</f>
        <v>Low</v>
      </c>
      <c r="D69" s="24">
        <f>IF($A69="","",MAX(0,Households!H69*Settings!$B$9-Households!Q69))</f>
        <v>8</v>
      </c>
      <c r="E69" s="24">
        <f>IF($A69="","",SUMIFS(Assistance_Log!$F$5:$F$367,Assistance_Log!$C$5:$C$367,$A69,Assistance_Log!$E$5:$E$367,"Blankets",Assistance_Log!$B$5:$B$367,"&gt;="&amp;Households!F69))</f>
        <v>7</v>
      </c>
      <c r="F69" s="25">
        <f t="shared" ref="F69:F100" si="24">IF($A69="","",MAX(0,D69-E69))</f>
        <v>1</v>
      </c>
      <c r="G69" s="24">
        <f>IF($A69="","",MAX(0,Households!H69*Settings!$B$10-Households!R69))</f>
        <v>0</v>
      </c>
      <c r="H69" s="24">
        <f>IF($A69="","",SUMIFS(Assistance_Log!$F$5:$F$367,Assistance_Log!$C$5:$C$367,$A69,Assistance_Log!$E$5:$E$367,"Mattresses",Assistance_Log!$B$5:$B$367,"&gt;="&amp;Households!F69))</f>
        <v>0</v>
      </c>
      <c r="I69" s="25">
        <f t="shared" ref="I69:I100" si="25">IF($A69="","",MAX(0,G69-H69))</f>
        <v>0</v>
      </c>
      <c r="J69" s="24">
        <f>IF($A69="","",IF(AND(OR(Households!C69="Tent",Households!C69="Makeshift shelter"),Households!D69="Damaged"),Settings!$B$11,0))</f>
        <v>2</v>
      </c>
      <c r="K69" s="24">
        <f>IF($A69="","",SUMIFS(Assistance_Log!$F$5:$F$367,Assistance_Log!$C$5:$C$367,$A69,Assistance_Log!$E$5:$E$367,"Tarpaulins",Assistance_Log!$B$5:$B$367,"&gt;="&amp;Households!F69))</f>
        <v>0</v>
      </c>
      <c r="L69" s="25">
        <f t="shared" ref="L69:L100" si="26">IF($A69="","",MAX(0,J69-K69))</f>
        <v>2</v>
      </c>
      <c r="M69" s="24">
        <f>IF($A69="","",IF(AND(OR(Households!C69="Tent",Households!C69="Makeshift shelter"),Households!D69="Unusable"),Settings!$B$12,0))</f>
        <v>0</v>
      </c>
      <c r="N69" s="24">
        <f>IF($A69="","",SUMIFS(Assistance_Log!$F$5:$F$367,Assistance_Log!$C$5:$C$367,$A69,Assistance_Log!$E$5:$E$367,"Tent replacement",Assistance_Log!$B$5:$B$367,"&gt;="&amp;Households!F69))</f>
        <v>0</v>
      </c>
      <c r="O69" s="25">
        <f t="shared" ref="O69:O100" si="27">IF($A69="","",MAX(0,M69-N69))</f>
        <v>0</v>
      </c>
      <c r="P69" s="24">
        <f>IF($A69="","",IF(Households!D69="Damaged",Settings!$B$13,0))</f>
        <v>1</v>
      </c>
      <c r="Q69" s="24">
        <f>IF($A69="","",SUMIFS(Assistance_Log!$F$5:$F$367,Assistance_Log!$C$5:$C$367,$A69,Assistance_Log!$E$5:$E$367,"Shelter repair kits",Assistance_Log!$B$5:$B$367,"&gt;="&amp;Households!F69))</f>
        <v>0</v>
      </c>
      <c r="R69" s="24">
        <f t="shared" ref="R69:R100" si="28">IF($A69="","",MAX(0,P69-Q69))</f>
        <v>1</v>
      </c>
      <c r="S69" s="24">
        <f>IF($A69="","",Households!S69*Settings!$B$14)</f>
        <v>1</v>
      </c>
      <c r="T69" s="24">
        <f>IF($A69="","",SUMIFS(Assistance_Log!$F$5:$F$367,Assistance_Log!$C$5:$C$367,$A69,Assistance_Log!$E$5:$E$367,"Winter clothing – children",Assistance_Log!$B$5:$B$367,"&gt;="&amp;Households!F69))</f>
        <v>0</v>
      </c>
      <c r="U69" s="24">
        <f t="shared" ref="U69:U100" si="29">IF($A69="","",MAX(0,S69-T69))</f>
        <v>1</v>
      </c>
      <c r="V69" s="24">
        <f>IF($A69="","",Households!T69*Settings!$B$14)</f>
        <v>1</v>
      </c>
      <c r="W69" s="24">
        <f>IF($A69="","",SUMIFS(Assistance_Log!$F$5:$F$367,Assistance_Log!$C$5:$C$367,$A69,Assistance_Log!$E$5:$E$367,"Winter clothing – adults",Assistance_Log!$B$5:$B$367,"&gt;="&amp;Households!F69))</f>
        <v>0</v>
      </c>
      <c r="X69" s="24">
        <f t="shared" ref="X69:X100" si="30">IF($A69="","",MAX(0,V69-W69))</f>
        <v>1</v>
      </c>
      <c r="Y69" s="24">
        <f>IF($A69="","",Households!J69*Settings!$B$15)</f>
        <v>0</v>
      </c>
      <c r="Z69" s="24">
        <f>IF($A69="","",SUMIFS(Assistance_Log!$F$5:$F$367,Assistance_Log!$C$5:$C$367,$A69,Assistance_Log!$E$5:$E$367,"Diapers",Assistance_Log!$B$5:$B$367,"&gt;="&amp;Households!F69))</f>
        <v>0</v>
      </c>
      <c r="AA69" s="24">
        <f t="shared" ref="AA69:AA100" si="31">IF($A69="","",MAX(0,Y69-Z69))</f>
        <v>0</v>
      </c>
      <c r="AB69" s="24">
        <f>IF($A69="","",Settings!$B$16)</f>
        <v>1</v>
      </c>
      <c r="AC69" s="24">
        <f>IF($A69="","",SUMIFS(Assistance_Log!$F$5:$F$367,Assistance_Log!$C$5:$C$367,$A69,Assistance_Log!$E$5:$E$367,"Family hygiene kits",Assistance_Log!$B$5:$B$367,"&gt;="&amp;Households!F69))</f>
        <v>0</v>
      </c>
      <c r="AD69" s="24">
        <f t="shared" ref="AD69:AD100" si="32">IF($A69="","",MAX(0,AB69-AC69))</f>
        <v>1</v>
      </c>
      <c r="AE69" s="24">
        <f>IF($A69="","",Households!N69*Settings!$B$17)</f>
        <v>1</v>
      </c>
      <c r="AF69" s="24">
        <f>IF($A69="","",SUMIFS(Assistance_Log!$F$5:$F$367,Assistance_Log!$C$5:$C$367,$A69,Assistance_Log!$E$5:$E$367,"Menstrual hygiene kits",Assistance_Log!$B$5:$B$367,"&gt;="&amp;Households!F69))</f>
        <v>1</v>
      </c>
      <c r="AG69" s="24">
        <f t="shared" ref="AG69:AG100" si="33">IF($A69="","",MAX(0,AE69-AF69))</f>
        <v>0</v>
      </c>
      <c r="AH69" s="25" t="str">
        <f t="shared" ref="AH69:AH100" si="34">IF($A69="","",IF(F69+I69+L69+O69+R69+U69+X69+AA69+AD69+AG69&gt;0,"Yes","No"))</f>
        <v>Yes</v>
      </c>
      <c r="AI69" s="24">
        <f t="shared" ref="AI69:AI100" si="35">IF($A69="","",(F69&gt;0)+(I69&gt;0)+(L69&gt;0)+(O69&gt;0)+(R69&gt;0)+(U69&gt;0)+(X69&gt;0)+(AA69&gt;0)+(AD69&gt;0)+(AG69&gt;0))</f>
        <v>6</v>
      </c>
    </row>
    <row r="70" spans="1:35" x14ac:dyDescent="0.3">
      <c r="A70" s="24" t="str">
        <f>IF(Households!A70="","",Households!A70)</f>
        <v>HH-066</v>
      </c>
      <c r="B70" s="24" t="str">
        <f>IF($A70="","",Households!B70)</f>
        <v>Site C – Informal Tent Area</v>
      </c>
      <c r="C70" s="24" t="str">
        <f>IF($A70="","",Households!X70)</f>
        <v>Low</v>
      </c>
      <c r="D70" s="24">
        <f>IF($A70="","",MAX(0,Households!H70*Settings!$B$9-Households!Q70))</f>
        <v>4</v>
      </c>
      <c r="E70" s="24">
        <f>IF($A70="","",SUMIFS(Assistance_Log!$F$5:$F$367,Assistance_Log!$C$5:$C$367,$A70,Assistance_Log!$E$5:$E$367,"Blankets",Assistance_Log!$B$5:$B$367,"&gt;="&amp;Households!F70))</f>
        <v>4</v>
      </c>
      <c r="F70" s="25">
        <f t="shared" si="24"/>
        <v>0</v>
      </c>
      <c r="G70" s="24">
        <f>IF($A70="","",MAX(0,Households!H70*Settings!$B$10-Households!R70))</f>
        <v>1</v>
      </c>
      <c r="H70" s="24">
        <f>IF($A70="","",SUMIFS(Assistance_Log!$F$5:$F$367,Assistance_Log!$C$5:$C$367,$A70,Assistance_Log!$E$5:$E$367,"Mattresses",Assistance_Log!$B$5:$B$367,"&gt;="&amp;Households!F70))</f>
        <v>1</v>
      </c>
      <c r="I70" s="25">
        <f t="shared" si="25"/>
        <v>0</v>
      </c>
      <c r="J70" s="24">
        <f>IF($A70="","",IF(AND(OR(Households!C70="Tent",Households!C70="Makeshift shelter"),Households!D70="Damaged"),Settings!$B$11,0))</f>
        <v>2</v>
      </c>
      <c r="K70" s="24">
        <f>IF($A70="","",SUMIFS(Assistance_Log!$F$5:$F$367,Assistance_Log!$C$5:$C$367,$A70,Assistance_Log!$E$5:$E$367,"Tarpaulins",Assistance_Log!$B$5:$B$367,"&gt;="&amp;Households!F70))</f>
        <v>0</v>
      </c>
      <c r="L70" s="25">
        <f t="shared" si="26"/>
        <v>2</v>
      </c>
      <c r="M70" s="24">
        <f>IF($A70="","",IF(AND(OR(Households!C70="Tent",Households!C70="Makeshift shelter"),Households!D70="Unusable"),Settings!$B$12,0))</f>
        <v>0</v>
      </c>
      <c r="N70" s="24">
        <f>IF($A70="","",SUMIFS(Assistance_Log!$F$5:$F$367,Assistance_Log!$C$5:$C$367,$A70,Assistance_Log!$E$5:$E$367,"Tent replacement",Assistance_Log!$B$5:$B$367,"&gt;="&amp;Households!F70))</f>
        <v>0</v>
      </c>
      <c r="O70" s="25">
        <f t="shared" si="27"/>
        <v>0</v>
      </c>
      <c r="P70" s="24">
        <f>IF($A70="","",IF(Households!D70="Damaged",Settings!$B$13,0))</f>
        <v>1</v>
      </c>
      <c r="Q70" s="24">
        <f>IF($A70="","",SUMIFS(Assistance_Log!$F$5:$F$367,Assistance_Log!$C$5:$C$367,$A70,Assistance_Log!$E$5:$E$367,"Shelter repair kits",Assistance_Log!$B$5:$B$367,"&gt;="&amp;Households!F70))</f>
        <v>0</v>
      </c>
      <c r="R70" s="24">
        <f t="shared" si="28"/>
        <v>1</v>
      </c>
      <c r="S70" s="24">
        <f>IF($A70="","",Households!S70*Settings!$B$14)</f>
        <v>1</v>
      </c>
      <c r="T70" s="24">
        <f>IF($A70="","",SUMIFS(Assistance_Log!$F$5:$F$367,Assistance_Log!$C$5:$C$367,$A70,Assistance_Log!$E$5:$E$367,"Winter clothing – children",Assistance_Log!$B$5:$B$367,"&gt;="&amp;Households!F70))</f>
        <v>0</v>
      </c>
      <c r="U70" s="24">
        <f t="shared" si="29"/>
        <v>1</v>
      </c>
      <c r="V70" s="24">
        <f>IF($A70="","",Households!T70*Settings!$B$14)</f>
        <v>0</v>
      </c>
      <c r="W70" s="24">
        <f>IF($A70="","",SUMIFS(Assistance_Log!$F$5:$F$367,Assistance_Log!$C$5:$C$367,$A70,Assistance_Log!$E$5:$E$367,"Winter clothing – adults",Assistance_Log!$B$5:$B$367,"&gt;="&amp;Households!F70))</f>
        <v>0</v>
      </c>
      <c r="X70" s="24">
        <f t="shared" si="30"/>
        <v>0</v>
      </c>
      <c r="Y70" s="24">
        <f>IF($A70="","",Households!J70*Settings!$B$15)</f>
        <v>0</v>
      </c>
      <c r="Z70" s="24">
        <f>IF($A70="","",SUMIFS(Assistance_Log!$F$5:$F$367,Assistance_Log!$C$5:$C$367,$A70,Assistance_Log!$E$5:$E$367,"Diapers",Assistance_Log!$B$5:$B$367,"&gt;="&amp;Households!F70))</f>
        <v>0</v>
      </c>
      <c r="AA70" s="24">
        <f t="shared" si="31"/>
        <v>0</v>
      </c>
      <c r="AB70" s="24">
        <f>IF($A70="","",Settings!$B$16)</f>
        <v>1</v>
      </c>
      <c r="AC70" s="24">
        <f>IF($A70="","",SUMIFS(Assistance_Log!$F$5:$F$367,Assistance_Log!$C$5:$C$367,$A70,Assistance_Log!$E$5:$E$367,"Family hygiene kits",Assistance_Log!$B$5:$B$367,"&gt;="&amp;Households!F70))</f>
        <v>1</v>
      </c>
      <c r="AD70" s="24">
        <f t="shared" si="32"/>
        <v>0</v>
      </c>
      <c r="AE70" s="24">
        <f>IF($A70="","",Households!N70*Settings!$B$17)</f>
        <v>2</v>
      </c>
      <c r="AF70" s="24">
        <f>IF($A70="","",SUMIFS(Assistance_Log!$F$5:$F$367,Assistance_Log!$C$5:$C$367,$A70,Assistance_Log!$E$5:$E$367,"Menstrual hygiene kits",Assistance_Log!$B$5:$B$367,"&gt;="&amp;Households!F70))</f>
        <v>0</v>
      </c>
      <c r="AG70" s="24">
        <f t="shared" si="33"/>
        <v>2</v>
      </c>
      <c r="AH70" s="25" t="str">
        <f t="shared" si="34"/>
        <v>Yes</v>
      </c>
      <c r="AI70" s="24">
        <f t="shared" si="35"/>
        <v>4</v>
      </c>
    </row>
    <row r="71" spans="1:35" x14ac:dyDescent="0.3">
      <c r="A71" s="24" t="str">
        <f>IF(Households!A71="","",Households!A71)</f>
        <v>HH-067</v>
      </c>
      <c r="B71" s="24" t="str">
        <f>IF($A71="","",Households!B71)</f>
        <v>Site C – Informal Tent Area</v>
      </c>
      <c r="C71" s="24" t="str">
        <f>IF($A71="","",Households!X71)</f>
        <v>Low</v>
      </c>
      <c r="D71" s="24">
        <f>IF($A71="","",MAX(0,Households!H71*Settings!$B$9-Households!Q71))</f>
        <v>12</v>
      </c>
      <c r="E71" s="24">
        <f>IF($A71="","",SUMIFS(Assistance_Log!$F$5:$F$367,Assistance_Log!$C$5:$C$367,$A71,Assistance_Log!$E$5:$E$367,"Blankets",Assistance_Log!$B$5:$B$367,"&gt;="&amp;Households!F71))</f>
        <v>0</v>
      </c>
      <c r="F71" s="25">
        <f t="shared" si="24"/>
        <v>12</v>
      </c>
      <c r="G71" s="24">
        <f>IF($A71="","",MAX(0,Households!H71*Settings!$B$10-Households!R71))</f>
        <v>6</v>
      </c>
      <c r="H71" s="24">
        <f>IF($A71="","",SUMIFS(Assistance_Log!$F$5:$F$367,Assistance_Log!$C$5:$C$367,$A71,Assistance_Log!$E$5:$E$367,"Mattresses",Assistance_Log!$B$5:$B$367,"&gt;="&amp;Households!F71))</f>
        <v>0</v>
      </c>
      <c r="I71" s="25">
        <f t="shared" si="25"/>
        <v>6</v>
      </c>
      <c r="J71" s="24">
        <f>IF($A71="","",IF(AND(OR(Households!C71="Tent",Households!C71="Makeshift shelter"),Households!D71="Damaged"),Settings!$B$11,0))</f>
        <v>0</v>
      </c>
      <c r="K71" s="24">
        <f>IF($A71="","",SUMIFS(Assistance_Log!$F$5:$F$367,Assistance_Log!$C$5:$C$367,$A71,Assistance_Log!$E$5:$E$367,"Tarpaulins",Assistance_Log!$B$5:$B$367,"&gt;="&amp;Households!F71))</f>
        <v>0</v>
      </c>
      <c r="L71" s="25">
        <f t="shared" si="26"/>
        <v>0</v>
      </c>
      <c r="M71" s="24">
        <f>IF($A71="","",IF(AND(OR(Households!C71="Tent",Households!C71="Makeshift shelter"),Households!D71="Unusable"),Settings!$B$12,0))</f>
        <v>0</v>
      </c>
      <c r="N71" s="24">
        <f>IF($A71="","",SUMIFS(Assistance_Log!$F$5:$F$367,Assistance_Log!$C$5:$C$367,$A71,Assistance_Log!$E$5:$E$367,"Tent replacement",Assistance_Log!$B$5:$B$367,"&gt;="&amp;Households!F71))</f>
        <v>0</v>
      </c>
      <c r="O71" s="25">
        <f t="shared" si="27"/>
        <v>0</v>
      </c>
      <c r="P71" s="24">
        <f>IF($A71="","",IF(Households!D71="Damaged",Settings!$B$13,0))</f>
        <v>0</v>
      </c>
      <c r="Q71" s="24">
        <f>IF($A71="","",SUMIFS(Assistance_Log!$F$5:$F$367,Assistance_Log!$C$5:$C$367,$A71,Assistance_Log!$E$5:$E$367,"Shelter repair kits",Assistance_Log!$B$5:$B$367,"&gt;="&amp;Households!F71))</f>
        <v>0</v>
      </c>
      <c r="R71" s="24">
        <f t="shared" si="28"/>
        <v>0</v>
      </c>
      <c r="S71" s="24">
        <f>IF($A71="","",Households!S71*Settings!$B$14)</f>
        <v>5</v>
      </c>
      <c r="T71" s="24">
        <f>IF($A71="","",SUMIFS(Assistance_Log!$F$5:$F$367,Assistance_Log!$C$5:$C$367,$A71,Assistance_Log!$E$5:$E$367,"Winter clothing – children",Assistance_Log!$B$5:$B$367,"&gt;="&amp;Households!F71))</f>
        <v>3</v>
      </c>
      <c r="U71" s="24">
        <f t="shared" si="29"/>
        <v>2</v>
      </c>
      <c r="V71" s="24">
        <f>IF($A71="","",Households!T71*Settings!$B$14)</f>
        <v>1</v>
      </c>
      <c r="W71" s="24">
        <f>IF($A71="","",SUMIFS(Assistance_Log!$F$5:$F$367,Assistance_Log!$C$5:$C$367,$A71,Assistance_Log!$E$5:$E$367,"Winter clothing – adults",Assistance_Log!$B$5:$B$367,"&gt;="&amp;Households!F71))</f>
        <v>0</v>
      </c>
      <c r="X71" s="24">
        <f t="shared" si="30"/>
        <v>1</v>
      </c>
      <c r="Y71" s="24">
        <f>IF($A71="","",Households!J71*Settings!$B$15)</f>
        <v>0</v>
      </c>
      <c r="Z71" s="24">
        <f>IF($A71="","",SUMIFS(Assistance_Log!$F$5:$F$367,Assistance_Log!$C$5:$C$367,$A71,Assistance_Log!$E$5:$E$367,"Diapers",Assistance_Log!$B$5:$B$367,"&gt;="&amp;Households!F71))</f>
        <v>0</v>
      </c>
      <c r="AA71" s="24">
        <f t="shared" si="31"/>
        <v>0</v>
      </c>
      <c r="AB71" s="24">
        <f>IF($A71="","",Settings!$B$16)</f>
        <v>1</v>
      </c>
      <c r="AC71" s="24">
        <f>IF($A71="","",SUMIFS(Assistance_Log!$F$5:$F$367,Assistance_Log!$C$5:$C$367,$A71,Assistance_Log!$E$5:$E$367,"Family hygiene kits",Assistance_Log!$B$5:$B$367,"&gt;="&amp;Households!F71))</f>
        <v>1</v>
      </c>
      <c r="AD71" s="24">
        <f t="shared" si="32"/>
        <v>0</v>
      </c>
      <c r="AE71" s="24">
        <f>IF($A71="","",Households!N71*Settings!$B$17)</f>
        <v>2</v>
      </c>
      <c r="AF71" s="24">
        <f>IF($A71="","",SUMIFS(Assistance_Log!$F$5:$F$367,Assistance_Log!$C$5:$C$367,$A71,Assistance_Log!$E$5:$E$367,"Menstrual hygiene kits",Assistance_Log!$B$5:$B$367,"&gt;="&amp;Households!F71))</f>
        <v>0</v>
      </c>
      <c r="AG71" s="24">
        <f t="shared" si="33"/>
        <v>2</v>
      </c>
      <c r="AH71" s="25" t="str">
        <f t="shared" si="34"/>
        <v>Yes</v>
      </c>
      <c r="AI71" s="24">
        <f t="shared" si="35"/>
        <v>5</v>
      </c>
    </row>
    <row r="72" spans="1:35" x14ac:dyDescent="0.3">
      <c r="A72" s="24" t="str">
        <f>IF(Households!A72="","",Households!A72)</f>
        <v>HH-068</v>
      </c>
      <c r="B72" s="24" t="str">
        <f>IF($A72="","",Households!B72)</f>
        <v>Site C – Informal Tent Area</v>
      </c>
      <c r="C72" s="24" t="str">
        <f>IF($A72="","",Households!X72)</f>
        <v>High</v>
      </c>
      <c r="D72" s="24">
        <f>IF($A72="","",MAX(0,Households!H72*Settings!$B$9-Households!Q72))</f>
        <v>6</v>
      </c>
      <c r="E72" s="24">
        <f>IF($A72="","",SUMIFS(Assistance_Log!$F$5:$F$367,Assistance_Log!$C$5:$C$367,$A72,Assistance_Log!$E$5:$E$367,"Blankets",Assistance_Log!$B$5:$B$367,"&gt;="&amp;Households!F72))</f>
        <v>0</v>
      </c>
      <c r="F72" s="25">
        <f t="shared" si="24"/>
        <v>6</v>
      </c>
      <c r="G72" s="24">
        <f>IF($A72="","",MAX(0,Households!H72*Settings!$B$10-Households!R72))</f>
        <v>3</v>
      </c>
      <c r="H72" s="24">
        <f>IF($A72="","",SUMIFS(Assistance_Log!$F$5:$F$367,Assistance_Log!$C$5:$C$367,$A72,Assistance_Log!$E$5:$E$367,"Mattresses",Assistance_Log!$B$5:$B$367,"&gt;="&amp;Households!F72))</f>
        <v>0</v>
      </c>
      <c r="I72" s="25">
        <f t="shared" si="25"/>
        <v>3</v>
      </c>
      <c r="J72" s="24">
        <f>IF($A72="","",IF(AND(OR(Households!C72="Tent",Households!C72="Makeshift shelter"),Households!D72="Damaged"),Settings!$B$11,0))</f>
        <v>2</v>
      </c>
      <c r="K72" s="24">
        <f>IF($A72="","",SUMIFS(Assistance_Log!$F$5:$F$367,Assistance_Log!$C$5:$C$367,$A72,Assistance_Log!$E$5:$E$367,"Tarpaulins",Assistance_Log!$B$5:$B$367,"&gt;="&amp;Households!F72))</f>
        <v>0</v>
      </c>
      <c r="L72" s="25">
        <f t="shared" si="26"/>
        <v>2</v>
      </c>
      <c r="M72" s="24">
        <f>IF($A72="","",IF(AND(OR(Households!C72="Tent",Households!C72="Makeshift shelter"),Households!D72="Unusable"),Settings!$B$12,0))</f>
        <v>0</v>
      </c>
      <c r="N72" s="24">
        <f>IF($A72="","",SUMIFS(Assistance_Log!$F$5:$F$367,Assistance_Log!$C$5:$C$367,$A72,Assistance_Log!$E$5:$E$367,"Tent replacement",Assistance_Log!$B$5:$B$367,"&gt;="&amp;Households!F72))</f>
        <v>0</v>
      </c>
      <c r="O72" s="25">
        <f t="shared" si="27"/>
        <v>0</v>
      </c>
      <c r="P72" s="24">
        <f>IF($A72="","",IF(Households!D72="Damaged",Settings!$B$13,0))</f>
        <v>1</v>
      </c>
      <c r="Q72" s="24">
        <f>IF($A72="","",SUMIFS(Assistance_Log!$F$5:$F$367,Assistance_Log!$C$5:$C$367,$A72,Assistance_Log!$E$5:$E$367,"Shelter repair kits",Assistance_Log!$B$5:$B$367,"&gt;="&amp;Households!F72))</f>
        <v>0</v>
      </c>
      <c r="R72" s="24">
        <f t="shared" si="28"/>
        <v>1</v>
      </c>
      <c r="S72" s="24">
        <f>IF($A72="","",Households!S72*Settings!$B$14)</f>
        <v>2</v>
      </c>
      <c r="T72" s="24">
        <f>IF($A72="","",SUMIFS(Assistance_Log!$F$5:$F$367,Assistance_Log!$C$5:$C$367,$A72,Assistance_Log!$E$5:$E$367,"Winter clothing – children",Assistance_Log!$B$5:$B$367,"&gt;="&amp;Households!F72))</f>
        <v>0</v>
      </c>
      <c r="U72" s="24">
        <f t="shared" si="29"/>
        <v>2</v>
      </c>
      <c r="V72" s="24">
        <f>IF($A72="","",Households!T72*Settings!$B$14)</f>
        <v>1</v>
      </c>
      <c r="W72" s="24">
        <f>IF($A72="","",SUMIFS(Assistance_Log!$F$5:$F$367,Assistance_Log!$C$5:$C$367,$A72,Assistance_Log!$E$5:$E$367,"Winter clothing – adults",Assistance_Log!$B$5:$B$367,"&gt;="&amp;Households!F72))</f>
        <v>0</v>
      </c>
      <c r="X72" s="24">
        <f t="shared" si="30"/>
        <v>1</v>
      </c>
      <c r="Y72" s="24">
        <f>IF($A72="","",Households!J72*Settings!$B$15)</f>
        <v>4</v>
      </c>
      <c r="Z72" s="24">
        <f>IF($A72="","",SUMIFS(Assistance_Log!$F$5:$F$367,Assistance_Log!$C$5:$C$367,$A72,Assistance_Log!$E$5:$E$367,"Diapers",Assistance_Log!$B$5:$B$367,"&gt;="&amp;Households!F72))</f>
        <v>0</v>
      </c>
      <c r="AA72" s="24">
        <f t="shared" si="31"/>
        <v>4</v>
      </c>
      <c r="AB72" s="24">
        <f>IF($A72="","",Settings!$B$16)</f>
        <v>1</v>
      </c>
      <c r="AC72" s="24">
        <f>IF($A72="","",SUMIFS(Assistance_Log!$F$5:$F$367,Assistance_Log!$C$5:$C$367,$A72,Assistance_Log!$E$5:$E$367,"Family hygiene kits",Assistance_Log!$B$5:$B$367,"&gt;="&amp;Households!F72))</f>
        <v>0</v>
      </c>
      <c r="AD72" s="24">
        <f t="shared" si="32"/>
        <v>1</v>
      </c>
      <c r="AE72" s="24">
        <f>IF($A72="","",Households!N72*Settings!$B$17)</f>
        <v>2</v>
      </c>
      <c r="AF72" s="24">
        <f>IF($A72="","",SUMIFS(Assistance_Log!$F$5:$F$367,Assistance_Log!$C$5:$C$367,$A72,Assistance_Log!$E$5:$E$367,"Menstrual hygiene kits",Assistance_Log!$B$5:$B$367,"&gt;="&amp;Households!F72))</f>
        <v>0</v>
      </c>
      <c r="AG72" s="24">
        <f t="shared" si="33"/>
        <v>2</v>
      </c>
      <c r="AH72" s="25" t="str">
        <f t="shared" si="34"/>
        <v>Yes</v>
      </c>
      <c r="AI72" s="24">
        <f t="shared" si="35"/>
        <v>9</v>
      </c>
    </row>
    <row r="73" spans="1:35" x14ac:dyDescent="0.3">
      <c r="A73" s="24" t="str">
        <f>IF(Households!A73="","",Households!A73)</f>
        <v>HH-069</v>
      </c>
      <c r="B73" s="24" t="str">
        <f>IF($A73="","",Households!B73)</f>
        <v>Site C – Informal Tent Area</v>
      </c>
      <c r="C73" s="24" t="str">
        <f>IF($A73="","",Households!X73)</f>
        <v>Low</v>
      </c>
      <c r="D73" s="24">
        <f>IF($A73="","",MAX(0,Households!H73*Settings!$B$9-Households!Q73))</f>
        <v>3</v>
      </c>
      <c r="E73" s="24">
        <f>IF($A73="","",SUMIFS(Assistance_Log!$F$5:$F$367,Assistance_Log!$C$5:$C$367,$A73,Assistance_Log!$E$5:$E$367,"Blankets",Assistance_Log!$B$5:$B$367,"&gt;="&amp;Households!F73))</f>
        <v>3</v>
      </c>
      <c r="F73" s="25">
        <f t="shared" si="24"/>
        <v>0</v>
      </c>
      <c r="G73" s="24">
        <f>IF($A73="","",MAX(0,Households!H73*Settings!$B$10-Households!R73))</f>
        <v>4</v>
      </c>
      <c r="H73" s="24">
        <f>IF($A73="","",SUMIFS(Assistance_Log!$F$5:$F$367,Assistance_Log!$C$5:$C$367,$A73,Assistance_Log!$E$5:$E$367,"Mattresses",Assistance_Log!$B$5:$B$367,"&gt;="&amp;Households!F73))</f>
        <v>0</v>
      </c>
      <c r="I73" s="25">
        <f t="shared" si="25"/>
        <v>4</v>
      </c>
      <c r="J73" s="24">
        <f>IF($A73="","",IF(AND(OR(Households!C73="Tent",Households!C73="Makeshift shelter"),Households!D73="Damaged"),Settings!$B$11,0))</f>
        <v>0</v>
      </c>
      <c r="K73" s="24">
        <f>IF($A73="","",SUMIFS(Assistance_Log!$F$5:$F$367,Assistance_Log!$C$5:$C$367,$A73,Assistance_Log!$E$5:$E$367,"Tarpaulins",Assistance_Log!$B$5:$B$367,"&gt;="&amp;Households!F73))</f>
        <v>0</v>
      </c>
      <c r="L73" s="25">
        <f t="shared" si="26"/>
        <v>0</v>
      </c>
      <c r="M73" s="24">
        <f>IF($A73="","",IF(AND(OR(Households!C73="Tent",Households!C73="Makeshift shelter"),Households!D73="Unusable"),Settings!$B$12,0))</f>
        <v>1</v>
      </c>
      <c r="N73" s="24">
        <f>IF($A73="","",SUMIFS(Assistance_Log!$F$5:$F$367,Assistance_Log!$C$5:$C$367,$A73,Assistance_Log!$E$5:$E$367,"Tent replacement",Assistance_Log!$B$5:$B$367,"&gt;="&amp;Households!F73))</f>
        <v>0</v>
      </c>
      <c r="O73" s="25">
        <f t="shared" si="27"/>
        <v>1</v>
      </c>
      <c r="P73" s="24">
        <f>IF($A73="","",IF(Households!D73="Damaged",Settings!$B$13,0))</f>
        <v>0</v>
      </c>
      <c r="Q73" s="24">
        <f>IF($A73="","",SUMIFS(Assistance_Log!$F$5:$F$367,Assistance_Log!$C$5:$C$367,$A73,Assistance_Log!$E$5:$E$367,"Shelter repair kits",Assistance_Log!$B$5:$B$367,"&gt;="&amp;Households!F73))</f>
        <v>0</v>
      </c>
      <c r="R73" s="24">
        <f t="shared" si="28"/>
        <v>0</v>
      </c>
      <c r="S73" s="24">
        <f>IF($A73="","",Households!S73*Settings!$B$14)</f>
        <v>4</v>
      </c>
      <c r="T73" s="24">
        <f>IF($A73="","",SUMIFS(Assistance_Log!$F$5:$F$367,Assistance_Log!$C$5:$C$367,$A73,Assistance_Log!$E$5:$E$367,"Winter clothing – children",Assistance_Log!$B$5:$B$367,"&gt;="&amp;Households!F73))</f>
        <v>0</v>
      </c>
      <c r="U73" s="24">
        <f t="shared" si="29"/>
        <v>4</v>
      </c>
      <c r="V73" s="24">
        <f>IF($A73="","",Households!T73*Settings!$B$14)</f>
        <v>2</v>
      </c>
      <c r="W73" s="24">
        <f>IF($A73="","",SUMIFS(Assistance_Log!$F$5:$F$367,Assistance_Log!$C$5:$C$367,$A73,Assistance_Log!$E$5:$E$367,"Winter clothing – adults",Assistance_Log!$B$5:$B$367,"&gt;="&amp;Households!F73))</f>
        <v>0</v>
      </c>
      <c r="X73" s="24">
        <f t="shared" si="30"/>
        <v>2</v>
      </c>
      <c r="Y73" s="24">
        <f>IF($A73="","",Households!J73*Settings!$B$15)</f>
        <v>0</v>
      </c>
      <c r="Z73" s="24">
        <f>IF($A73="","",SUMIFS(Assistance_Log!$F$5:$F$367,Assistance_Log!$C$5:$C$367,$A73,Assistance_Log!$E$5:$E$367,"Diapers",Assistance_Log!$B$5:$B$367,"&gt;="&amp;Households!F73))</f>
        <v>0</v>
      </c>
      <c r="AA73" s="24">
        <f t="shared" si="31"/>
        <v>0</v>
      </c>
      <c r="AB73" s="24">
        <f>IF($A73="","",Settings!$B$16)</f>
        <v>1</v>
      </c>
      <c r="AC73" s="24">
        <f>IF($A73="","",SUMIFS(Assistance_Log!$F$5:$F$367,Assistance_Log!$C$5:$C$367,$A73,Assistance_Log!$E$5:$E$367,"Family hygiene kits",Assistance_Log!$B$5:$B$367,"&gt;="&amp;Households!F73))</f>
        <v>0</v>
      </c>
      <c r="AD73" s="24">
        <f t="shared" si="32"/>
        <v>1</v>
      </c>
      <c r="AE73" s="24">
        <f>IF($A73="","",Households!N73*Settings!$B$17)</f>
        <v>2</v>
      </c>
      <c r="AF73" s="24">
        <f>IF($A73="","",SUMIFS(Assistance_Log!$F$5:$F$367,Assistance_Log!$C$5:$C$367,$A73,Assistance_Log!$E$5:$E$367,"Menstrual hygiene kits",Assistance_Log!$B$5:$B$367,"&gt;="&amp;Households!F73))</f>
        <v>0</v>
      </c>
      <c r="AG73" s="24">
        <f t="shared" si="33"/>
        <v>2</v>
      </c>
      <c r="AH73" s="25" t="str">
        <f t="shared" si="34"/>
        <v>Yes</v>
      </c>
      <c r="AI73" s="24">
        <f t="shared" si="35"/>
        <v>6</v>
      </c>
    </row>
    <row r="74" spans="1:35" x14ac:dyDescent="0.3">
      <c r="A74" s="24" t="str">
        <f>IF(Households!A74="","",Households!A74)</f>
        <v>HH-070</v>
      </c>
      <c r="B74" s="24" t="str">
        <f>IF($A74="","",Households!B74)</f>
        <v>Site C – Informal Tent Area</v>
      </c>
      <c r="C74" s="24" t="str">
        <f>IF($A74="","",Households!X74)</f>
        <v>High</v>
      </c>
      <c r="D74" s="24">
        <f>IF($A74="","",MAX(0,Households!H74*Settings!$B$9-Households!Q74))</f>
        <v>2</v>
      </c>
      <c r="E74" s="24">
        <f>IF($A74="","",SUMIFS(Assistance_Log!$F$5:$F$367,Assistance_Log!$C$5:$C$367,$A74,Assistance_Log!$E$5:$E$367,"Blankets",Assistance_Log!$B$5:$B$367,"&gt;="&amp;Households!F74))</f>
        <v>0</v>
      </c>
      <c r="F74" s="25">
        <f t="shared" si="24"/>
        <v>2</v>
      </c>
      <c r="G74" s="24">
        <f>IF($A74="","",MAX(0,Households!H74*Settings!$B$10-Households!R74))</f>
        <v>0</v>
      </c>
      <c r="H74" s="24">
        <f>IF($A74="","",SUMIFS(Assistance_Log!$F$5:$F$367,Assistance_Log!$C$5:$C$367,$A74,Assistance_Log!$E$5:$E$367,"Mattresses",Assistance_Log!$B$5:$B$367,"&gt;="&amp;Households!F74))</f>
        <v>0</v>
      </c>
      <c r="I74" s="25">
        <f t="shared" si="25"/>
        <v>0</v>
      </c>
      <c r="J74" s="24">
        <f>IF($A74="","",IF(AND(OR(Households!C74="Tent",Households!C74="Makeshift shelter"),Households!D74="Damaged"),Settings!$B$11,0))</f>
        <v>0</v>
      </c>
      <c r="K74" s="24">
        <f>IF($A74="","",SUMIFS(Assistance_Log!$F$5:$F$367,Assistance_Log!$C$5:$C$367,$A74,Assistance_Log!$E$5:$E$367,"Tarpaulins",Assistance_Log!$B$5:$B$367,"&gt;="&amp;Households!F74))</f>
        <v>0</v>
      </c>
      <c r="L74" s="25">
        <f t="shared" si="26"/>
        <v>0</v>
      </c>
      <c r="M74" s="24">
        <f>IF($A74="","",IF(AND(OR(Households!C74="Tent",Households!C74="Makeshift shelter"),Households!D74="Unusable"),Settings!$B$12,0))</f>
        <v>1</v>
      </c>
      <c r="N74" s="24">
        <f>IF($A74="","",SUMIFS(Assistance_Log!$F$5:$F$367,Assistance_Log!$C$5:$C$367,$A74,Assistance_Log!$E$5:$E$367,"Tent replacement",Assistance_Log!$B$5:$B$367,"&gt;="&amp;Households!F74))</f>
        <v>0</v>
      </c>
      <c r="O74" s="25">
        <f t="shared" si="27"/>
        <v>1</v>
      </c>
      <c r="P74" s="24">
        <f>IF($A74="","",IF(Households!D74="Damaged",Settings!$B$13,0))</f>
        <v>0</v>
      </c>
      <c r="Q74" s="24">
        <f>IF($A74="","",SUMIFS(Assistance_Log!$F$5:$F$367,Assistance_Log!$C$5:$C$367,$A74,Assistance_Log!$E$5:$E$367,"Shelter repair kits",Assistance_Log!$B$5:$B$367,"&gt;="&amp;Households!F74))</f>
        <v>0</v>
      </c>
      <c r="R74" s="24">
        <f t="shared" si="28"/>
        <v>0</v>
      </c>
      <c r="S74" s="24">
        <f>IF($A74="","",Households!S74*Settings!$B$14)</f>
        <v>0</v>
      </c>
      <c r="T74" s="24">
        <f>IF($A74="","",SUMIFS(Assistance_Log!$F$5:$F$367,Assistance_Log!$C$5:$C$367,$A74,Assistance_Log!$E$5:$E$367,"Winter clothing – children",Assistance_Log!$B$5:$B$367,"&gt;="&amp;Households!F74))</f>
        <v>0</v>
      </c>
      <c r="U74" s="24">
        <f t="shared" si="29"/>
        <v>0</v>
      </c>
      <c r="V74" s="24">
        <f>IF($A74="","",Households!T74*Settings!$B$14)</f>
        <v>0</v>
      </c>
      <c r="W74" s="24">
        <f>IF($A74="","",SUMIFS(Assistance_Log!$F$5:$F$367,Assistance_Log!$C$5:$C$367,$A74,Assistance_Log!$E$5:$E$367,"Winter clothing – adults",Assistance_Log!$B$5:$B$367,"&gt;="&amp;Households!F74))</f>
        <v>0</v>
      </c>
      <c r="X74" s="24">
        <f t="shared" si="30"/>
        <v>0</v>
      </c>
      <c r="Y74" s="24">
        <f>IF($A74="","",Households!J74*Settings!$B$15)</f>
        <v>4</v>
      </c>
      <c r="Z74" s="24">
        <f>IF($A74="","",SUMIFS(Assistance_Log!$F$5:$F$367,Assistance_Log!$C$5:$C$367,$A74,Assistance_Log!$E$5:$E$367,"Diapers",Assistance_Log!$B$5:$B$367,"&gt;="&amp;Households!F74))</f>
        <v>0</v>
      </c>
      <c r="AA74" s="24">
        <f t="shared" si="31"/>
        <v>4</v>
      </c>
      <c r="AB74" s="24">
        <f>IF($A74="","",Settings!$B$16)</f>
        <v>1</v>
      </c>
      <c r="AC74" s="24">
        <f>IF($A74="","",SUMIFS(Assistance_Log!$F$5:$F$367,Assistance_Log!$C$5:$C$367,$A74,Assistance_Log!$E$5:$E$367,"Family hygiene kits",Assistance_Log!$B$5:$B$367,"&gt;="&amp;Households!F74))</f>
        <v>0</v>
      </c>
      <c r="AD74" s="24">
        <f t="shared" si="32"/>
        <v>1</v>
      </c>
      <c r="AE74" s="24">
        <f>IF($A74="","",Households!N74*Settings!$B$17)</f>
        <v>1</v>
      </c>
      <c r="AF74" s="24">
        <f>IF($A74="","",SUMIFS(Assistance_Log!$F$5:$F$367,Assistance_Log!$C$5:$C$367,$A74,Assistance_Log!$E$5:$E$367,"Menstrual hygiene kits",Assistance_Log!$B$5:$B$367,"&gt;="&amp;Households!F74))</f>
        <v>0</v>
      </c>
      <c r="AG74" s="24">
        <f t="shared" si="33"/>
        <v>1</v>
      </c>
      <c r="AH74" s="25" t="str">
        <f t="shared" si="34"/>
        <v>Yes</v>
      </c>
      <c r="AI74" s="24">
        <f t="shared" si="35"/>
        <v>5</v>
      </c>
    </row>
    <row r="75" spans="1:35" x14ac:dyDescent="0.3">
      <c r="A75" s="24" t="str">
        <f>IF(Households!A75="","",Households!A75)</f>
        <v>HH-071</v>
      </c>
      <c r="B75" s="24" t="str">
        <f>IF($A75="","",Households!B75)</f>
        <v>Site C – Informal Tent Area</v>
      </c>
      <c r="C75" s="24" t="str">
        <f>IF($A75="","",Households!X75)</f>
        <v>High</v>
      </c>
      <c r="D75" s="24">
        <f>IF($A75="","",MAX(0,Households!H75*Settings!$B$9-Households!Q75))</f>
        <v>12</v>
      </c>
      <c r="E75" s="24">
        <f>IF($A75="","",SUMIFS(Assistance_Log!$F$5:$F$367,Assistance_Log!$C$5:$C$367,$A75,Assistance_Log!$E$5:$E$367,"Blankets",Assistance_Log!$B$5:$B$367,"&gt;="&amp;Households!F75))</f>
        <v>0</v>
      </c>
      <c r="F75" s="25">
        <f t="shared" si="24"/>
        <v>12</v>
      </c>
      <c r="G75" s="24">
        <f>IF($A75="","",MAX(0,Households!H75*Settings!$B$10-Households!R75))</f>
        <v>7</v>
      </c>
      <c r="H75" s="24">
        <f>IF($A75="","",SUMIFS(Assistance_Log!$F$5:$F$367,Assistance_Log!$C$5:$C$367,$A75,Assistance_Log!$E$5:$E$367,"Mattresses",Assistance_Log!$B$5:$B$367,"&gt;="&amp;Households!F75))</f>
        <v>7</v>
      </c>
      <c r="I75" s="25">
        <f t="shared" si="25"/>
        <v>0</v>
      </c>
      <c r="J75" s="24">
        <f>IF($A75="","",IF(AND(OR(Households!C75="Tent",Households!C75="Makeshift shelter"),Households!D75="Damaged"),Settings!$B$11,0))</f>
        <v>2</v>
      </c>
      <c r="K75" s="24">
        <f>IF($A75="","",SUMIFS(Assistance_Log!$F$5:$F$367,Assistance_Log!$C$5:$C$367,$A75,Assistance_Log!$E$5:$E$367,"Tarpaulins",Assistance_Log!$B$5:$B$367,"&gt;="&amp;Households!F75))</f>
        <v>0</v>
      </c>
      <c r="L75" s="25">
        <f t="shared" si="26"/>
        <v>2</v>
      </c>
      <c r="M75" s="24">
        <f>IF($A75="","",IF(AND(OR(Households!C75="Tent",Households!C75="Makeshift shelter"),Households!D75="Unusable"),Settings!$B$12,0))</f>
        <v>0</v>
      </c>
      <c r="N75" s="24">
        <f>IF($A75="","",SUMIFS(Assistance_Log!$F$5:$F$367,Assistance_Log!$C$5:$C$367,$A75,Assistance_Log!$E$5:$E$367,"Tent replacement",Assistance_Log!$B$5:$B$367,"&gt;="&amp;Households!F75))</f>
        <v>0</v>
      </c>
      <c r="O75" s="25">
        <f t="shared" si="27"/>
        <v>0</v>
      </c>
      <c r="P75" s="24">
        <f>IF($A75="","",IF(Households!D75="Damaged",Settings!$B$13,0))</f>
        <v>1</v>
      </c>
      <c r="Q75" s="24">
        <f>IF($A75="","",SUMIFS(Assistance_Log!$F$5:$F$367,Assistance_Log!$C$5:$C$367,$A75,Assistance_Log!$E$5:$E$367,"Shelter repair kits",Assistance_Log!$B$5:$B$367,"&gt;="&amp;Households!F75))</f>
        <v>1</v>
      </c>
      <c r="R75" s="24">
        <f t="shared" si="28"/>
        <v>0</v>
      </c>
      <c r="S75" s="24">
        <f>IF($A75="","",Households!S75*Settings!$B$14)</f>
        <v>6</v>
      </c>
      <c r="T75" s="24">
        <f>IF($A75="","",SUMIFS(Assistance_Log!$F$5:$F$367,Assistance_Log!$C$5:$C$367,$A75,Assistance_Log!$E$5:$E$367,"Winter clothing – children",Assistance_Log!$B$5:$B$367,"&gt;="&amp;Households!F75))</f>
        <v>0</v>
      </c>
      <c r="U75" s="24">
        <f t="shared" si="29"/>
        <v>6</v>
      </c>
      <c r="V75" s="24">
        <f>IF($A75="","",Households!T75*Settings!$B$14)</f>
        <v>0</v>
      </c>
      <c r="W75" s="24">
        <f>IF($A75="","",SUMIFS(Assistance_Log!$F$5:$F$367,Assistance_Log!$C$5:$C$367,$A75,Assistance_Log!$E$5:$E$367,"Winter clothing – adults",Assistance_Log!$B$5:$B$367,"&gt;="&amp;Households!F75))</f>
        <v>0</v>
      </c>
      <c r="X75" s="24">
        <f t="shared" si="30"/>
        <v>0</v>
      </c>
      <c r="Y75" s="24">
        <f>IF($A75="","",Households!J75*Settings!$B$15)</f>
        <v>4</v>
      </c>
      <c r="Z75" s="24">
        <f>IF($A75="","",SUMIFS(Assistance_Log!$F$5:$F$367,Assistance_Log!$C$5:$C$367,$A75,Assistance_Log!$E$5:$E$367,"Diapers",Assistance_Log!$B$5:$B$367,"&gt;="&amp;Households!F75))</f>
        <v>4</v>
      </c>
      <c r="AA75" s="24">
        <f t="shared" si="31"/>
        <v>0</v>
      </c>
      <c r="AB75" s="24">
        <f>IF($A75="","",Settings!$B$16)</f>
        <v>1</v>
      </c>
      <c r="AC75" s="24">
        <f>IF($A75="","",SUMIFS(Assistance_Log!$F$5:$F$367,Assistance_Log!$C$5:$C$367,$A75,Assistance_Log!$E$5:$E$367,"Family hygiene kits",Assistance_Log!$B$5:$B$367,"&gt;="&amp;Households!F75))</f>
        <v>1</v>
      </c>
      <c r="AD75" s="24">
        <f t="shared" si="32"/>
        <v>0</v>
      </c>
      <c r="AE75" s="24">
        <f>IF($A75="","",Households!N75*Settings!$B$17)</f>
        <v>1</v>
      </c>
      <c r="AF75" s="24">
        <f>IF($A75="","",SUMIFS(Assistance_Log!$F$5:$F$367,Assistance_Log!$C$5:$C$367,$A75,Assistance_Log!$E$5:$E$367,"Menstrual hygiene kits",Assistance_Log!$B$5:$B$367,"&gt;="&amp;Households!F75))</f>
        <v>0</v>
      </c>
      <c r="AG75" s="24">
        <f t="shared" si="33"/>
        <v>1</v>
      </c>
      <c r="AH75" s="25" t="str">
        <f t="shared" si="34"/>
        <v>Yes</v>
      </c>
      <c r="AI75" s="24">
        <f t="shared" si="35"/>
        <v>4</v>
      </c>
    </row>
    <row r="76" spans="1:35" x14ac:dyDescent="0.3">
      <c r="A76" s="24" t="str">
        <f>IF(Households!A76="","",Households!A76)</f>
        <v>HH-072</v>
      </c>
      <c r="B76" s="24" t="str">
        <f>IF($A76="","",Households!B76)</f>
        <v>Site C – Informal Tent Area</v>
      </c>
      <c r="C76" s="24" t="str">
        <f>IF($A76="","",Households!X76)</f>
        <v>High</v>
      </c>
      <c r="D76" s="24">
        <f>IF($A76="","",MAX(0,Households!H76*Settings!$B$9-Households!Q76))</f>
        <v>12</v>
      </c>
      <c r="E76" s="24">
        <f>IF($A76="","",SUMIFS(Assistance_Log!$F$5:$F$367,Assistance_Log!$C$5:$C$367,$A76,Assistance_Log!$E$5:$E$367,"Blankets",Assistance_Log!$B$5:$B$367,"&gt;="&amp;Households!F76))</f>
        <v>0</v>
      </c>
      <c r="F76" s="25">
        <f t="shared" si="24"/>
        <v>12</v>
      </c>
      <c r="G76" s="24">
        <f>IF($A76="","",MAX(0,Households!H76*Settings!$B$10-Households!R76))</f>
        <v>9</v>
      </c>
      <c r="H76" s="24">
        <f>IF($A76="","",SUMIFS(Assistance_Log!$F$5:$F$367,Assistance_Log!$C$5:$C$367,$A76,Assistance_Log!$E$5:$E$367,"Mattresses",Assistance_Log!$B$5:$B$367,"&gt;="&amp;Households!F76))</f>
        <v>0</v>
      </c>
      <c r="I76" s="25">
        <f t="shared" si="25"/>
        <v>9</v>
      </c>
      <c r="J76" s="24">
        <f>IF($A76="","",IF(AND(OR(Households!C76="Tent",Households!C76="Makeshift shelter"),Households!D76="Damaged"),Settings!$B$11,0))</f>
        <v>0</v>
      </c>
      <c r="K76" s="24">
        <f>IF($A76="","",SUMIFS(Assistance_Log!$F$5:$F$367,Assistance_Log!$C$5:$C$367,$A76,Assistance_Log!$E$5:$E$367,"Tarpaulins",Assistance_Log!$B$5:$B$367,"&gt;="&amp;Households!F76))</f>
        <v>0</v>
      </c>
      <c r="L76" s="25">
        <f t="shared" si="26"/>
        <v>0</v>
      </c>
      <c r="M76" s="24">
        <f>IF($A76="","",IF(AND(OR(Households!C76="Tent",Households!C76="Makeshift shelter"),Households!D76="Unusable"),Settings!$B$12,0))</f>
        <v>1</v>
      </c>
      <c r="N76" s="24">
        <f>IF($A76="","",SUMIFS(Assistance_Log!$F$5:$F$367,Assistance_Log!$C$5:$C$367,$A76,Assistance_Log!$E$5:$E$367,"Tent replacement",Assistance_Log!$B$5:$B$367,"&gt;="&amp;Households!F76))</f>
        <v>0</v>
      </c>
      <c r="O76" s="25">
        <f t="shared" si="27"/>
        <v>1</v>
      </c>
      <c r="P76" s="24">
        <f>IF($A76="","",IF(Households!D76="Damaged",Settings!$B$13,0))</f>
        <v>0</v>
      </c>
      <c r="Q76" s="24">
        <f>IF($A76="","",SUMIFS(Assistance_Log!$F$5:$F$367,Assistance_Log!$C$5:$C$367,$A76,Assistance_Log!$E$5:$E$367,"Shelter repair kits",Assistance_Log!$B$5:$B$367,"&gt;="&amp;Households!F76))</f>
        <v>0</v>
      </c>
      <c r="R76" s="24">
        <f t="shared" si="28"/>
        <v>0</v>
      </c>
      <c r="S76" s="24">
        <f>IF($A76="","",Households!S76*Settings!$B$14)</f>
        <v>3</v>
      </c>
      <c r="T76" s="24">
        <f>IF($A76="","",SUMIFS(Assistance_Log!$F$5:$F$367,Assistance_Log!$C$5:$C$367,$A76,Assistance_Log!$E$5:$E$367,"Winter clothing – children",Assistance_Log!$B$5:$B$367,"&gt;="&amp;Households!F76))</f>
        <v>0</v>
      </c>
      <c r="U76" s="24">
        <f t="shared" si="29"/>
        <v>3</v>
      </c>
      <c r="V76" s="24">
        <f>IF($A76="","",Households!T76*Settings!$B$14)</f>
        <v>1</v>
      </c>
      <c r="W76" s="24">
        <f>IF($A76="","",SUMIFS(Assistance_Log!$F$5:$F$367,Assistance_Log!$C$5:$C$367,$A76,Assistance_Log!$E$5:$E$367,"Winter clothing – adults",Assistance_Log!$B$5:$B$367,"&gt;="&amp;Households!F76))</f>
        <v>1</v>
      </c>
      <c r="X76" s="24">
        <f t="shared" si="30"/>
        <v>0</v>
      </c>
      <c r="Y76" s="24">
        <f>IF($A76="","",Households!J76*Settings!$B$15)</f>
        <v>4</v>
      </c>
      <c r="Z76" s="24">
        <f>IF($A76="","",SUMIFS(Assistance_Log!$F$5:$F$367,Assistance_Log!$C$5:$C$367,$A76,Assistance_Log!$E$5:$E$367,"Diapers",Assistance_Log!$B$5:$B$367,"&gt;="&amp;Households!F76))</f>
        <v>0</v>
      </c>
      <c r="AA76" s="24">
        <f t="shared" si="31"/>
        <v>4</v>
      </c>
      <c r="AB76" s="24">
        <f>IF($A76="","",Settings!$B$16)</f>
        <v>1</v>
      </c>
      <c r="AC76" s="24">
        <f>IF($A76="","",SUMIFS(Assistance_Log!$F$5:$F$367,Assistance_Log!$C$5:$C$367,$A76,Assistance_Log!$E$5:$E$367,"Family hygiene kits",Assistance_Log!$B$5:$B$367,"&gt;="&amp;Households!F76))</f>
        <v>1</v>
      </c>
      <c r="AD76" s="24">
        <f t="shared" si="32"/>
        <v>0</v>
      </c>
      <c r="AE76" s="24">
        <f>IF($A76="","",Households!N76*Settings!$B$17)</f>
        <v>2</v>
      </c>
      <c r="AF76" s="24">
        <f>IF($A76="","",SUMIFS(Assistance_Log!$F$5:$F$367,Assistance_Log!$C$5:$C$367,$A76,Assistance_Log!$E$5:$E$367,"Menstrual hygiene kits",Assistance_Log!$B$5:$B$367,"&gt;="&amp;Households!F76))</f>
        <v>0</v>
      </c>
      <c r="AG76" s="24">
        <f t="shared" si="33"/>
        <v>2</v>
      </c>
      <c r="AH76" s="25" t="str">
        <f t="shared" si="34"/>
        <v>Yes</v>
      </c>
      <c r="AI76" s="24">
        <f t="shared" si="35"/>
        <v>6</v>
      </c>
    </row>
    <row r="77" spans="1:35" x14ac:dyDescent="0.3">
      <c r="A77" s="24" t="str">
        <f>IF(Households!A77="","",Households!A77)</f>
        <v>HH-073</v>
      </c>
      <c r="B77" s="24" t="str">
        <f>IF($A77="","",Households!B77)</f>
        <v>Site C – Informal Tent Area</v>
      </c>
      <c r="C77" s="24" t="str">
        <f>IF($A77="","",Households!X77)</f>
        <v>Medium</v>
      </c>
      <c r="D77" s="24">
        <f>IF($A77="","",MAX(0,Households!H77*Settings!$B$9-Households!Q77))</f>
        <v>6</v>
      </c>
      <c r="E77" s="24">
        <f>IF($A77="","",SUMIFS(Assistance_Log!$F$5:$F$367,Assistance_Log!$C$5:$C$367,$A77,Assistance_Log!$E$5:$E$367,"Blankets",Assistance_Log!$B$5:$B$367,"&gt;="&amp;Households!F77))</f>
        <v>0</v>
      </c>
      <c r="F77" s="25">
        <f t="shared" si="24"/>
        <v>6</v>
      </c>
      <c r="G77" s="24">
        <f>IF($A77="","",MAX(0,Households!H77*Settings!$B$10-Households!R77))</f>
        <v>7</v>
      </c>
      <c r="H77" s="24">
        <f>IF($A77="","",SUMIFS(Assistance_Log!$F$5:$F$367,Assistance_Log!$C$5:$C$367,$A77,Assistance_Log!$E$5:$E$367,"Mattresses",Assistance_Log!$B$5:$B$367,"&gt;="&amp;Households!F77))</f>
        <v>0</v>
      </c>
      <c r="I77" s="25">
        <f t="shared" si="25"/>
        <v>7</v>
      </c>
      <c r="J77" s="24">
        <f>IF($A77="","",IF(AND(OR(Households!C77="Tent",Households!C77="Makeshift shelter"),Households!D77="Damaged"),Settings!$B$11,0))</f>
        <v>2</v>
      </c>
      <c r="K77" s="24">
        <f>IF($A77="","",SUMIFS(Assistance_Log!$F$5:$F$367,Assistance_Log!$C$5:$C$367,$A77,Assistance_Log!$E$5:$E$367,"Tarpaulins",Assistance_Log!$B$5:$B$367,"&gt;="&amp;Households!F77))</f>
        <v>0</v>
      </c>
      <c r="L77" s="25">
        <f t="shared" si="26"/>
        <v>2</v>
      </c>
      <c r="M77" s="24">
        <f>IF($A77="","",IF(AND(OR(Households!C77="Tent",Households!C77="Makeshift shelter"),Households!D77="Unusable"),Settings!$B$12,0))</f>
        <v>0</v>
      </c>
      <c r="N77" s="24">
        <f>IF($A77="","",SUMIFS(Assistance_Log!$F$5:$F$367,Assistance_Log!$C$5:$C$367,$A77,Assistance_Log!$E$5:$E$367,"Tent replacement",Assistance_Log!$B$5:$B$367,"&gt;="&amp;Households!F77))</f>
        <v>0</v>
      </c>
      <c r="O77" s="25">
        <f t="shared" si="27"/>
        <v>0</v>
      </c>
      <c r="P77" s="24">
        <f>IF($A77="","",IF(Households!D77="Damaged",Settings!$B$13,0))</f>
        <v>1</v>
      </c>
      <c r="Q77" s="24">
        <f>IF($A77="","",SUMIFS(Assistance_Log!$F$5:$F$367,Assistance_Log!$C$5:$C$367,$A77,Assistance_Log!$E$5:$E$367,"Shelter repair kits",Assistance_Log!$B$5:$B$367,"&gt;="&amp;Households!F77))</f>
        <v>1</v>
      </c>
      <c r="R77" s="24">
        <f t="shared" si="28"/>
        <v>0</v>
      </c>
      <c r="S77" s="24">
        <f>IF($A77="","",Households!S77*Settings!$B$14)</f>
        <v>5</v>
      </c>
      <c r="T77" s="24">
        <f>IF($A77="","",SUMIFS(Assistance_Log!$F$5:$F$367,Assistance_Log!$C$5:$C$367,$A77,Assistance_Log!$E$5:$E$367,"Winter clothing – children",Assistance_Log!$B$5:$B$367,"&gt;="&amp;Households!F77))</f>
        <v>0</v>
      </c>
      <c r="U77" s="24">
        <f t="shared" si="29"/>
        <v>5</v>
      </c>
      <c r="V77" s="24">
        <f>IF($A77="","",Households!T77*Settings!$B$14)</f>
        <v>2</v>
      </c>
      <c r="W77" s="24">
        <f>IF($A77="","",SUMIFS(Assistance_Log!$F$5:$F$367,Assistance_Log!$C$5:$C$367,$A77,Assistance_Log!$E$5:$E$367,"Winter clothing – adults",Assistance_Log!$B$5:$B$367,"&gt;="&amp;Households!F77))</f>
        <v>0</v>
      </c>
      <c r="X77" s="24">
        <f t="shared" si="30"/>
        <v>2</v>
      </c>
      <c r="Y77" s="24">
        <f>IF($A77="","",Households!J77*Settings!$B$15)</f>
        <v>8</v>
      </c>
      <c r="Z77" s="24">
        <f>IF($A77="","",SUMIFS(Assistance_Log!$F$5:$F$367,Assistance_Log!$C$5:$C$367,$A77,Assistance_Log!$E$5:$E$367,"Diapers",Assistance_Log!$B$5:$B$367,"&gt;="&amp;Households!F77))</f>
        <v>6</v>
      </c>
      <c r="AA77" s="24">
        <f t="shared" si="31"/>
        <v>2</v>
      </c>
      <c r="AB77" s="24">
        <f>IF($A77="","",Settings!$B$16)</f>
        <v>1</v>
      </c>
      <c r="AC77" s="24">
        <f>IF($A77="","",SUMIFS(Assistance_Log!$F$5:$F$367,Assistance_Log!$C$5:$C$367,$A77,Assistance_Log!$E$5:$E$367,"Family hygiene kits",Assistance_Log!$B$5:$B$367,"&gt;="&amp;Households!F77))</f>
        <v>1</v>
      </c>
      <c r="AD77" s="24">
        <f t="shared" si="32"/>
        <v>0</v>
      </c>
      <c r="AE77" s="24">
        <f>IF($A77="","",Households!N77*Settings!$B$17)</f>
        <v>2</v>
      </c>
      <c r="AF77" s="24">
        <f>IF($A77="","",SUMIFS(Assistance_Log!$F$5:$F$367,Assistance_Log!$C$5:$C$367,$A77,Assistance_Log!$E$5:$E$367,"Menstrual hygiene kits",Assistance_Log!$B$5:$B$367,"&gt;="&amp;Households!F77))</f>
        <v>0</v>
      </c>
      <c r="AG77" s="24">
        <f t="shared" si="33"/>
        <v>2</v>
      </c>
      <c r="AH77" s="25" t="str">
        <f t="shared" si="34"/>
        <v>Yes</v>
      </c>
      <c r="AI77" s="24">
        <f t="shared" si="35"/>
        <v>7</v>
      </c>
    </row>
    <row r="78" spans="1:35" x14ac:dyDescent="0.3">
      <c r="A78" s="24" t="str">
        <f>IF(Households!A78="","",Households!A78)</f>
        <v>HH-074</v>
      </c>
      <c r="B78" s="24" t="str">
        <f>IF($A78="","",Households!B78)</f>
        <v>Site C – Informal Tent Area</v>
      </c>
      <c r="C78" s="24" t="str">
        <f>IF($A78="","",Households!X78)</f>
        <v>High</v>
      </c>
      <c r="D78" s="24">
        <f>IF($A78="","",MAX(0,Households!H78*Settings!$B$9-Households!Q78))</f>
        <v>8</v>
      </c>
      <c r="E78" s="24">
        <f>IF($A78="","",SUMIFS(Assistance_Log!$F$5:$F$367,Assistance_Log!$C$5:$C$367,$A78,Assistance_Log!$E$5:$E$367,"Blankets",Assistance_Log!$B$5:$B$367,"&gt;="&amp;Households!F78))</f>
        <v>0</v>
      </c>
      <c r="F78" s="25">
        <f t="shared" si="24"/>
        <v>8</v>
      </c>
      <c r="G78" s="24">
        <f>IF($A78="","",MAX(0,Households!H78*Settings!$B$10-Households!R78))</f>
        <v>1</v>
      </c>
      <c r="H78" s="24">
        <f>IF($A78="","",SUMIFS(Assistance_Log!$F$5:$F$367,Assistance_Log!$C$5:$C$367,$A78,Assistance_Log!$E$5:$E$367,"Mattresses",Assistance_Log!$B$5:$B$367,"&gt;="&amp;Households!F78))</f>
        <v>0</v>
      </c>
      <c r="I78" s="25">
        <f t="shared" si="25"/>
        <v>1</v>
      </c>
      <c r="J78" s="24">
        <f>IF($A78="","",IF(AND(OR(Households!C78="Tent",Households!C78="Makeshift shelter"),Households!D78="Damaged"),Settings!$B$11,0))</f>
        <v>2</v>
      </c>
      <c r="K78" s="24">
        <f>IF($A78="","",SUMIFS(Assistance_Log!$F$5:$F$367,Assistance_Log!$C$5:$C$367,$A78,Assistance_Log!$E$5:$E$367,"Tarpaulins",Assistance_Log!$B$5:$B$367,"&gt;="&amp;Households!F78))</f>
        <v>0</v>
      </c>
      <c r="L78" s="25">
        <f t="shared" si="26"/>
        <v>2</v>
      </c>
      <c r="M78" s="24">
        <f>IF($A78="","",IF(AND(OR(Households!C78="Tent",Households!C78="Makeshift shelter"),Households!D78="Unusable"),Settings!$B$12,0))</f>
        <v>0</v>
      </c>
      <c r="N78" s="24">
        <f>IF($A78="","",SUMIFS(Assistance_Log!$F$5:$F$367,Assistance_Log!$C$5:$C$367,$A78,Assistance_Log!$E$5:$E$367,"Tent replacement",Assistance_Log!$B$5:$B$367,"&gt;="&amp;Households!F78))</f>
        <v>0</v>
      </c>
      <c r="O78" s="25">
        <f t="shared" si="27"/>
        <v>0</v>
      </c>
      <c r="P78" s="24">
        <f>IF($A78="","",IF(Households!D78="Damaged",Settings!$B$13,0))</f>
        <v>1</v>
      </c>
      <c r="Q78" s="24">
        <f>IF($A78="","",SUMIFS(Assistance_Log!$F$5:$F$367,Assistance_Log!$C$5:$C$367,$A78,Assistance_Log!$E$5:$E$367,"Shelter repair kits",Assistance_Log!$B$5:$B$367,"&gt;="&amp;Households!F78))</f>
        <v>0</v>
      </c>
      <c r="R78" s="24">
        <f t="shared" si="28"/>
        <v>1</v>
      </c>
      <c r="S78" s="24">
        <f>IF($A78="","",Households!S78*Settings!$B$14)</f>
        <v>3</v>
      </c>
      <c r="T78" s="24">
        <f>IF($A78="","",SUMIFS(Assistance_Log!$F$5:$F$367,Assistance_Log!$C$5:$C$367,$A78,Assistance_Log!$E$5:$E$367,"Winter clothing – children",Assistance_Log!$B$5:$B$367,"&gt;="&amp;Households!F78))</f>
        <v>0</v>
      </c>
      <c r="U78" s="24">
        <f t="shared" si="29"/>
        <v>3</v>
      </c>
      <c r="V78" s="24">
        <f>IF($A78="","",Households!T78*Settings!$B$14)</f>
        <v>0</v>
      </c>
      <c r="W78" s="24">
        <f>IF($A78="","",SUMIFS(Assistance_Log!$F$5:$F$367,Assistance_Log!$C$5:$C$367,$A78,Assistance_Log!$E$5:$E$367,"Winter clothing – adults",Assistance_Log!$B$5:$B$367,"&gt;="&amp;Households!F78))</f>
        <v>0</v>
      </c>
      <c r="X78" s="24">
        <f t="shared" si="30"/>
        <v>0</v>
      </c>
      <c r="Y78" s="24">
        <f>IF($A78="","",Households!J78*Settings!$B$15)</f>
        <v>4</v>
      </c>
      <c r="Z78" s="24">
        <f>IF($A78="","",SUMIFS(Assistance_Log!$F$5:$F$367,Assistance_Log!$C$5:$C$367,$A78,Assistance_Log!$E$5:$E$367,"Diapers",Assistance_Log!$B$5:$B$367,"&gt;="&amp;Households!F78))</f>
        <v>0</v>
      </c>
      <c r="AA78" s="24">
        <f t="shared" si="31"/>
        <v>4</v>
      </c>
      <c r="AB78" s="24">
        <f>IF($A78="","",Settings!$B$16)</f>
        <v>1</v>
      </c>
      <c r="AC78" s="24">
        <f>IF($A78="","",SUMIFS(Assistance_Log!$F$5:$F$367,Assistance_Log!$C$5:$C$367,$A78,Assistance_Log!$E$5:$E$367,"Family hygiene kits",Assistance_Log!$B$5:$B$367,"&gt;="&amp;Households!F78))</f>
        <v>1</v>
      </c>
      <c r="AD78" s="24">
        <f t="shared" si="32"/>
        <v>0</v>
      </c>
      <c r="AE78" s="24">
        <f>IF($A78="","",Households!N78*Settings!$B$17)</f>
        <v>2</v>
      </c>
      <c r="AF78" s="24">
        <f>IF($A78="","",SUMIFS(Assistance_Log!$F$5:$F$367,Assistance_Log!$C$5:$C$367,$A78,Assistance_Log!$E$5:$E$367,"Menstrual hygiene kits",Assistance_Log!$B$5:$B$367,"&gt;="&amp;Households!F78))</f>
        <v>1</v>
      </c>
      <c r="AG78" s="24">
        <f t="shared" si="33"/>
        <v>1</v>
      </c>
      <c r="AH78" s="25" t="str">
        <f t="shared" si="34"/>
        <v>Yes</v>
      </c>
      <c r="AI78" s="24">
        <f t="shared" si="35"/>
        <v>7</v>
      </c>
    </row>
    <row r="79" spans="1:35" x14ac:dyDescent="0.3">
      <c r="A79" s="24" t="str">
        <f>IF(Households!A79="","",Households!A79)</f>
        <v>HH-075</v>
      </c>
      <c r="B79" s="24" t="str">
        <f>IF($A79="","",Households!B79)</f>
        <v>Site C – Informal Tent Area</v>
      </c>
      <c r="C79" s="24" t="str">
        <f>IF($A79="","",Households!X79)</f>
        <v>Medium</v>
      </c>
      <c r="D79" s="24">
        <f>IF($A79="","",MAX(0,Households!H79*Settings!$B$9-Households!Q79))</f>
        <v>14</v>
      </c>
      <c r="E79" s="24">
        <f>IF($A79="","",SUMIFS(Assistance_Log!$F$5:$F$367,Assistance_Log!$C$5:$C$367,$A79,Assistance_Log!$E$5:$E$367,"Blankets",Assistance_Log!$B$5:$B$367,"&gt;="&amp;Households!F79))</f>
        <v>0</v>
      </c>
      <c r="F79" s="25">
        <f t="shared" si="24"/>
        <v>14</v>
      </c>
      <c r="G79" s="24">
        <f>IF($A79="","",MAX(0,Households!H79*Settings!$B$10-Households!R79))</f>
        <v>3</v>
      </c>
      <c r="H79" s="24">
        <f>IF($A79="","",SUMIFS(Assistance_Log!$F$5:$F$367,Assistance_Log!$C$5:$C$367,$A79,Assistance_Log!$E$5:$E$367,"Mattresses",Assistance_Log!$B$5:$B$367,"&gt;="&amp;Households!F79))</f>
        <v>0</v>
      </c>
      <c r="I79" s="25">
        <f t="shared" si="25"/>
        <v>3</v>
      </c>
      <c r="J79" s="24">
        <f>IF($A79="","",IF(AND(OR(Households!C79="Tent",Households!C79="Makeshift shelter"),Households!D79="Damaged"),Settings!$B$11,0))</f>
        <v>2</v>
      </c>
      <c r="K79" s="24">
        <f>IF($A79="","",SUMIFS(Assistance_Log!$F$5:$F$367,Assistance_Log!$C$5:$C$367,$A79,Assistance_Log!$E$5:$E$367,"Tarpaulins",Assistance_Log!$B$5:$B$367,"&gt;="&amp;Households!F79))</f>
        <v>0</v>
      </c>
      <c r="L79" s="25">
        <f t="shared" si="26"/>
        <v>2</v>
      </c>
      <c r="M79" s="24">
        <f>IF($A79="","",IF(AND(OR(Households!C79="Tent",Households!C79="Makeshift shelter"),Households!D79="Unusable"),Settings!$B$12,0))</f>
        <v>0</v>
      </c>
      <c r="N79" s="24">
        <f>IF($A79="","",SUMIFS(Assistance_Log!$F$5:$F$367,Assistance_Log!$C$5:$C$367,$A79,Assistance_Log!$E$5:$E$367,"Tent replacement",Assistance_Log!$B$5:$B$367,"&gt;="&amp;Households!F79))</f>
        <v>0</v>
      </c>
      <c r="O79" s="25">
        <f t="shared" si="27"/>
        <v>0</v>
      </c>
      <c r="P79" s="24">
        <f>IF($A79="","",IF(Households!D79="Damaged",Settings!$B$13,0))</f>
        <v>1</v>
      </c>
      <c r="Q79" s="24">
        <f>IF($A79="","",SUMIFS(Assistance_Log!$F$5:$F$367,Assistance_Log!$C$5:$C$367,$A79,Assistance_Log!$E$5:$E$367,"Shelter repair kits",Assistance_Log!$B$5:$B$367,"&gt;="&amp;Households!F79))</f>
        <v>0</v>
      </c>
      <c r="R79" s="24">
        <f t="shared" si="28"/>
        <v>1</v>
      </c>
      <c r="S79" s="24">
        <f>IF($A79="","",Households!S79*Settings!$B$14)</f>
        <v>1</v>
      </c>
      <c r="T79" s="24">
        <f>IF($A79="","",SUMIFS(Assistance_Log!$F$5:$F$367,Assistance_Log!$C$5:$C$367,$A79,Assistance_Log!$E$5:$E$367,"Winter clothing – children",Assistance_Log!$B$5:$B$367,"&gt;="&amp;Households!F79))</f>
        <v>0</v>
      </c>
      <c r="U79" s="24">
        <f t="shared" si="29"/>
        <v>1</v>
      </c>
      <c r="V79" s="24">
        <f>IF($A79="","",Households!T79*Settings!$B$14)</f>
        <v>1</v>
      </c>
      <c r="W79" s="24">
        <f>IF($A79="","",SUMIFS(Assistance_Log!$F$5:$F$367,Assistance_Log!$C$5:$C$367,$A79,Assistance_Log!$E$5:$E$367,"Winter clothing – adults",Assistance_Log!$B$5:$B$367,"&gt;="&amp;Households!F79))</f>
        <v>0</v>
      </c>
      <c r="X79" s="24">
        <f t="shared" si="30"/>
        <v>1</v>
      </c>
      <c r="Y79" s="24">
        <f>IF($A79="","",Households!J79*Settings!$B$15)</f>
        <v>0</v>
      </c>
      <c r="Z79" s="24">
        <f>IF($A79="","",SUMIFS(Assistance_Log!$F$5:$F$367,Assistance_Log!$C$5:$C$367,$A79,Assistance_Log!$E$5:$E$367,"Diapers",Assistance_Log!$B$5:$B$367,"&gt;="&amp;Households!F79))</f>
        <v>0</v>
      </c>
      <c r="AA79" s="24">
        <f t="shared" si="31"/>
        <v>0</v>
      </c>
      <c r="AB79" s="24">
        <f>IF($A79="","",Settings!$B$16)</f>
        <v>1</v>
      </c>
      <c r="AC79" s="24">
        <f>IF($A79="","",SUMIFS(Assistance_Log!$F$5:$F$367,Assistance_Log!$C$5:$C$367,$A79,Assistance_Log!$E$5:$E$367,"Family hygiene kits",Assistance_Log!$B$5:$B$367,"&gt;="&amp;Households!F79))</f>
        <v>0</v>
      </c>
      <c r="AD79" s="24">
        <f t="shared" si="32"/>
        <v>1</v>
      </c>
      <c r="AE79" s="24">
        <f>IF($A79="","",Households!N79*Settings!$B$17)</f>
        <v>1</v>
      </c>
      <c r="AF79" s="24">
        <f>IF($A79="","",SUMIFS(Assistance_Log!$F$5:$F$367,Assistance_Log!$C$5:$C$367,$A79,Assistance_Log!$E$5:$E$367,"Menstrual hygiene kits",Assistance_Log!$B$5:$B$367,"&gt;="&amp;Households!F79))</f>
        <v>0</v>
      </c>
      <c r="AG79" s="24">
        <f t="shared" si="33"/>
        <v>1</v>
      </c>
      <c r="AH79" s="25" t="str">
        <f t="shared" si="34"/>
        <v>Yes</v>
      </c>
      <c r="AI79" s="24">
        <f t="shared" si="35"/>
        <v>8</v>
      </c>
    </row>
    <row r="80" spans="1:35" x14ac:dyDescent="0.3">
      <c r="A80" s="24" t="str">
        <f>IF(Households!A80="","",Households!A80)</f>
        <v>HH-076</v>
      </c>
      <c r="B80" s="24" t="str">
        <f>IF($A80="","",Households!B80)</f>
        <v>Site C – Informal Tent Area</v>
      </c>
      <c r="C80" s="24" t="str">
        <f>IF($A80="","",Households!X80)</f>
        <v>Medium</v>
      </c>
      <c r="D80" s="24">
        <f>IF($A80="","",MAX(0,Households!H80*Settings!$B$9-Households!Q80))</f>
        <v>4</v>
      </c>
      <c r="E80" s="24">
        <f>IF($A80="","",SUMIFS(Assistance_Log!$F$5:$F$367,Assistance_Log!$C$5:$C$367,$A80,Assistance_Log!$E$5:$E$367,"Blankets",Assistance_Log!$B$5:$B$367,"&gt;="&amp;Households!F80))</f>
        <v>0</v>
      </c>
      <c r="F80" s="25">
        <f t="shared" si="24"/>
        <v>4</v>
      </c>
      <c r="G80" s="24">
        <f>IF($A80="","",MAX(0,Households!H80*Settings!$B$10-Households!R80))</f>
        <v>0</v>
      </c>
      <c r="H80" s="24">
        <f>IF($A80="","",SUMIFS(Assistance_Log!$F$5:$F$367,Assistance_Log!$C$5:$C$367,$A80,Assistance_Log!$E$5:$E$367,"Mattresses",Assistance_Log!$B$5:$B$367,"&gt;="&amp;Households!F80))</f>
        <v>0</v>
      </c>
      <c r="I80" s="25">
        <f t="shared" si="25"/>
        <v>0</v>
      </c>
      <c r="J80" s="24">
        <f>IF($A80="","",IF(AND(OR(Households!C80="Tent",Households!C80="Makeshift shelter"),Households!D80="Damaged"),Settings!$B$11,0))</f>
        <v>0</v>
      </c>
      <c r="K80" s="24">
        <f>IF($A80="","",SUMIFS(Assistance_Log!$F$5:$F$367,Assistance_Log!$C$5:$C$367,$A80,Assistance_Log!$E$5:$E$367,"Tarpaulins",Assistance_Log!$B$5:$B$367,"&gt;="&amp;Households!F80))</f>
        <v>0</v>
      </c>
      <c r="L80" s="25">
        <f t="shared" si="26"/>
        <v>0</v>
      </c>
      <c r="M80" s="24">
        <f>IF($A80="","",IF(AND(OR(Households!C80="Tent",Households!C80="Makeshift shelter"),Households!D80="Unusable"),Settings!$B$12,0))</f>
        <v>1</v>
      </c>
      <c r="N80" s="24">
        <f>IF($A80="","",SUMIFS(Assistance_Log!$F$5:$F$367,Assistance_Log!$C$5:$C$367,$A80,Assistance_Log!$E$5:$E$367,"Tent replacement",Assistance_Log!$B$5:$B$367,"&gt;="&amp;Households!F80))</f>
        <v>0</v>
      </c>
      <c r="O80" s="25">
        <f t="shared" si="27"/>
        <v>1</v>
      </c>
      <c r="P80" s="24">
        <f>IF($A80="","",IF(Households!D80="Damaged",Settings!$B$13,0))</f>
        <v>0</v>
      </c>
      <c r="Q80" s="24">
        <f>IF($A80="","",SUMIFS(Assistance_Log!$F$5:$F$367,Assistance_Log!$C$5:$C$367,$A80,Assistance_Log!$E$5:$E$367,"Shelter repair kits",Assistance_Log!$B$5:$B$367,"&gt;="&amp;Households!F80))</f>
        <v>0</v>
      </c>
      <c r="R80" s="24">
        <f t="shared" si="28"/>
        <v>0</v>
      </c>
      <c r="S80" s="24">
        <f>IF($A80="","",Households!S80*Settings!$B$14)</f>
        <v>1</v>
      </c>
      <c r="T80" s="24">
        <f>IF($A80="","",SUMIFS(Assistance_Log!$F$5:$F$367,Assistance_Log!$C$5:$C$367,$A80,Assistance_Log!$E$5:$E$367,"Winter clothing – children",Assistance_Log!$B$5:$B$367,"&gt;="&amp;Households!F80))</f>
        <v>1</v>
      </c>
      <c r="U80" s="24">
        <f t="shared" si="29"/>
        <v>0</v>
      </c>
      <c r="V80" s="24">
        <f>IF($A80="","",Households!T80*Settings!$B$14)</f>
        <v>1</v>
      </c>
      <c r="W80" s="24">
        <f>IF($A80="","",SUMIFS(Assistance_Log!$F$5:$F$367,Assistance_Log!$C$5:$C$367,$A80,Assistance_Log!$E$5:$E$367,"Winter clothing – adults",Assistance_Log!$B$5:$B$367,"&gt;="&amp;Households!F80))</f>
        <v>0</v>
      </c>
      <c r="X80" s="24">
        <f t="shared" si="30"/>
        <v>1</v>
      </c>
      <c r="Y80" s="24">
        <f>IF($A80="","",Households!J80*Settings!$B$15)</f>
        <v>0</v>
      </c>
      <c r="Z80" s="24">
        <f>IF($A80="","",SUMIFS(Assistance_Log!$F$5:$F$367,Assistance_Log!$C$5:$C$367,$A80,Assistance_Log!$E$5:$E$367,"Diapers",Assistance_Log!$B$5:$B$367,"&gt;="&amp;Households!F80))</f>
        <v>0</v>
      </c>
      <c r="AA80" s="24">
        <f t="shared" si="31"/>
        <v>0</v>
      </c>
      <c r="AB80" s="24">
        <f>IF($A80="","",Settings!$B$16)</f>
        <v>1</v>
      </c>
      <c r="AC80" s="24">
        <f>IF($A80="","",SUMIFS(Assistance_Log!$F$5:$F$367,Assistance_Log!$C$5:$C$367,$A80,Assistance_Log!$E$5:$E$367,"Family hygiene kits",Assistance_Log!$B$5:$B$367,"&gt;="&amp;Households!F80))</f>
        <v>0</v>
      </c>
      <c r="AD80" s="24">
        <f t="shared" si="32"/>
        <v>1</v>
      </c>
      <c r="AE80" s="24">
        <f>IF($A80="","",Households!N80*Settings!$B$17)</f>
        <v>1</v>
      </c>
      <c r="AF80" s="24">
        <f>IF($A80="","",SUMIFS(Assistance_Log!$F$5:$F$367,Assistance_Log!$C$5:$C$367,$A80,Assistance_Log!$E$5:$E$367,"Menstrual hygiene kits",Assistance_Log!$B$5:$B$367,"&gt;="&amp;Households!F80))</f>
        <v>0</v>
      </c>
      <c r="AG80" s="24">
        <f t="shared" si="33"/>
        <v>1</v>
      </c>
      <c r="AH80" s="25" t="str">
        <f t="shared" si="34"/>
        <v>Yes</v>
      </c>
      <c r="AI80" s="24">
        <f t="shared" si="35"/>
        <v>5</v>
      </c>
    </row>
    <row r="81" spans="1:35" x14ac:dyDescent="0.3">
      <c r="A81" s="24" t="str">
        <f>IF(Households!A81="","",Households!A81)</f>
        <v>HH-077</v>
      </c>
      <c r="B81" s="24" t="str">
        <f>IF($A81="","",Households!B81)</f>
        <v>Site C – Informal Tent Area</v>
      </c>
      <c r="C81" s="24" t="str">
        <f>IF($A81="","",Households!X81)</f>
        <v>Low</v>
      </c>
      <c r="D81" s="24">
        <f>IF($A81="","",MAX(0,Households!H81*Settings!$B$9-Households!Q81))</f>
        <v>11</v>
      </c>
      <c r="E81" s="24">
        <f>IF($A81="","",SUMIFS(Assistance_Log!$F$5:$F$367,Assistance_Log!$C$5:$C$367,$A81,Assistance_Log!$E$5:$E$367,"Blankets",Assistance_Log!$B$5:$B$367,"&gt;="&amp;Households!F81))</f>
        <v>0</v>
      </c>
      <c r="F81" s="25">
        <f t="shared" si="24"/>
        <v>11</v>
      </c>
      <c r="G81" s="24">
        <f>IF($A81="","",MAX(0,Households!H81*Settings!$B$10-Households!R81))</f>
        <v>4</v>
      </c>
      <c r="H81" s="24">
        <f>IF($A81="","",SUMIFS(Assistance_Log!$F$5:$F$367,Assistance_Log!$C$5:$C$367,$A81,Assistance_Log!$E$5:$E$367,"Mattresses",Assistance_Log!$B$5:$B$367,"&gt;="&amp;Households!F81))</f>
        <v>1</v>
      </c>
      <c r="I81" s="25">
        <f t="shared" si="25"/>
        <v>3</v>
      </c>
      <c r="J81" s="24">
        <f>IF($A81="","",IF(AND(OR(Households!C81="Tent",Households!C81="Makeshift shelter"),Households!D81="Damaged"),Settings!$B$11,0))</f>
        <v>2</v>
      </c>
      <c r="K81" s="24">
        <f>IF($A81="","",SUMIFS(Assistance_Log!$F$5:$F$367,Assistance_Log!$C$5:$C$367,$A81,Assistance_Log!$E$5:$E$367,"Tarpaulins",Assistance_Log!$B$5:$B$367,"&gt;="&amp;Households!F81))</f>
        <v>0</v>
      </c>
      <c r="L81" s="25">
        <f t="shared" si="26"/>
        <v>2</v>
      </c>
      <c r="M81" s="24">
        <f>IF($A81="","",IF(AND(OR(Households!C81="Tent",Households!C81="Makeshift shelter"),Households!D81="Unusable"),Settings!$B$12,0))</f>
        <v>0</v>
      </c>
      <c r="N81" s="24">
        <f>IF($A81="","",SUMIFS(Assistance_Log!$F$5:$F$367,Assistance_Log!$C$5:$C$367,$A81,Assistance_Log!$E$5:$E$367,"Tent replacement",Assistance_Log!$B$5:$B$367,"&gt;="&amp;Households!F81))</f>
        <v>0</v>
      </c>
      <c r="O81" s="25">
        <f t="shared" si="27"/>
        <v>0</v>
      </c>
      <c r="P81" s="24">
        <f>IF($A81="","",IF(Households!D81="Damaged",Settings!$B$13,0))</f>
        <v>1</v>
      </c>
      <c r="Q81" s="24">
        <f>IF($A81="","",SUMIFS(Assistance_Log!$F$5:$F$367,Assistance_Log!$C$5:$C$367,$A81,Assistance_Log!$E$5:$E$367,"Shelter repair kits",Assistance_Log!$B$5:$B$367,"&gt;="&amp;Households!F81))</f>
        <v>0</v>
      </c>
      <c r="R81" s="24">
        <f t="shared" si="28"/>
        <v>1</v>
      </c>
      <c r="S81" s="24">
        <f>IF($A81="","",Households!S81*Settings!$B$14)</f>
        <v>4</v>
      </c>
      <c r="T81" s="24">
        <f>IF($A81="","",SUMIFS(Assistance_Log!$F$5:$F$367,Assistance_Log!$C$5:$C$367,$A81,Assistance_Log!$E$5:$E$367,"Winter clothing – children",Assistance_Log!$B$5:$B$367,"&gt;="&amp;Households!F81))</f>
        <v>0</v>
      </c>
      <c r="U81" s="24">
        <f t="shared" si="29"/>
        <v>4</v>
      </c>
      <c r="V81" s="24">
        <f>IF($A81="","",Households!T81*Settings!$B$14)</f>
        <v>1</v>
      </c>
      <c r="W81" s="24">
        <f>IF($A81="","",SUMIFS(Assistance_Log!$F$5:$F$367,Assistance_Log!$C$5:$C$367,$A81,Assistance_Log!$E$5:$E$367,"Winter clothing – adults",Assistance_Log!$B$5:$B$367,"&gt;="&amp;Households!F81))</f>
        <v>0</v>
      </c>
      <c r="X81" s="24">
        <f t="shared" si="30"/>
        <v>1</v>
      </c>
      <c r="Y81" s="24">
        <f>IF($A81="","",Households!J81*Settings!$B$15)</f>
        <v>0</v>
      </c>
      <c r="Z81" s="24">
        <f>IF($A81="","",SUMIFS(Assistance_Log!$F$5:$F$367,Assistance_Log!$C$5:$C$367,$A81,Assistance_Log!$E$5:$E$367,"Diapers",Assistance_Log!$B$5:$B$367,"&gt;="&amp;Households!F81))</f>
        <v>0</v>
      </c>
      <c r="AA81" s="24">
        <f t="shared" si="31"/>
        <v>0</v>
      </c>
      <c r="AB81" s="24">
        <f>IF($A81="","",Settings!$B$16)</f>
        <v>1</v>
      </c>
      <c r="AC81" s="24">
        <f>IF($A81="","",SUMIFS(Assistance_Log!$F$5:$F$367,Assistance_Log!$C$5:$C$367,$A81,Assistance_Log!$E$5:$E$367,"Family hygiene kits",Assistance_Log!$B$5:$B$367,"&gt;="&amp;Households!F81))</f>
        <v>1</v>
      </c>
      <c r="AD81" s="24">
        <f t="shared" si="32"/>
        <v>0</v>
      </c>
      <c r="AE81" s="24">
        <f>IF($A81="","",Households!N81*Settings!$B$17)</f>
        <v>3</v>
      </c>
      <c r="AF81" s="24">
        <f>IF($A81="","",SUMIFS(Assistance_Log!$F$5:$F$367,Assistance_Log!$C$5:$C$367,$A81,Assistance_Log!$E$5:$E$367,"Menstrual hygiene kits",Assistance_Log!$B$5:$B$367,"&gt;="&amp;Households!F81))</f>
        <v>0</v>
      </c>
      <c r="AG81" s="24">
        <f t="shared" si="33"/>
        <v>3</v>
      </c>
      <c r="AH81" s="25" t="str">
        <f t="shared" si="34"/>
        <v>Yes</v>
      </c>
      <c r="AI81" s="24">
        <f t="shared" si="35"/>
        <v>7</v>
      </c>
    </row>
    <row r="82" spans="1:35" x14ac:dyDescent="0.3">
      <c r="A82" s="24" t="str">
        <f>IF(Households!A82="","",Households!A82)</f>
        <v>HH-078</v>
      </c>
      <c r="B82" s="24" t="str">
        <f>IF($A82="","",Households!B82)</f>
        <v>Site C – Informal Tent Area</v>
      </c>
      <c r="C82" s="24" t="str">
        <f>IF($A82="","",Households!X82)</f>
        <v>Low</v>
      </c>
      <c r="D82" s="24">
        <f>IF($A82="","",MAX(0,Households!H82*Settings!$B$9-Households!Q82))</f>
        <v>0</v>
      </c>
      <c r="E82" s="24">
        <f>IF($A82="","",SUMIFS(Assistance_Log!$F$5:$F$367,Assistance_Log!$C$5:$C$367,$A82,Assistance_Log!$E$5:$E$367,"Blankets",Assistance_Log!$B$5:$B$367,"&gt;="&amp;Households!F82))</f>
        <v>0</v>
      </c>
      <c r="F82" s="25">
        <f t="shared" si="24"/>
        <v>0</v>
      </c>
      <c r="G82" s="24">
        <f>IF($A82="","",MAX(0,Households!H82*Settings!$B$10-Households!R82))</f>
        <v>2</v>
      </c>
      <c r="H82" s="24">
        <f>IF($A82="","",SUMIFS(Assistance_Log!$F$5:$F$367,Assistance_Log!$C$5:$C$367,$A82,Assistance_Log!$E$5:$E$367,"Mattresses",Assistance_Log!$B$5:$B$367,"&gt;="&amp;Households!F82))</f>
        <v>0</v>
      </c>
      <c r="I82" s="25">
        <f t="shared" si="25"/>
        <v>2</v>
      </c>
      <c r="J82" s="24">
        <f>IF($A82="","",IF(AND(OR(Households!C82="Tent",Households!C82="Makeshift shelter"),Households!D82="Damaged"),Settings!$B$11,0))</f>
        <v>0</v>
      </c>
      <c r="K82" s="24">
        <f>IF($A82="","",SUMIFS(Assistance_Log!$F$5:$F$367,Assistance_Log!$C$5:$C$367,$A82,Assistance_Log!$E$5:$E$367,"Tarpaulins",Assistance_Log!$B$5:$B$367,"&gt;="&amp;Households!F82))</f>
        <v>0</v>
      </c>
      <c r="L82" s="25">
        <f t="shared" si="26"/>
        <v>0</v>
      </c>
      <c r="M82" s="24">
        <f>IF($A82="","",IF(AND(OR(Households!C82="Tent",Households!C82="Makeshift shelter"),Households!D82="Unusable"),Settings!$B$12,0))</f>
        <v>1</v>
      </c>
      <c r="N82" s="24">
        <f>IF($A82="","",SUMIFS(Assistance_Log!$F$5:$F$367,Assistance_Log!$C$5:$C$367,$A82,Assistance_Log!$E$5:$E$367,"Tent replacement",Assistance_Log!$B$5:$B$367,"&gt;="&amp;Households!F82))</f>
        <v>0</v>
      </c>
      <c r="O82" s="25">
        <f t="shared" si="27"/>
        <v>1</v>
      </c>
      <c r="P82" s="24">
        <f>IF($A82="","",IF(Households!D82="Damaged",Settings!$B$13,0))</f>
        <v>0</v>
      </c>
      <c r="Q82" s="24">
        <f>IF($A82="","",SUMIFS(Assistance_Log!$F$5:$F$367,Assistance_Log!$C$5:$C$367,$A82,Assistance_Log!$E$5:$E$367,"Shelter repair kits",Assistance_Log!$B$5:$B$367,"&gt;="&amp;Households!F82))</f>
        <v>0</v>
      </c>
      <c r="R82" s="24">
        <f t="shared" si="28"/>
        <v>0</v>
      </c>
      <c r="S82" s="24">
        <f>IF($A82="","",Households!S82*Settings!$B$14)</f>
        <v>2</v>
      </c>
      <c r="T82" s="24">
        <f>IF($A82="","",SUMIFS(Assistance_Log!$F$5:$F$367,Assistance_Log!$C$5:$C$367,$A82,Assistance_Log!$E$5:$E$367,"Winter clothing – children",Assistance_Log!$B$5:$B$367,"&gt;="&amp;Households!F82))</f>
        <v>0</v>
      </c>
      <c r="U82" s="24">
        <f t="shared" si="29"/>
        <v>2</v>
      </c>
      <c r="V82" s="24">
        <f>IF($A82="","",Households!T82*Settings!$B$14)</f>
        <v>0</v>
      </c>
      <c r="W82" s="24">
        <f>IF($A82="","",SUMIFS(Assistance_Log!$F$5:$F$367,Assistance_Log!$C$5:$C$367,$A82,Assistance_Log!$E$5:$E$367,"Winter clothing – adults",Assistance_Log!$B$5:$B$367,"&gt;="&amp;Households!F82))</f>
        <v>0</v>
      </c>
      <c r="X82" s="24">
        <f t="shared" si="30"/>
        <v>0</v>
      </c>
      <c r="Y82" s="24">
        <f>IF($A82="","",Households!J82*Settings!$B$15)</f>
        <v>0</v>
      </c>
      <c r="Z82" s="24">
        <f>IF($A82="","",SUMIFS(Assistance_Log!$F$5:$F$367,Assistance_Log!$C$5:$C$367,$A82,Assistance_Log!$E$5:$E$367,"Diapers",Assistance_Log!$B$5:$B$367,"&gt;="&amp;Households!F82))</f>
        <v>0</v>
      </c>
      <c r="AA82" s="24">
        <f t="shared" si="31"/>
        <v>0</v>
      </c>
      <c r="AB82" s="24">
        <f>IF($A82="","",Settings!$B$16)</f>
        <v>1</v>
      </c>
      <c r="AC82" s="24">
        <f>IF($A82="","",SUMIFS(Assistance_Log!$F$5:$F$367,Assistance_Log!$C$5:$C$367,$A82,Assistance_Log!$E$5:$E$367,"Family hygiene kits",Assistance_Log!$B$5:$B$367,"&gt;="&amp;Households!F82))</f>
        <v>0</v>
      </c>
      <c r="AD82" s="24">
        <f t="shared" si="32"/>
        <v>1</v>
      </c>
      <c r="AE82" s="24">
        <f>IF($A82="","",Households!N82*Settings!$B$17)</f>
        <v>1</v>
      </c>
      <c r="AF82" s="24">
        <f>IF($A82="","",SUMIFS(Assistance_Log!$F$5:$F$367,Assistance_Log!$C$5:$C$367,$A82,Assistance_Log!$E$5:$E$367,"Menstrual hygiene kits",Assistance_Log!$B$5:$B$367,"&gt;="&amp;Households!F82))</f>
        <v>0</v>
      </c>
      <c r="AG82" s="24">
        <f t="shared" si="33"/>
        <v>1</v>
      </c>
      <c r="AH82" s="25" t="str">
        <f t="shared" si="34"/>
        <v>Yes</v>
      </c>
      <c r="AI82" s="24">
        <f t="shared" si="35"/>
        <v>5</v>
      </c>
    </row>
    <row r="83" spans="1:35" x14ac:dyDescent="0.3">
      <c r="A83" s="24" t="str">
        <f>IF(Households!A83="","",Households!A83)</f>
        <v>HH-079</v>
      </c>
      <c r="B83" s="24" t="str">
        <f>IF($A83="","",Households!B83)</f>
        <v>Site C – Informal Tent Area</v>
      </c>
      <c r="C83" s="24" t="str">
        <f>IF($A83="","",Households!X83)</f>
        <v>Low</v>
      </c>
      <c r="D83" s="24">
        <f>IF($A83="","",MAX(0,Households!H83*Settings!$B$9-Households!Q83))</f>
        <v>8</v>
      </c>
      <c r="E83" s="24">
        <f>IF($A83="","",SUMIFS(Assistance_Log!$F$5:$F$367,Assistance_Log!$C$5:$C$367,$A83,Assistance_Log!$E$5:$E$367,"Blankets",Assistance_Log!$B$5:$B$367,"&gt;="&amp;Households!F83))</f>
        <v>5</v>
      </c>
      <c r="F83" s="25">
        <f t="shared" si="24"/>
        <v>3</v>
      </c>
      <c r="G83" s="24">
        <f>IF($A83="","",MAX(0,Households!H83*Settings!$B$10-Households!R83))</f>
        <v>3</v>
      </c>
      <c r="H83" s="24">
        <f>IF($A83="","",SUMIFS(Assistance_Log!$F$5:$F$367,Assistance_Log!$C$5:$C$367,$A83,Assistance_Log!$E$5:$E$367,"Mattresses",Assistance_Log!$B$5:$B$367,"&gt;="&amp;Households!F83))</f>
        <v>3</v>
      </c>
      <c r="I83" s="25">
        <f t="shared" si="25"/>
        <v>0</v>
      </c>
      <c r="J83" s="24">
        <f>IF($A83="","",IF(AND(OR(Households!C83="Tent",Households!C83="Makeshift shelter"),Households!D83="Damaged"),Settings!$B$11,0))</f>
        <v>0</v>
      </c>
      <c r="K83" s="24">
        <f>IF($A83="","",SUMIFS(Assistance_Log!$F$5:$F$367,Assistance_Log!$C$5:$C$367,$A83,Assistance_Log!$E$5:$E$367,"Tarpaulins",Assistance_Log!$B$5:$B$367,"&gt;="&amp;Households!F83))</f>
        <v>0</v>
      </c>
      <c r="L83" s="25">
        <f t="shared" si="26"/>
        <v>0</v>
      </c>
      <c r="M83" s="24">
        <f>IF($A83="","",IF(AND(OR(Households!C83="Tent",Households!C83="Makeshift shelter"),Households!D83="Unusable"),Settings!$B$12,0))</f>
        <v>0</v>
      </c>
      <c r="N83" s="24">
        <f>IF($A83="","",SUMIFS(Assistance_Log!$F$5:$F$367,Assistance_Log!$C$5:$C$367,$A83,Assistance_Log!$E$5:$E$367,"Tent replacement",Assistance_Log!$B$5:$B$367,"&gt;="&amp;Households!F83))</f>
        <v>0</v>
      </c>
      <c r="O83" s="25">
        <f t="shared" si="27"/>
        <v>0</v>
      </c>
      <c r="P83" s="24">
        <f>IF($A83="","",IF(Households!D83="Damaged",Settings!$B$13,0))</f>
        <v>0</v>
      </c>
      <c r="Q83" s="24">
        <f>IF($A83="","",SUMIFS(Assistance_Log!$F$5:$F$367,Assistance_Log!$C$5:$C$367,$A83,Assistance_Log!$E$5:$E$367,"Shelter repair kits",Assistance_Log!$B$5:$B$367,"&gt;="&amp;Households!F83))</f>
        <v>0</v>
      </c>
      <c r="R83" s="24">
        <f t="shared" si="28"/>
        <v>0</v>
      </c>
      <c r="S83" s="24">
        <f>IF($A83="","",Households!S83*Settings!$B$14)</f>
        <v>1</v>
      </c>
      <c r="T83" s="24">
        <f>IF($A83="","",SUMIFS(Assistance_Log!$F$5:$F$367,Assistance_Log!$C$5:$C$367,$A83,Assistance_Log!$E$5:$E$367,"Winter clothing – children",Assistance_Log!$B$5:$B$367,"&gt;="&amp;Households!F83))</f>
        <v>0</v>
      </c>
      <c r="U83" s="24">
        <f t="shared" si="29"/>
        <v>1</v>
      </c>
      <c r="V83" s="24">
        <f>IF($A83="","",Households!T83*Settings!$B$14)</f>
        <v>1</v>
      </c>
      <c r="W83" s="24">
        <f>IF($A83="","",SUMIFS(Assistance_Log!$F$5:$F$367,Assistance_Log!$C$5:$C$367,$A83,Assistance_Log!$E$5:$E$367,"Winter clothing – adults",Assistance_Log!$B$5:$B$367,"&gt;="&amp;Households!F83))</f>
        <v>0</v>
      </c>
      <c r="X83" s="24">
        <f t="shared" si="30"/>
        <v>1</v>
      </c>
      <c r="Y83" s="24">
        <f>IF($A83="","",Households!J83*Settings!$B$15)</f>
        <v>0</v>
      </c>
      <c r="Z83" s="24">
        <f>IF($A83="","",SUMIFS(Assistance_Log!$F$5:$F$367,Assistance_Log!$C$5:$C$367,$A83,Assistance_Log!$E$5:$E$367,"Diapers",Assistance_Log!$B$5:$B$367,"&gt;="&amp;Households!F83))</f>
        <v>0</v>
      </c>
      <c r="AA83" s="24">
        <f t="shared" si="31"/>
        <v>0</v>
      </c>
      <c r="AB83" s="24">
        <f>IF($A83="","",Settings!$B$16)</f>
        <v>1</v>
      </c>
      <c r="AC83" s="24">
        <f>IF($A83="","",SUMIFS(Assistance_Log!$F$5:$F$367,Assistance_Log!$C$5:$C$367,$A83,Assistance_Log!$E$5:$E$367,"Family hygiene kits",Assistance_Log!$B$5:$B$367,"&gt;="&amp;Households!F83))</f>
        <v>1</v>
      </c>
      <c r="AD83" s="24">
        <f t="shared" si="32"/>
        <v>0</v>
      </c>
      <c r="AE83" s="24">
        <f>IF($A83="","",Households!N83*Settings!$B$17)</f>
        <v>2</v>
      </c>
      <c r="AF83" s="24">
        <f>IF($A83="","",SUMIFS(Assistance_Log!$F$5:$F$367,Assistance_Log!$C$5:$C$367,$A83,Assistance_Log!$E$5:$E$367,"Menstrual hygiene kits",Assistance_Log!$B$5:$B$367,"&gt;="&amp;Households!F83))</f>
        <v>0</v>
      </c>
      <c r="AG83" s="24">
        <f t="shared" si="33"/>
        <v>2</v>
      </c>
      <c r="AH83" s="25" t="str">
        <f t="shared" si="34"/>
        <v>Yes</v>
      </c>
      <c r="AI83" s="24">
        <f t="shared" si="35"/>
        <v>4</v>
      </c>
    </row>
    <row r="84" spans="1:35" x14ac:dyDescent="0.3">
      <c r="A84" s="24" t="str">
        <f>IF(Households!A84="","",Households!A84)</f>
        <v>HH-080</v>
      </c>
      <c r="B84" s="24" t="str">
        <f>IF($A84="","",Households!B84)</f>
        <v>Site C – Informal Tent Area</v>
      </c>
      <c r="C84" s="24" t="str">
        <f>IF($A84="","",Households!X84)</f>
        <v>Low</v>
      </c>
      <c r="D84" s="24">
        <f>IF($A84="","",MAX(0,Households!H84*Settings!$B$9-Households!Q84))</f>
        <v>12</v>
      </c>
      <c r="E84" s="24">
        <f>IF($A84="","",SUMIFS(Assistance_Log!$F$5:$F$367,Assistance_Log!$C$5:$C$367,$A84,Assistance_Log!$E$5:$E$367,"Blankets",Assistance_Log!$B$5:$B$367,"&gt;="&amp;Households!F84))</f>
        <v>2</v>
      </c>
      <c r="F84" s="25">
        <f t="shared" si="24"/>
        <v>10</v>
      </c>
      <c r="G84" s="24">
        <f>IF($A84="","",MAX(0,Households!H84*Settings!$B$10-Households!R84))</f>
        <v>8</v>
      </c>
      <c r="H84" s="24">
        <f>IF($A84="","",SUMIFS(Assistance_Log!$F$5:$F$367,Assistance_Log!$C$5:$C$367,$A84,Assistance_Log!$E$5:$E$367,"Mattresses",Assistance_Log!$B$5:$B$367,"&gt;="&amp;Households!F84))</f>
        <v>0</v>
      </c>
      <c r="I84" s="25">
        <f t="shared" si="25"/>
        <v>8</v>
      </c>
      <c r="J84" s="24">
        <f>IF($A84="","",IF(AND(OR(Households!C84="Tent",Households!C84="Makeshift shelter"),Households!D84="Damaged"),Settings!$B$11,0))</f>
        <v>0</v>
      </c>
      <c r="K84" s="24">
        <f>IF($A84="","",SUMIFS(Assistance_Log!$F$5:$F$367,Assistance_Log!$C$5:$C$367,$A84,Assistance_Log!$E$5:$E$367,"Tarpaulins",Assistance_Log!$B$5:$B$367,"&gt;="&amp;Households!F84))</f>
        <v>0</v>
      </c>
      <c r="L84" s="25">
        <f t="shared" si="26"/>
        <v>0</v>
      </c>
      <c r="M84" s="24">
        <f>IF($A84="","",IF(AND(OR(Households!C84="Tent",Households!C84="Makeshift shelter"),Households!D84="Unusable"),Settings!$B$12,0))</f>
        <v>0</v>
      </c>
      <c r="N84" s="24">
        <f>IF($A84="","",SUMIFS(Assistance_Log!$F$5:$F$367,Assistance_Log!$C$5:$C$367,$A84,Assistance_Log!$E$5:$E$367,"Tent replacement",Assistance_Log!$B$5:$B$367,"&gt;="&amp;Households!F84))</f>
        <v>0</v>
      </c>
      <c r="O84" s="25">
        <f t="shared" si="27"/>
        <v>0</v>
      </c>
      <c r="P84" s="24">
        <f>IF($A84="","",IF(Households!D84="Damaged",Settings!$B$13,0))</f>
        <v>0</v>
      </c>
      <c r="Q84" s="24">
        <f>IF($A84="","",SUMIFS(Assistance_Log!$F$5:$F$367,Assistance_Log!$C$5:$C$367,$A84,Assistance_Log!$E$5:$E$367,"Shelter repair kits",Assistance_Log!$B$5:$B$367,"&gt;="&amp;Households!F84))</f>
        <v>0</v>
      </c>
      <c r="R84" s="24">
        <f t="shared" si="28"/>
        <v>0</v>
      </c>
      <c r="S84" s="24">
        <f>IF($A84="","",Households!S84*Settings!$B$14)</f>
        <v>1</v>
      </c>
      <c r="T84" s="24">
        <f>IF($A84="","",SUMIFS(Assistance_Log!$F$5:$F$367,Assistance_Log!$C$5:$C$367,$A84,Assistance_Log!$E$5:$E$367,"Winter clothing – children",Assistance_Log!$B$5:$B$367,"&gt;="&amp;Households!F84))</f>
        <v>1</v>
      </c>
      <c r="U84" s="24">
        <f t="shared" si="29"/>
        <v>0</v>
      </c>
      <c r="V84" s="24">
        <f>IF($A84="","",Households!T84*Settings!$B$14)</f>
        <v>3</v>
      </c>
      <c r="W84" s="24">
        <f>IF($A84="","",SUMIFS(Assistance_Log!$F$5:$F$367,Assistance_Log!$C$5:$C$367,$A84,Assistance_Log!$E$5:$E$367,"Winter clothing – adults",Assistance_Log!$B$5:$B$367,"&gt;="&amp;Households!F84))</f>
        <v>0</v>
      </c>
      <c r="X84" s="24">
        <f t="shared" si="30"/>
        <v>3</v>
      </c>
      <c r="Y84" s="24">
        <f>IF($A84="","",Households!J84*Settings!$B$15)</f>
        <v>0</v>
      </c>
      <c r="Z84" s="24">
        <f>IF($A84="","",SUMIFS(Assistance_Log!$F$5:$F$367,Assistance_Log!$C$5:$C$367,$A84,Assistance_Log!$E$5:$E$367,"Diapers",Assistance_Log!$B$5:$B$367,"&gt;="&amp;Households!F84))</f>
        <v>0</v>
      </c>
      <c r="AA84" s="24">
        <f t="shared" si="31"/>
        <v>0</v>
      </c>
      <c r="AB84" s="24">
        <f>IF($A84="","",Settings!$B$16)</f>
        <v>1</v>
      </c>
      <c r="AC84" s="24">
        <f>IF($A84="","",SUMIFS(Assistance_Log!$F$5:$F$367,Assistance_Log!$C$5:$C$367,$A84,Assistance_Log!$E$5:$E$367,"Family hygiene kits",Assistance_Log!$B$5:$B$367,"&gt;="&amp;Households!F84))</f>
        <v>1</v>
      </c>
      <c r="AD84" s="24">
        <f t="shared" si="32"/>
        <v>0</v>
      </c>
      <c r="AE84" s="24">
        <f>IF($A84="","",Households!N84*Settings!$B$17)</f>
        <v>1</v>
      </c>
      <c r="AF84" s="24">
        <f>IF($A84="","",SUMIFS(Assistance_Log!$F$5:$F$367,Assistance_Log!$C$5:$C$367,$A84,Assistance_Log!$E$5:$E$367,"Menstrual hygiene kits",Assistance_Log!$B$5:$B$367,"&gt;="&amp;Households!F84))</f>
        <v>0</v>
      </c>
      <c r="AG84" s="24">
        <f t="shared" si="33"/>
        <v>1</v>
      </c>
      <c r="AH84" s="25" t="str">
        <f t="shared" si="34"/>
        <v>Yes</v>
      </c>
      <c r="AI84" s="24">
        <f t="shared" si="35"/>
        <v>4</v>
      </c>
    </row>
    <row r="85" spans="1:35" x14ac:dyDescent="0.3">
      <c r="A85" s="24" t="str">
        <f>IF(Households!A85="","",Households!A85)</f>
        <v>HH-081</v>
      </c>
      <c r="B85" s="24" t="str">
        <f>IF($A85="","",Households!B85)</f>
        <v>Site C – Informal Tent Area</v>
      </c>
      <c r="C85" s="24" t="str">
        <f>IF($A85="","",Households!X85)</f>
        <v>Medium</v>
      </c>
      <c r="D85" s="24">
        <f>IF($A85="","",MAX(0,Households!H85*Settings!$B$9-Households!Q85))</f>
        <v>2</v>
      </c>
      <c r="E85" s="24">
        <f>IF($A85="","",SUMIFS(Assistance_Log!$F$5:$F$367,Assistance_Log!$C$5:$C$367,$A85,Assistance_Log!$E$5:$E$367,"Blankets",Assistance_Log!$B$5:$B$367,"&gt;="&amp;Households!F85))</f>
        <v>1</v>
      </c>
      <c r="F85" s="25">
        <f t="shared" si="24"/>
        <v>1</v>
      </c>
      <c r="G85" s="24">
        <f>IF($A85="","",MAX(0,Households!H85*Settings!$B$10-Households!R85))</f>
        <v>1</v>
      </c>
      <c r="H85" s="24">
        <f>IF($A85="","",SUMIFS(Assistance_Log!$F$5:$F$367,Assistance_Log!$C$5:$C$367,$A85,Assistance_Log!$E$5:$E$367,"Mattresses",Assistance_Log!$B$5:$B$367,"&gt;="&amp;Households!F85))</f>
        <v>1</v>
      </c>
      <c r="I85" s="25">
        <f t="shared" si="25"/>
        <v>0</v>
      </c>
      <c r="J85" s="24">
        <f>IF($A85="","",IF(AND(OR(Households!C85="Tent",Households!C85="Makeshift shelter"),Households!D85="Damaged"),Settings!$B$11,0))</f>
        <v>0</v>
      </c>
      <c r="K85" s="24">
        <f>IF($A85="","",SUMIFS(Assistance_Log!$F$5:$F$367,Assistance_Log!$C$5:$C$367,$A85,Assistance_Log!$E$5:$E$367,"Tarpaulins",Assistance_Log!$B$5:$B$367,"&gt;="&amp;Households!F85))</f>
        <v>0</v>
      </c>
      <c r="L85" s="25">
        <f t="shared" si="26"/>
        <v>0</v>
      </c>
      <c r="M85" s="24">
        <f>IF($A85="","",IF(AND(OR(Households!C85="Tent",Households!C85="Makeshift shelter"),Households!D85="Unusable"),Settings!$B$12,0))</f>
        <v>1</v>
      </c>
      <c r="N85" s="24">
        <f>IF($A85="","",SUMIFS(Assistance_Log!$F$5:$F$367,Assistance_Log!$C$5:$C$367,$A85,Assistance_Log!$E$5:$E$367,"Tent replacement",Assistance_Log!$B$5:$B$367,"&gt;="&amp;Households!F85))</f>
        <v>0</v>
      </c>
      <c r="O85" s="25">
        <f t="shared" si="27"/>
        <v>1</v>
      </c>
      <c r="P85" s="24">
        <f>IF($A85="","",IF(Households!D85="Damaged",Settings!$B$13,0))</f>
        <v>0</v>
      </c>
      <c r="Q85" s="24">
        <f>IF($A85="","",SUMIFS(Assistance_Log!$F$5:$F$367,Assistance_Log!$C$5:$C$367,$A85,Assistance_Log!$E$5:$E$367,"Shelter repair kits",Assistance_Log!$B$5:$B$367,"&gt;="&amp;Households!F85))</f>
        <v>0</v>
      </c>
      <c r="R85" s="24">
        <f t="shared" si="28"/>
        <v>0</v>
      </c>
      <c r="S85" s="24">
        <f>IF($A85="","",Households!S85*Settings!$B$14)</f>
        <v>1</v>
      </c>
      <c r="T85" s="24">
        <f>IF($A85="","",SUMIFS(Assistance_Log!$F$5:$F$367,Assistance_Log!$C$5:$C$367,$A85,Assistance_Log!$E$5:$E$367,"Winter clothing – children",Assistance_Log!$B$5:$B$367,"&gt;="&amp;Households!F85))</f>
        <v>0</v>
      </c>
      <c r="U85" s="24">
        <f t="shared" si="29"/>
        <v>1</v>
      </c>
      <c r="V85" s="24">
        <f>IF($A85="","",Households!T85*Settings!$B$14)</f>
        <v>0</v>
      </c>
      <c r="W85" s="24">
        <f>IF($A85="","",SUMIFS(Assistance_Log!$F$5:$F$367,Assistance_Log!$C$5:$C$367,$A85,Assistance_Log!$E$5:$E$367,"Winter clothing – adults",Assistance_Log!$B$5:$B$367,"&gt;="&amp;Households!F85))</f>
        <v>0</v>
      </c>
      <c r="X85" s="24">
        <f t="shared" si="30"/>
        <v>0</v>
      </c>
      <c r="Y85" s="24">
        <f>IF($A85="","",Households!J85*Settings!$B$15)</f>
        <v>0</v>
      </c>
      <c r="Z85" s="24">
        <f>IF($A85="","",SUMIFS(Assistance_Log!$F$5:$F$367,Assistance_Log!$C$5:$C$367,$A85,Assistance_Log!$E$5:$E$367,"Diapers",Assistance_Log!$B$5:$B$367,"&gt;="&amp;Households!F85))</f>
        <v>0</v>
      </c>
      <c r="AA85" s="24">
        <f t="shared" si="31"/>
        <v>0</v>
      </c>
      <c r="AB85" s="24">
        <f>IF($A85="","",Settings!$B$16)</f>
        <v>1</v>
      </c>
      <c r="AC85" s="24">
        <f>IF($A85="","",SUMIFS(Assistance_Log!$F$5:$F$367,Assistance_Log!$C$5:$C$367,$A85,Assistance_Log!$E$5:$E$367,"Family hygiene kits",Assistance_Log!$B$5:$B$367,"&gt;="&amp;Households!F85))</f>
        <v>0</v>
      </c>
      <c r="AD85" s="24">
        <f t="shared" si="32"/>
        <v>1</v>
      </c>
      <c r="AE85" s="24">
        <f>IF($A85="","",Households!N85*Settings!$B$17)</f>
        <v>2</v>
      </c>
      <c r="AF85" s="24">
        <f>IF($A85="","",SUMIFS(Assistance_Log!$F$5:$F$367,Assistance_Log!$C$5:$C$367,$A85,Assistance_Log!$E$5:$E$367,"Menstrual hygiene kits",Assistance_Log!$B$5:$B$367,"&gt;="&amp;Households!F85))</f>
        <v>0</v>
      </c>
      <c r="AG85" s="24">
        <f t="shared" si="33"/>
        <v>2</v>
      </c>
      <c r="AH85" s="25" t="str">
        <f t="shared" si="34"/>
        <v>Yes</v>
      </c>
      <c r="AI85" s="24">
        <f t="shared" si="35"/>
        <v>5</v>
      </c>
    </row>
    <row r="86" spans="1:35" x14ac:dyDescent="0.3">
      <c r="A86" s="24" t="str">
        <f>IF(Households!A86="","",Households!A86)</f>
        <v>HH-082</v>
      </c>
      <c r="B86" s="24" t="str">
        <f>IF($A86="","",Households!B86)</f>
        <v>Site C – Informal Tent Area</v>
      </c>
      <c r="C86" s="24" t="str">
        <f>IF($A86="","",Households!X86)</f>
        <v>Medium</v>
      </c>
      <c r="D86" s="24">
        <f>IF($A86="","",MAX(0,Households!H86*Settings!$B$9-Households!Q86))</f>
        <v>5</v>
      </c>
      <c r="E86" s="24">
        <f>IF($A86="","",SUMIFS(Assistance_Log!$F$5:$F$367,Assistance_Log!$C$5:$C$367,$A86,Assistance_Log!$E$5:$E$367,"Blankets",Assistance_Log!$B$5:$B$367,"&gt;="&amp;Households!F86))</f>
        <v>0</v>
      </c>
      <c r="F86" s="25">
        <f t="shared" si="24"/>
        <v>5</v>
      </c>
      <c r="G86" s="24">
        <f>IF($A86="","",MAX(0,Households!H86*Settings!$B$10-Households!R86))</f>
        <v>4</v>
      </c>
      <c r="H86" s="24">
        <f>IF($A86="","",SUMIFS(Assistance_Log!$F$5:$F$367,Assistance_Log!$C$5:$C$367,$A86,Assistance_Log!$E$5:$E$367,"Mattresses",Assistance_Log!$B$5:$B$367,"&gt;="&amp;Households!F86))</f>
        <v>0</v>
      </c>
      <c r="I86" s="25">
        <f t="shared" si="25"/>
        <v>4</v>
      </c>
      <c r="J86" s="24">
        <f>IF($A86="","",IF(AND(OR(Households!C86="Tent",Households!C86="Makeshift shelter"),Households!D86="Damaged"),Settings!$B$11,0))</f>
        <v>0</v>
      </c>
      <c r="K86" s="24">
        <f>IF($A86="","",SUMIFS(Assistance_Log!$F$5:$F$367,Assistance_Log!$C$5:$C$367,$A86,Assistance_Log!$E$5:$E$367,"Tarpaulins",Assistance_Log!$B$5:$B$367,"&gt;="&amp;Households!F86))</f>
        <v>0</v>
      </c>
      <c r="L86" s="25">
        <f t="shared" si="26"/>
        <v>0</v>
      </c>
      <c r="M86" s="24">
        <f>IF($A86="","",IF(AND(OR(Households!C86="Tent",Households!C86="Makeshift shelter"),Households!D86="Unusable"),Settings!$B$12,0))</f>
        <v>1</v>
      </c>
      <c r="N86" s="24">
        <f>IF($A86="","",SUMIFS(Assistance_Log!$F$5:$F$367,Assistance_Log!$C$5:$C$367,$A86,Assistance_Log!$E$5:$E$367,"Tent replacement",Assistance_Log!$B$5:$B$367,"&gt;="&amp;Households!F86))</f>
        <v>0</v>
      </c>
      <c r="O86" s="25">
        <f t="shared" si="27"/>
        <v>1</v>
      </c>
      <c r="P86" s="24">
        <f>IF($A86="","",IF(Households!D86="Damaged",Settings!$B$13,0))</f>
        <v>0</v>
      </c>
      <c r="Q86" s="24">
        <f>IF($A86="","",SUMIFS(Assistance_Log!$F$5:$F$367,Assistance_Log!$C$5:$C$367,$A86,Assistance_Log!$E$5:$E$367,"Shelter repair kits",Assistance_Log!$B$5:$B$367,"&gt;="&amp;Households!F86))</f>
        <v>0</v>
      </c>
      <c r="R86" s="24">
        <f t="shared" si="28"/>
        <v>0</v>
      </c>
      <c r="S86" s="24">
        <f>IF($A86="","",Households!S86*Settings!$B$14)</f>
        <v>3</v>
      </c>
      <c r="T86" s="24">
        <f>IF($A86="","",SUMIFS(Assistance_Log!$F$5:$F$367,Assistance_Log!$C$5:$C$367,$A86,Assistance_Log!$E$5:$E$367,"Winter clothing – children",Assistance_Log!$B$5:$B$367,"&gt;="&amp;Households!F86))</f>
        <v>0</v>
      </c>
      <c r="U86" s="24">
        <f t="shared" si="29"/>
        <v>3</v>
      </c>
      <c r="V86" s="24">
        <f>IF($A86="","",Households!T86*Settings!$B$14)</f>
        <v>1</v>
      </c>
      <c r="W86" s="24">
        <f>IF($A86="","",SUMIFS(Assistance_Log!$F$5:$F$367,Assistance_Log!$C$5:$C$367,$A86,Assistance_Log!$E$5:$E$367,"Winter clothing – adults",Assistance_Log!$B$5:$B$367,"&gt;="&amp;Households!F86))</f>
        <v>0</v>
      </c>
      <c r="X86" s="24">
        <f t="shared" si="30"/>
        <v>1</v>
      </c>
      <c r="Y86" s="24">
        <f>IF($A86="","",Households!J86*Settings!$B$15)</f>
        <v>0</v>
      </c>
      <c r="Z86" s="24">
        <f>IF($A86="","",SUMIFS(Assistance_Log!$F$5:$F$367,Assistance_Log!$C$5:$C$367,$A86,Assistance_Log!$E$5:$E$367,"Diapers",Assistance_Log!$B$5:$B$367,"&gt;="&amp;Households!F86))</f>
        <v>0</v>
      </c>
      <c r="AA86" s="24">
        <f t="shared" si="31"/>
        <v>0</v>
      </c>
      <c r="AB86" s="24">
        <f>IF($A86="","",Settings!$B$16)</f>
        <v>1</v>
      </c>
      <c r="AC86" s="24">
        <f>IF($A86="","",SUMIFS(Assistance_Log!$F$5:$F$367,Assistance_Log!$C$5:$C$367,$A86,Assistance_Log!$E$5:$E$367,"Family hygiene kits",Assistance_Log!$B$5:$B$367,"&gt;="&amp;Households!F86))</f>
        <v>0</v>
      </c>
      <c r="AD86" s="24">
        <f t="shared" si="32"/>
        <v>1</v>
      </c>
      <c r="AE86" s="24">
        <f>IF($A86="","",Households!N86*Settings!$B$17)</f>
        <v>3</v>
      </c>
      <c r="AF86" s="24">
        <f>IF($A86="","",SUMIFS(Assistance_Log!$F$5:$F$367,Assistance_Log!$C$5:$C$367,$A86,Assistance_Log!$E$5:$E$367,"Menstrual hygiene kits",Assistance_Log!$B$5:$B$367,"&gt;="&amp;Households!F86))</f>
        <v>0</v>
      </c>
      <c r="AG86" s="24">
        <f t="shared" si="33"/>
        <v>3</v>
      </c>
      <c r="AH86" s="25" t="str">
        <f t="shared" si="34"/>
        <v>Yes</v>
      </c>
      <c r="AI86" s="24">
        <f t="shared" si="35"/>
        <v>7</v>
      </c>
    </row>
    <row r="87" spans="1:35" x14ac:dyDescent="0.3">
      <c r="A87" s="24" t="str">
        <f>IF(Households!A87="","",Households!A87)</f>
        <v>HH-083</v>
      </c>
      <c r="B87" s="24" t="str">
        <f>IF($A87="","",Households!B87)</f>
        <v>Site C – Informal Tent Area</v>
      </c>
      <c r="C87" s="24" t="str">
        <f>IF($A87="","",Households!X87)</f>
        <v>Low</v>
      </c>
      <c r="D87" s="24">
        <f>IF($A87="","",MAX(0,Households!H87*Settings!$B$9-Households!Q87))</f>
        <v>6</v>
      </c>
      <c r="E87" s="24">
        <f>IF($A87="","",SUMIFS(Assistance_Log!$F$5:$F$367,Assistance_Log!$C$5:$C$367,$A87,Assistance_Log!$E$5:$E$367,"Blankets",Assistance_Log!$B$5:$B$367,"&gt;="&amp;Households!F87))</f>
        <v>3</v>
      </c>
      <c r="F87" s="25">
        <f t="shared" si="24"/>
        <v>3</v>
      </c>
      <c r="G87" s="24">
        <f>IF($A87="","",MAX(0,Households!H87*Settings!$B$10-Households!R87))</f>
        <v>0</v>
      </c>
      <c r="H87" s="24">
        <f>IF($A87="","",SUMIFS(Assistance_Log!$F$5:$F$367,Assistance_Log!$C$5:$C$367,$A87,Assistance_Log!$E$5:$E$367,"Mattresses",Assistance_Log!$B$5:$B$367,"&gt;="&amp;Households!F87))</f>
        <v>0</v>
      </c>
      <c r="I87" s="25">
        <f t="shared" si="25"/>
        <v>0</v>
      </c>
      <c r="J87" s="24">
        <f>IF($A87="","",IF(AND(OR(Households!C87="Tent",Households!C87="Makeshift shelter"),Households!D87="Damaged"),Settings!$B$11,0))</f>
        <v>0</v>
      </c>
      <c r="K87" s="24">
        <f>IF($A87="","",SUMIFS(Assistance_Log!$F$5:$F$367,Assistance_Log!$C$5:$C$367,$A87,Assistance_Log!$E$5:$E$367,"Tarpaulins",Assistance_Log!$B$5:$B$367,"&gt;="&amp;Households!F87))</f>
        <v>0</v>
      </c>
      <c r="L87" s="25">
        <f t="shared" si="26"/>
        <v>0</v>
      </c>
      <c r="M87" s="24">
        <f>IF($A87="","",IF(AND(OR(Households!C87="Tent",Households!C87="Makeshift shelter"),Households!D87="Unusable"),Settings!$B$12,0))</f>
        <v>0</v>
      </c>
      <c r="N87" s="24">
        <f>IF($A87="","",SUMIFS(Assistance_Log!$F$5:$F$367,Assistance_Log!$C$5:$C$367,$A87,Assistance_Log!$E$5:$E$367,"Tent replacement",Assistance_Log!$B$5:$B$367,"&gt;="&amp;Households!F87))</f>
        <v>0</v>
      </c>
      <c r="O87" s="25">
        <f t="shared" si="27"/>
        <v>0</v>
      </c>
      <c r="P87" s="24">
        <f>IF($A87="","",IF(Households!D87="Damaged",Settings!$B$13,0))</f>
        <v>0</v>
      </c>
      <c r="Q87" s="24">
        <f>IF($A87="","",SUMIFS(Assistance_Log!$F$5:$F$367,Assistance_Log!$C$5:$C$367,$A87,Assistance_Log!$E$5:$E$367,"Shelter repair kits",Assistance_Log!$B$5:$B$367,"&gt;="&amp;Households!F87))</f>
        <v>0</v>
      </c>
      <c r="R87" s="24">
        <f t="shared" si="28"/>
        <v>0</v>
      </c>
      <c r="S87" s="24">
        <f>IF($A87="","",Households!S87*Settings!$B$14)</f>
        <v>0</v>
      </c>
      <c r="T87" s="24">
        <f>IF($A87="","",SUMIFS(Assistance_Log!$F$5:$F$367,Assistance_Log!$C$5:$C$367,$A87,Assistance_Log!$E$5:$E$367,"Winter clothing – children",Assistance_Log!$B$5:$B$367,"&gt;="&amp;Households!F87))</f>
        <v>0</v>
      </c>
      <c r="U87" s="24">
        <f t="shared" si="29"/>
        <v>0</v>
      </c>
      <c r="V87" s="24">
        <f>IF($A87="","",Households!T87*Settings!$B$14)</f>
        <v>0</v>
      </c>
      <c r="W87" s="24">
        <f>IF($A87="","",SUMIFS(Assistance_Log!$F$5:$F$367,Assistance_Log!$C$5:$C$367,$A87,Assistance_Log!$E$5:$E$367,"Winter clothing – adults",Assistance_Log!$B$5:$B$367,"&gt;="&amp;Households!F87))</f>
        <v>0</v>
      </c>
      <c r="X87" s="24">
        <f t="shared" si="30"/>
        <v>0</v>
      </c>
      <c r="Y87" s="24">
        <f>IF($A87="","",Households!J87*Settings!$B$15)</f>
        <v>0</v>
      </c>
      <c r="Z87" s="24">
        <f>IF($A87="","",SUMIFS(Assistance_Log!$F$5:$F$367,Assistance_Log!$C$5:$C$367,$A87,Assistance_Log!$E$5:$E$367,"Diapers",Assistance_Log!$B$5:$B$367,"&gt;="&amp;Households!F87))</f>
        <v>0</v>
      </c>
      <c r="AA87" s="24">
        <f t="shared" si="31"/>
        <v>0</v>
      </c>
      <c r="AB87" s="24">
        <f>IF($A87="","",Settings!$B$16)</f>
        <v>1</v>
      </c>
      <c r="AC87" s="24">
        <f>IF($A87="","",SUMIFS(Assistance_Log!$F$5:$F$367,Assistance_Log!$C$5:$C$367,$A87,Assistance_Log!$E$5:$E$367,"Family hygiene kits",Assistance_Log!$B$5:$B$367,"&gt;="&amp;Households!F87))</f>
        <v>1</v>
      </c>
      <c r="AD87" s="24">
        <f t="shared" si="32"/>
        <v>0</v>
      </c>
      <c r="AE87" s="24">
        <f>IF($A87="","",Households!N87*Settings!$B$17)</f>
        <v>1</v>
      </c>
      <c r="AF87" s="24">
        <f>IF($A87="","",SUMIFS(Assistance_Log!$F$5:$F$367,Assistance_Log!$C$5:$C$367,$A87,Assistance_Log!$E$5:$E$367,"Menstrual hygiene kits",Assistance_Log!$B$5:$B$367,"&gt;="&amp;Households!F87))</f>
        <v>0</v>
      </c>
      <c r="AG87" s="24">
        <f t="shared" si="33"/>
        <v>1</v>
      </c>
      <c r="AH87" s="25" t="str">
        <f t="shared" si="34"/>
        <v>Yes</v>
      </c>
      <c r="AI87" s="24">
        <f t="shared" si="35"/>
        <v>2</v>
      </c>
    </row>
    <row r="88" spans="1:35" x14ac:dyDescent="0.3">
      <c r="A88" s="24" t="str">
        <f>IF(Households!A88="","",Households!A88)</f>
        <v>HH-084</v>
      </c>
      <c r="B88" s="24" t="str">
        <f>IF($A88="","",Households!B88)</f>
        <v>Site C – Informal Tent Area</v>
      </c>
      <c r="C88" s="24" t="str">
        <f>IF($A88="","",Households!X88)</f>
        <v>High</v>
      </c>
      <c r="D88" s="24">
        <f>IF($A88="","",MAX(0,Households!H88*Settings!$B$9-Households!Q88))</f>
        <v>9</v>
      </c>
      <c r="E88" s="24">
        <f>IF($A88="","",SUMIFS(Assistance_Log!$F$5:$F$367,Assistance_Log!$C$5:$C$367,$A88,Assistance_Log!$E$5:$E$367,"Blankets",Assistance_Log!$B$5:$B$367,"&gt;="&amp;Households!F88))</f>
        <v>9</v>
      </c>
      <c r="F88" s="25">
        <f t="shared" si="24"/>
        <v>0</v>
      </c>
      <c r="G88" s="24">
        <f>IF($A88="","",MAX(0,Households!H88*Settings!$B$10-Households!R88))</f>
        <v>9</v>
      </c>
      <c r="H88" s="24">
        <f>IF($A88="","",SUMIFS(Assistance_Log!$F$5:$F$367,Assistance_Log!$C$5:$C$367,$A88,Assistance_Log!$E$5:$E$367,"Mattresses",Assistance_Log!$B$5:$B$367,"&gt;="&amp;Households!F88))</f>
        <v>0</v>
      </c>
      <c r="I88" s="25">
        <f t="shared" si="25"/>
        <v>9</v>
      </c>
      <c r="J88" s="24">
        <f>IF($A88="","",IF(AND(OR(Households!C88="Tent",Households!C88="Makeshift shelter"),Households!D88="Damaged"),Settings!$B$11,0))</f>
        <v>2</v>
      </c>
      <c r="K88" s="24">
        <f>IF($A88="","",SUMIFS(Assistance_Log!$F$5:$F$367,Assistance_Log!$C$5:$C$367,$A88,Assistance_Log!$E$5:$E$367,"Tarpaulins",Assistance_Log!$B$5:$B$367,"&gt;="&amp;Households!F88))</f>
        <v>2</v>
      </c>
      <c r="L88" s="25">
        <f t="shared" si="26"/>
        <v>0</v>
      </c>
      <c r="M88" s="24">
        <f>IF($A88="","",IF(AND(OR(Households!C88="Tent",Households!C88="Makeshift shelter"),Households!D88="Unusable"),Settings!$B$12,0))</f>
        <v>0</v>
      </c>
      <c r="N88" s="24">
        <f>IF($A88="","",SUMIFS(Assistance_Log!$F$5:$F$367,Assistance_Log!$C$5:$C$367,$A88,Assistance_Log!$E$5:$E$367,"Tent replacement",Assistance_Log!$B$5:$B$367,"&gt;="&amp;Households!F88))</f>
        <v>0</v>
      </c>
      <c r="O88" s="25">
        <f t="shared" si="27"/>
        <v>0</v>
      </c>
      <c r="P88" s="24">
        <f>IF($A88="","",IF(Households!D88="Damaged",Settings!$B$13,0))</f>
        <v>1</v>
      </c>
      <c r="Q88" s="24">
        <f>IF($A88="","",SUMIFS(Assistance_Log!$F$5:$F$367,Assistance_Log!$C$5:$C$367,$A88,Assistance_Log!$E$5:$E$367,"Shelter repair kits",Assistance_Log!$B$5:$B$367,"&gt;="&amp;Households!F88))</f>
        <v>1</v>
      </c>
      <c r="R88" s="24">
        <f t="shared" si="28"/>
        <v>0</v>
      </c>
      <c r="S88" s="24">
        <f>IF($A88="","",Households!S88*Settings!$B$14)</f>
        <v>5</v>
      </c>
      <c r="T88" s="24">
        <f>IF($A88="","",SUMIFS(Assistance_Log!$F$5:$F$367,Assistance_Log!$C$5:$C$367,$A88,Assistance_Log!$E$5:$E$367,"Winter clothing – children",Assistance_Log!$B$5:$B$367,"&gt;="&amp;Households!F88))</f>
        <v>5</v>
      </c>
      <c r="U88" s="24">
        <f t="shared" si="29"/>
        <v>0</v>
      </c>
      <c r="V88" s="24">
        <f>IF($A88="","",Households!T88*Settings!$B$14)</f>
        <v>1</v>
      </c>
      <c r="W88" s="24">
        <f>IF($A88="","",SUMIFS(Assistance_Log!$F$5:$F$367,Assistance_Log!$C$5:$C$367,$A88,Assistance_Log!$E$5:$E$367,"Winter clothing – adults",Assistance_Log!$B$5:$B$367,"&gt;="&amp;Households!F88))</f>
        <v>0</v>
      </c>
      <c r="X88" s="24">
        <f t="shared" si="30"/>
        <v>1</v>
      </c>
      <c r="Y88" s="24">
        <f>IF($A88="","",Households!J88*Settings!$B$15)</f>
        <v>8</v>
      </c>
      <c r="Z88" s="24">
        <f>IF($A88="","",SUMIFS(Assistance_Log!$F$5:$F$367,Assistance_Log!$C$5:$C$367,$A88,Assistance_Log!$E$5:$E$367,"Diapers",Assistance_Log!$B$5:$B$367,"&gt;="&amp;Households!F88))</f>
        <v>8</v>
      </c>
      <c r="AA88" s="24">
        <f t="shared" si="31"/>
        <v>0</v>
      </c>
      <c r="AB88" s="24">
        <f>IF($A88="","",Settings!$B$16)</f>
        <v>1</v>
      </c>
      <c r="AC88" s="24">
        <f>IF($A88="","",SUMIFS(Assistance_Log!$F$5:$F$367,Assistance_Log!$C$5:$C$367,$A88,Assistance_Log!$E$5:$E$367,"Family hygiene kits",Assistance_Log!$B$5:$B$367,"&gt;="&amp;Households!F88))</f>
        <v>0</v>
      </c>
      <c r="AD88" s="24">
        <f t="shared" si="32"/>
        <v>1</v>
      </c>
      <c r="AE88" s="24">
        <f>IF($A88="","",Households!N88*Settings!$B$17)</f>
        <v>1</v>
      </c>
      <c r="AF88" s="24">
        <f>IF($A88="","",SUMIFS(Assistance_Log!$F$5:$F$367,Assistance_Log!$C$5:$C$367,$A88,Assistance_Log!$E$5:$E$367,"Menstrual hygiene kits",Assistance_Log!$B$5:$B$367,"&gt;="&amp;Households!F88))</f>
        <v>0</v>
      </c>
      <c r="AG88" s="24">
        <f t="shared" si="33"/>
        <v>1</v>
      </c>
      <c r="AH88" s="25" t="str">
        <f t="shared" si="34"/>
        <v>Yes</v>
      </c>
      <c r="AI88" s="24">
        <f t="shared" si="35"/>
        <v>4</v>
      </c>
    </row>
    <row r="89" spans="1:35" x14ac:dyDescent="0.3">
      <c r="A89" s="24" t="str">
        <f>IF(Households!A89="","",Households!A89)</f>
        <v>HH-085</v>
      </c>
      <c r="B89" s="24" t="str">
        <f>IF($A89="","",Households!B89)</f>
        <v>Site C – Informal Tent Area</v>
      </c>
      <c r="C89" s="24" t="str">
        <f>IF($A89="","",Households!X89)</f>
        <v>Medium</v>
      </c>
      <c r="D89" s="24">
        <f>IF($A89="","",MAX(0,Households!H89*Settings!$B$9-Households!Q89))</f>
        <v>16</v>
      </c>
      <c r="E89" s="24">
        <f>IF($A89="","",SUMIFS(Assistance_Log!$F$5:$F$367,Assistance_Log!$C$5:$C$367,$A89,Assistance_Log!$E$5:$E$367,"Blankets",Assistance_Log!$B$5:$B$367,"&gt;="&amp;Households!F89))</f>
        <v>16</v>
      </c>
      <c r="F89" s="25">
        <f t="shared" si="24"/>
        <v>0</v>
      </c>
      <c r="G89" s="24">
        <f>IF($A89="","",MAX(0,Households!H89*Settings!$B$10-Households!R89))</f>
        <v>2</v>
      </c>
      <c r="H89" s="24">
        <f>IF($A89="","",SUMIFS(Assistance_Log!$F$5:$F$367,Assistance_Log!$C$5:$C$367,$A89,Assistance_Log!$E$5:$E$367,"Mattresses",Assistance_Log!$B$5:$B$367,"&gt;="&amp;Households!F89))</f>
        <v>1</v>
      </c>
      <c r="I89" s="25">
        <f t="shared" si="25"/>
        <v>1</v>
      </c>
      <c r="J89" s="24">
        <f>IF($A89="","",IF(AND(OR(Households!C89="Tent",Households!C89="Makeshift shelter"),Households!D89="Damaged"),Settings!$B$11,0))</f>
        <v>0</v>
      </c>
      <c r="K89" s="24">
        <f>IF($A89="","",SUMIFS(Assistance_Log!$F$5:$F$367,Assistance_Log!$C$5:$C$367,$A89,Assistance_Log!$E$5:$E$367,"Tarpaulins",Assistance_Log!$B$5:$B$367,"&gt;="&amp;Households!F89))</f>
        <v>0</v>
      </c>
      <c r="L89" s="25">
        <f t="shared" si="26"/>
        <v>0</v>
      </c>
      <c r="M89" s="24">
        <f>IF($A89="","",IF(AND(OR(Households!C89="Tent",Households!C89="Makeshift shelter"),Households!D89="Unusable"),Settings!$B$12,0))</f>
        <v>0</v>
      </c>
      <c r="N89" s="24">
        <f>IF($A89="","",SUMIFS(Assistance_Log!$F$5:$F$367,Assistance_Log!$C$5:$C$367,$A89,Assistance_Log!$E$5:$E$367,"Tent replacement",Assistance_Log!$B$5:$B$367,"&gt;="&amp;Households!F89))</f>
        <v>0</v>
      </c>
      <c r="O89" s="25">
        <f t="shared" si="27"/>
        <v>0</v>
      </c>
      <c r="P89" s="24">
        <f>IF($A89="","",IF(Households!D89="Damaged",Settings!$B$13,0))</f>
        <v>0</v>
      </c>
      <c r="Q89" s="24">
        <f>IF($A89="","",SUMIFS(Assistance_Log!$F$5:$F$367,Assistance_Log!$C$5:$C$367,$A89,Assistance_Log!$E$5:$E$367,"Shelter repair kits",Assistance_Log!$B$5:$B$367,"&gt;="&amp;Households!F89))</f>
        <v>0</v>
      </c>
      <c r="R89" s="24">
        <f t="shared" si="28"/>
        <v>0</v>
      </c>
      <c r="S89" s="24">
        <f>IF($A89="","",Households!S89*Settings!$B$14)</f>
        <v>6</v>
      </c>
      <c r="T89" s="24">
        <f>IF($A89="","",SUMIFS(Assistance_Log!$F$5:$F$367,Assistance_Log!$C$5:$C$367,$A89,Assistance_Log!$E$5:$E$367,"Winter clothing – children",Assistance_Log!$B$5:$B$367,"&gt;="&amp;Households!F89))</f>
        <v>6</v>
      </c>
      <c r="U89" s="24">
        <f t="shared" si="29"/>
        <v>0</v>
      </c>
      <c r="V89" s="24">
        <f>IF($A89="","",Households!T89*Settings!$B$14)</f>
        <v>1</v>
      </c>
      <c r="W89" s="24">
        <f>IF($A89="","",SUMIFS(Assistance_Log!$F$5:$F$367,Assistance_Log!$C$5:$C$367,$A89,Assistance_Log!$E$5:$E$367,"Winter clothing – adults",Assistance_Log!$B$5:$B$367,"&gt;="&amp;Households!F89))</f>
        <v>1</v>
      </c>
      <c r="X89" s="24">
        <f t="shared" si="30"/>
        <v>0</v>
      </c>
      <c r="Y89" s="24">
        <f>IF($A89="","",Households!J89*Settings!$B$15)</f>
        <v>4</v>
      </c>
      <c r="Z89" s="24">
        <f>IF($A89="","",SUMIFS(Assistance_Log!$F$5:$F$367,Assistance_Log!$C$5:$C$367,$A89,Assistance_Log!$E$5:$E$367,"Diapers",Assistance_Log!$B$5:$B$367,"&gt;="&amp;Households!F89))</f>
        <v>1</v>
      </c>
      <c r="AA89" s="24">
        <f t="shared" si="31"/>
        <v>3</v>
      </c>
      <c r="AB89" s="24">
        <f>IF($A89="","",Settings!$B$16)</f>
        <v>1</v>
      </c>
      <c r="AC89" s="24">
        <f>IF($A89="","",SUMIFS(Assistance_Log!$F$5:$F$367,Assistance_Log!$C$5:$C$367,$A89,Assistance_Log!$E$5:$E$367,"Family hygiene kits",Assistance_Log!$B$5:$B$367,"&gt;="&amp;Households!F89))</f>
        <v>0</v>
      </c>
      <c r="AD89" s="24">
        <f t="shared" si="32"/>
        <v>1</v>
      </c>
      <c r="AE89" s="24">
        <f>IF($A89="","",Households!N89*Settings!$B$17)</f>
        <v>2</v>
      </c>
      <c r="AF89" s="24">
        <f>IF($A89="","",SUMIFS(Assistance_Log!$F$5:$F$367,Assistance_Log!$C$5:$C$367,$A89,Assistance_Log!$E$5:$E$367,"Menstrual hygiene kits",Assistance_Log!$B$5:$B$367,"&gt;="&amp;Households!F89))</f>
        <v>0</v>
      </c>
      <c r="AG89" s="24">
        <f t="shared" si="33"/>
        <v>2</v>
      </c>
      <c r="AH89" s="25" t="str">
        <f t="shared" si="34"/>
        <v>Yes</v>
      </c>
      <c r="AI89" s="24">
        <f t="shared" si="35"/>
        <v>4</v>
      </c>
    </row>
    <row r="90" spans="1:35" x14ac:dyDescent="0.3">
      <c r="A90" s="24" t="str">
        <f>IF(Households!A90="","",Households!A90)</f>
        <v>HH-086</v>
      </c>
      <c r="B90" s="24" t="str">
        <f>IF($A90="","",Households!B90)</f>
        <v>Site C – Informal Tent Area</v>
      </c>
      <c r="C90" s="24" t="str">
        <f>IF($A90="","",Households!X90)</f>
        <v>Medium</v>
      </c>
      <c r="D90" s="24">
        <f>IF($A90="","",MAX(0,Households!H90*Settings!$B$9-Households!Q90))</f>
        <v>6</v>
      </c>
      <c r="E90" s="24">
        <f>IF($A90="","",SUMIFS(Assistance_Log!$F$5:$F$367,Assistance_Log!$C$5:$C$367,$A90,Assistance_Log!$E$5:$E$367,"Blankets",Assistance_Log!$B$5:$B$367,"&gt;="&amp;Households!F90))</f>
        <v>6</v>
      </c>
      <c r="F90" s="25">
        <f t="shared" si="24"/>
        <v>0</v>
      </c>
      <c r="G90" s="24">
        <f>IF($A90="","",MAX(0,Households!H90*Settings!$B$10-Households!R90))</f>
        <v>5</v>
      </c>
      <c r="H90" s="24">
        <f>IF($A90="","",SUMIFS(Assistance_Log!$F$5:$F$367,Assistance_Log!$C$5:$C$367,$A90,Assistance_Log!$E$5:$E$367,"Mattresses",Assistance_Log!$B$5:$B$367,"&gt;="&amp;Households!F90))</f>
        <v>5</v>
      </c>
      <c r="I90" s="25">
        <f t="shared" si="25"/>
        <v>0</v>
      </c>
      <c r="J90" s="24">
        <f>IF($A90="","",IF(AND(OR(Households!C90="Tent",Households!C90="Makeshift shelter"),Households!D90="Damaged"),Settings!$B$11,0))</f>
        <v>2</v>
      </c>
      <c r="K90" s="24">
        <f>IF($A90="","",SUMIFS(Assistance_Log!$F$5:$F$367,Assistance_Log!$C$5:$C$367,$A90,Assistance_Log!$E$5:$E$367,"Tarpaulins",Assistance_Log!$B$5:$B$367,"&gt;="&amp;Households!F90))</f>
        <v>2</v>
      </c>
      <c r="L90" s="25">
        <f t="shared" si="26"/>
        <v>0</v>
      </c>
      <c r="M90" s="24">
        <f>IF($A90="","",IF(AND(OR(Households!C90="Tent",Households!C90="Makeshift shelter"),Households!D90="Unusable"),Settings!$B$12,0))</f>
        <v>0</v>
      </c>
      <c r="N90" s="24">
        <f>IF($A90="","",SUMIFS(Assistance_Log!$F$5:$F$367,Assistance_Log!$C$5:$C$367,$A90,Assistance_Log!$E$5:$E$367,"Tent replacement",Assistance_Log!$B$5:$B$367,"&gt;="&amp;Households!F90))</f>
        <v>0</v>
      </c>
      <c r="O90" s="25">
        <f t="shared" si="27"/>
        <v>0</v>
      </c>
      <c r="P90" s="24">
        <f>IF($A90="","",IF(Households!D90="Damaged",Settings!$B$13,0))</f>
        <v>1</v>
      </c>
      <c r="Q90" s="24">
        <f>IF($A90="","",SUMIFS(Assistance_Log!$F$5:$F$367,Assistance_Log!$C$5:$C$367,$A90,Assistance_Log!$E$5:$E$367,"Shelter repair kits",Assistance_Log!$B$5:$B$367,"&gt;="&amp;Households!F90))</f>
        <v>1</v>
      </c>
      <c r="R90" s="24">
        <f t="shared" si="28"/>
        <v>0</v>
      </c>
      <c r="S90" s="24">
        <f>IF($A90="","",Households!S90*Settings!$B$14)</f>
        <v>5</v>
      </c>
      <c r="T90" s="24">
        <f>IF($A90="","",SUMIFS(Assistance_Log!$F$5:$F$367,Assistance_Log!$C$5:$C$367,$A90,Assistance_Log!$E$5:$E$367,"Winter clothing – children",Assistance_Log!$B$5:$B$367,"&gt;="&amp;Households!F90))</f>
        <v>1</v>
      </c>
      <c r="U90" s="24">
        <f t="shared" si="29"/>
        <v>4</v>
      </c>
      <c r="V90" s="24">
        <f>IF($A90="","",Households!T90*Settings!$B$14)</f>
        <v>2</v>
      </c>
      <c r="W90" s="24">
        <f>IF($A90="","",SUMIFS(Assistance_Log!$F$5:$F$367,Assistance_Log!$C$5:$C$367,$A90,Assistance_Log!$E$5:$E$367,"Winter clothing – adults",Assistance_Log!$B$5:$B$367,"&gt;="&amp;Households!F90))</f>
        <v>1</v>
      </c>
      <c r="X90" s="24">
        <f t="shared" si="30"/>
        <v>1</v>
      </c>
      <c r="Y90" s="24">
        <f>IF($A90="","",Households!J90*Settings!$B$15)</f>
        <v>4</v>
      </c>
      <c r="Z90" s="24">
        <f>IF($A90="","",SUMIFS(Assistance_Log!$F$5:$F$367,Assistance_Log!$C$5:$C$367,$A90,Assistance_Log!$E$5:$E$367,"Diapers",Assistance_Log!$B$5:$B$367,"&gt;="&amp;Households!F90))</f>
        <v>1</v>
      </c>
      <c r="AA90" s="24">
        <f t="shared" si="31"/>
        <v>3</v>
      </c>
      <c r="AB90" s="24">
        <f>IF($A90="","",Settings!$B$16)</f>
        <v>1</v>
      </c>
      <c r="AC90" s="24">
        <f>IF($A90="","",SUMIFS(Assistance_Log!$F$5:$F$367,Assistance_Log!$C$5:$C$367,$A90,Assistance_Log!$E$5:$E$367,"Family hygiene kits",Assistance_Log!$B$5:$B$367,"&gt;="&amp;Households!F90))</f>
        <v>1</v>
      </c>
      <c r="AD90" s="24">
        <f t="shared" si="32"/>
        <v>0</v>
      </c>
      <c r="AE90" s="24">
        <f>IF($A90="","",Households!N90*Settings!$B$17)</f>
        <v>2</v>
      </c>
      <c r="AF90" s="24">
        <f>IF($A90="","",SUMIFS(Assistance_Log!$F$5:$F$367,Assistance_Log!$C$5:$C$367,$A90,Assistance_Log!$E$5:$E$367,"Menstrual hygiene kits",Assistance_Log!$B$5:$B$367,"&gt;="&amp;Households!F90))</f>
        <v>0</v>
      </c>
      <c r="AG90" s="24">
        <f t="shared" si="33"/>
        <v>2</v>
      </c>
      <c r="AH90" s="25" t="str">
        <f t="shared" si="34"/>
        <v>Yes</v>
      </c>
      <c r="AI90" s="24">
        <f t="shared" si="35"/>
        <v>4</v>
      </c>
    </row>
    <row r="91" spans="1:35" x14ac:dyDescent="0.3">
      <c r="A91" s="24" t="str">
        <f>IF(Households!A91="","",Households!A91)</f>
        <v>HH-087</v>
      </c>
      <c r="B91" s="24" t="str">
        <f>IF($A91="","",Households!B91)</f>
        <v>Site C – Informal Tent Area</v>
      </c>
      <c r="C91" s="24" t="str">
        <f>IF($A91="","",Households!X91)</f>
        <v>Medium</v>
      </c>
      <c r="D91" s="24">
        <f>IF($A91="","",MAX(0,Households!H91*Settings!$B$9-Households!Q91))</f>
        <v>6</v>
      </c>
      <c r="E91" s="24">
        <f>IF($A91="","",SUMIFS(Assistance_Log!$F$5:$F$367,Assistance_Log!$C$5:$C$367,$A91,Assistance_Log!$E$5:$E$367,"Blankets",Assistance_Log!$B$5:$B$367,"&gt;="&amp;Households!F91))</f>
        <v>6</v>
      </c>
      <c r="F91" s="25">
        <f t="shared" si="24"/>
        <v>0</v>
      </c>
      <c r="G91" s="24">
        <f>IF($A91="","",MAX(0,Households!H91*Settings!$B$10-Households!R91))</f>
        <v>1</v>
      </c>
      <c r="H91" s="24">
        <f>IF($A91="","",SUMIFS(Assistance_Log!$F$5:$F$367,Assistance_Log!$C$5:$C$367,$A91,Assistance_Log!$E$5:$E$367,"Mattresses",Assistance_Log!$B$5:$B$367,"&gt;="&amp;Households!F91))</f>
        <v>0</v>
      </c>
      <c r="I91" s="25">
        <f t="shared" si="25"/>
        <v>1</v>
      </c>
      <c r="J91" s="24">
        <f>IF($A91="","",IF(AND(OR(Households!C91="Tent",Households!C91="Makeshift shelter"),Households!D91="Damaged"),Settings!$B$11,0))</f>
        <v>0</v>
      </c>
      <c r="K91" s="24">
        <f>IF($A91="","",SUMIFS(Assistance_Log!$F$5:$F$367,Assistance_Log!$C$5:$C$367,$A91,Assistance_Log!$E$5:$E$367,"Tarpaulins",Assistance_Log!$B$5:$B$367,"&gt;="&amp;Households!F91))</f>
        <v>0</v>
      </c>
      <c r="L91" s="25">
        <f t="shared" si="26"/>
        <v>0</v>
      </c>
      <c r="M91" s="24">
        <f>IF($A91="","",IF(AND(OR(Households!C91="Tent",Households!C91="Makeshift shelter"),Households!D91="Unusable"),Settings!$B$12,0))</f>
        <v>0</v>
      </c>
      <c r="N91" s="24">
        <f>IF($A91="","",SUMIFS(Assistance_Log!$F$5:$F$367,Assistance_Log!$C$5:$C$367,$A91,Assistance_Log!$E$5:$E$367,"Tent replacement",Assistance_Log!$B$5:$B$367,"&gt;="&amp;Households!F91))</f>
        <v>0</v>
      </c>
      <c r="O91" s="25">
        <f t="shared" si="27"/>
        <v>0</v>
      </c>
      <c r="P91" s="24">
        <f>IF($A91="","",IF(Households!D91="Damaged",Settings!$B$13,0))</f>
        <v>0</v>
      </c>
      <c r="Q91" s="24">
        <f>IF($A91="","",SUMIFS(Assistance_Log!$F$5:$F$367,Assistance_Log!$C$5:$C$367,$A91,Assistance_Log!$E$5:$E$367,"Shelter repair kits",Assistance_Log!$B$5:$B$367,"&gt;="&amp;Households!F91))</f>
        <v>0</v>
      </c>
      <c r="R91" s="24">
        <f t="shared" si="28"/>
        <v>0</v>
      </c>
      <c r="S91" s="24">
        <f>IF($A91="","",Households!S91*Settings!$B$14)</f>
        <v>5</v>
      </c>
      <c r="T91" s="24">
        <f>IF($A91="","",SUMIFS(Assistance_Log!$F$5:$F$367,Assistance_Log!$C$5:$C$367,$A91,Assistance_Log!$E$5:$E$367,"Winter clothing – children",Assistance_Log!$B$5:$B$367,"&gt;="&amp;Households!F91))</f>
        <v>3</v>
      </c>
      <c r="U91" s="24">
        <f t="shared" si="29"/>
        <v>2</v>
      </c>
      <c r="V91" s="24">
        <f>IF($A91="","",Households!T91*Settings!$B$14)</f>
        <v>1</v>
      </c>
      <c r="W91" s="24">
        <f>IF($A91="","",SUMIFS(Assistance_Log!$F$5:$F$367,Assistance_Log!$C$5:$C$367,$A91,Assistance_Log!$E$5:$E$367,"Winter clothing – adults",Assistance_Log!$B$5:$B$367,"&gt;="&amp;Households!F91))</f>
        <v>0</v>
      </c>
      <c r="X91" s="24">
        <f t="shared" si="30"/>
        <v>1</v>
      </c>
      <c r="Y91" s="24">
        <f>IF($A91="","",Households!J91*Settings!$B$15)</f>
        <v>4</v>
      </c>
      <c r="Z91" s="24">
        <f>IF($A91="","",SUMIFS(Assistance_Log!$F$5:$F$367,Assistance_Log!$C$5:$C$367,$A91,Assistance_Log!$E$5:$E$367,"Diapers",Assistance_Log!$B$5:$B$367,"&gt;="&amp;Households!F91))</f>
        <v>0</v>
      </c>
      <c r="AA91" s="24">
        <f t="shared" si="31"/>
        <v>4</v>
      </c>
      <c r="AB91" s="24">
        <f>IF($A91="","",Settings!$B$16)</f>
        <v>1</v>
      </c>
      <c r="AC91" s="24">
        <f>IF($A91="","",SUMIFS(Assistance_Log!$F$5:$F$367,Assistance_Log!$C$5:$C$367,$A91,Assistance_Log!$E$5:$E$367,"Family hygiene kits",Assistance_Log!$B$5:$B$367,"&gt;="&amp;Households!F91))</f>
        <v>1</v>
      </c>
      <c r="AD91" s="24">
        <f t="shared" si="32"/>
        <v>0</v>
      </c>
      <c r="AE91" s="24">
        <f>IF($A91="","",Households!N91*Settings!$B$17)</f>
        <v>2</v>
      </c>
      <c r="AF91" s="24">
        <f>IF($A91="","",SUMIFS(Assistance_Log!$F$5:$F$367,Assistance_Log!$C$5:$C$367,$A91,Assistance_Log!$E$5:$E$367,"Menstrual hygiene kits",Assistance_Log!$B$5:$B$367,"&gt;="&amp;Households!F91))</f>
        <v>0</v>
      </c>
      <c r="AG91" s="24">
        <f t="shared" si="33"/>
        <v>2</v>
      </c>
      <c r="AH91" s="25" t="str">
        <f t="shared" si="34"/>
        <v>Yes</v>
      </c>
      <c r="AI91" s="24">
        <f t="shared" si="35"/>
        <v>5</v>
      </c>
    </row>
    <row r="92" spans="1:35" x14ac:dyDescent="0.3">
      <c r="A92" s="24" t="str">
        <f>IF(Households!A92="","",Households!A92)</f>
        <v>HH-088</v>
      </c>
      <c r="B92" s="24" t="str">
        <f>IF($A92="","",Households!B92)</f>
        <v>Site C – Informal Tent Area</v>
      </c>
      <c r="C92" s="24" t="str">
        <f>IF($A92="","",Households!X92)</f>
        <v>Low</v>
      </c>
      <c r="D92" s="24">
        <f>IF($A92="","",MAX(0,Households!H92*Settings!$B$9-Households!Q92))</f>
        <v>4</v>
      </c>
      <c r="E92" s="24">
        <f>IF($A92="","",SUMIFS(Assistance_Log!$F$5:$F$367,Assistance_Log!$C$5:$C$367,$A92,Assistance_Log!$E$5:$E$367,"Blankets",Assistance_Log!$B$5:$B$367,"&gt;="&amp;Households!F92))</f>
        <v>0</v>
      </c>
      <c r="F92" s="25">
        <f t="shared" si="24"/>
        <v>4</v>
      </c>
      <c r="G92" s="24">
        <f>IF($A92="","",MAX(0,Households!H92*Settings!$B$10-Households!R92))</f>
        <v>2</v>
      </c>
      <c r="H92" s="24">
        <f>IF($A92="","",SUMIFS(Assistance_Log!$F$5:$F$367,Assistance_Log!$C$5:$C$367,$A92,Assistance_Log!$E$5:$E$367,"Mattresses",Assistance_Log!$B$5:$B$367,"&gt;="&amp;Households!F92))</f>
        <v>1</v>
      </c>
      <c r="I92" s="25">
        <f t="shared" si="25"/>
        <v>1</v>
      </c>
      <c r="J92" s="24">
        <f>IF($A92="","",IF(AND(OR(Households!C92="Tent",Households!C92="Makeshift shelter"),Households!D92="Damaged"),Settings!$B$11,0))</f>
        <v>2</v>
      </c>
      <c r="K92" s="24">
        <f>IF($A92="","",SUMIFS(Assistance_Log!$F$5:$F$367,Assistance_Log!$C$5:$C$367,$A92,Assistance_Log!$E$5:$E$367,"Tarpaulins",Assistance_Log!$B$5:$B$367,"&gt;="&amp;Households!F92))</f>
        <v>0</v>
      </c>
      <c r="L92" s="25">
        <f t="shared" si="26"/>
        <v>2</v>
      </c>
      <c r="M92" s="24">
        <f>IF($A92="","",IF(AND(OR(Households!C92="Tent",Households!C92="Makeshift shelter"),Households!D92="Unusable"),Settings!$B$12,0))</f>
        <v>0</v>
      </c>
      <c r="N92" s="24">
        <f>IF($A92="","",SUMIFS(Assistance_Log!$F$5:$F$367,Assistance_Log!$C$5:$C$367,$A92,Assistance_Log!$E$5:$E$367,"Tent replacement",Assistance_Log!$B$5:$B$367,"&gt;="&amp;Households!F92))</f>
        <v>0</v>
      </c>
      <c r="O92" s="25">
        <f t="shared" si="27"/>
        <v>0</v>
      </c>
      <c r="P92" s="24">
        <f>IF($A92="","",IF(Households!D92="Damaged",Settings!$B$13,0))</f>
        <v>1</v>
      </c>
      <c r="Q92" s="24">
        <f>IF($A92="","",SUMIFS(Assistance_Log!$F$5:$F$367,Assistance_Log!$C$5:$C$367,$A92,Assistance_Log!$E$5:$E$367,"Shelter repair kits",Assistance_Log!$B$5:$B$367,"&gt;="&amp;Households!F92))</f>
        <v>1</v>
      </c>
      <c r="R92" s="24">
        <f t="shared" si="28"/>
        <v>0</v>
      </c>
      <c r="S92" s="24">
        <f>IF($A92="","",Households!S92*Settings!$B$14)</f>
        <v>1</v>
      </c>
      <c r="T92" s="24">
        <f>IF($A92="","",SUMIFS(Assistance_Log!$F$5:$F$367,Assistance_Log!$C$5:$C$367,$A92,Assistance_Log!$E$5:$E$367,"Winter clothing – children",Assistance_Log!$B$5:$B$367,"&gt;="&amp;Households!F92))</f>
        <v>0</v>
      </c>
      <c r="U92" s="24">
        <f t="shared" si="29"/>
        <v>1</v>
      </c>
      <c r="V92" s="24">
        <f>IF($A92="","",Households!T92*Settings!$B$14)</f>
        <v>1</v>
      </c>
      <c r="W92" s="24">
        <f>IF($A92="","",SUMIFS(Assistance_Log!$F$5:$F$367,Assistance_Log!$C$5:$C$367,$A92,Assistance_Log!$E$5:$E$367,"Winter clothing – adults",Assistance_Log!$B$5:$B$367,"&gt;="&amp;Households!F92))</f>
        <v>0</v>
      </c>
      <c r="X92" s="24">
        <f t="shared" si="30"/>
        <v>1</v>
      </c>
      <c r="Y92" s="24">
        <f>IF($A92="","",Households!J92*Settings!$B$15)</f>
        <v>0</v>
      </c>
      <c r="Z92" s="24">
        <f>IF($A92="","",SUMIFS(Assistance_Log!$F$5:$F$367,Assistance_Log!$C$5:$C$367,$A92,Assistance_Log!$E$5:$E$367,"Diapers",Assistance_Log!$B$5:$B$367,"&gt;="&amp;Households!F92))</f>
        <v>0</v>
      </c>
      <c r="AA92" s="24">
        <f t="shared" si="31"/>
        <v>0</v>
      </c>
      <c r="AB92" s="24">
        <f>IF($A92="","",Settings!$B$16)</f>
        <v>1</v>
      </c>
      <c r="AC92" s="24">
        <f>IF($A92="","",SUMIFS(Assistance_Log!$F$5:$F$367,Assistance_Log!$C$5:$C$367,$A92,Assistance_Log!$E$5:$E$367,"Family hygiene kits",Assistance_Log!$B$5:$B$367,"&gt;="&amp;Households!F92))</f>
        <v>1</v>
      </c>
      <c r="AD92" s="24">
        <f t="shared" si="32"/>
        <v>0</v>
      </c>
      <c r="AE92" s="24">
        <f>IF($A92="","",Households!N92*Settings!$B$17)</f>
        <v>1</v>
      </c>
      <c r="AF92" s="24">
        <f>IF($A92="","",SUMIFS(Assistance_Log!$F$5:$F$367,Assistance_Log!$C$5:$C$367,$A92,Assistance_Log!$E$5:$E$367,"Menstrual hygiene kits",Assistance_Log!$B$5:$B$367,"&gt;="&amp;Households!F92))</f>
        <v>0</v>
      </c>
      <c r="AG92" s="24">
        <f t="shared" si="33"/>
        <v>1</v>
      </c>
      <c r="AH92" s="25" t="str">
        <f t="shared" si="34"/>
        <v>Yes</v>
      </c>
      <c r="AI92" s="24">
        <f t="shared" si="35"/>
        <v>6</v>
      </c>
    </row>
    <row r="93" spans="1:35" x14ac:dyDescent="0.3">
      <c r="A93" s="24" t="str">
        <f>IF(Households!A93="","",Households!A93)</f>
        <v>HH-089</v>
      </c>
      <c r="B93" s="24" t="str">
        <f>IF($A93="","",Households!B93)</f>
        <v>Site C – Informal Tent Area</v>
      </c>
      <c r="C93" s="24" t="str">
        <f>IF($A93="","",Households!X93)</f>
        <v>High</v>
      </c>
      <c r="D93" s="24">
        <f>IF($A93="","",MAX(0,Households!H93*Settings!$B$9-Households!Q93))</f>
        <v>7</v>
      </c>
      <c r="E93" s="24">
        <f>IF($A93="","",SUMIFS(Assistance_Log!$F$5:$F$367,Assistance_Log!$C$5:$C$367,$A93,Assistance_Log!$E$5:$E$367,"Blankets",Assistance_Log!$B$5:$B$367,"&gt;="&amp;Households!F93))</f>
        <v>0</v>
      </c>
      <c r="F93" s="25">
        <f t="shared" si="24"/>
        <v>7</v>
      </c>
      <c r="G93" s="24">
        <f>IF($A93="","",MAX(0,Households!H93*Settings!$B$10-Households!R93))</f>
        <v>1</v>
      </c>
      <c r="H93" s="24">
        <f>IF($A93="","",SUMIFS(Assistance_Log!$F$5:$F$367,Assistance_Log!$C$5:$C$367,$A93,Assistance_Log!$E$5:$E$367,"Mattresses",Assistance_Log!$B$5:$B$367,"&gt;="&amp;Households!F93))</f>
        <v>1</v>
      </c>
      <c r="I93" s="25">
        <f t="shared" si="25"/>
        <v>0</v>
      </c>
      <c r="J93" s="24">
        <f>IF($A93="","",IF(AND(OR(Households!C93="Tent",Households!C93="Makeshift shelter"),Households!D93="Damaged"),Settings!$B$11,0))</f>
        <v>0</v>
      </c>
      <c r="K93" s="24">
        <f>IF($A93="","",SUMIFS(Assistance_Log!$F$5:$F$367,Assistance_Log!$C$5:$C$367,$A93,Assistance_Log!$E$5:$E$367,"Tarpaulins",Assistance_Log!$B$5:$B$367,"&gt;="&amp;Households!F93))</f>
        <v>0</v>
      </c>
      <c r="L93" s="25">
        <f t="shared" si="26"/>
        <v>0</v>
      </c>
      <c r="M93" s="24">
        <f>IF($A93="","",IF(AND(OR(Households!C93="Tent",Households!C93="Makeshift shelter"),Households!D93="Unusable"),Settings!$B$12,0))</f>
        <v>0</v>
      </c>
      <c r="N93" s="24">
        <f>IF($A93="","",SUMIFS(Assistance_Log!$F$5:$F$367,Assistance_Log!$C$5:$C$367,$A93,Assistance_Log!$E$5:$E$367,"Tent replacement",Assistance_Log!$B$5:$B$367,"&gt;="&amp;Households!F93))</f>
        <v>0</v>
      </c>
      <c r="O93" s="25">
        <f t="shared" si="27"/>
        <v>0</v>
      </c>
      <c r="P93" s="24">
        <f>IF($A93="","",IF(Households!D93="Damaged",Settings!$B$13,0))</f>
        <v>0</v>
      </c>
      <c r="Q93" s="24">
        <f>IF($A93="","",SUMIFS(Assistance_Log!$F$5:$F$367,Assistance_Log!$C$5:$C$367,$A93,Assistance_Log!$E$5:$E$367,"Shelter repair kits",Assistance_Log!$B$5:$B$367,"&gt;="&amp;Households!F93))</f>
        <v>0</v>
      </c>
      <c r="R93" s="24">
        <f t="shared" si="28"/>
        <v>0</v>
      </c>
      <c r="S93" s="24">
        <f>IF($A93="","",Households!S93*Settings!$B$14)</f>
        <v>2</v>
      </c>
      <c r="T93" s="24">
        <f>IF($A93="","",SUMIFS(Assistance_Log!$F$5:$F$367,Assistance_Log!$C$5:$C$367,$A93,Assistance_Log!$E$5:$E$367,"Winter clothing – children",Assistance_Log!$B$5:$B$367,"&gt;="&amp;Households!F93))</f>
        <v>2</v>
      </c>
      <c r="U93" s="24">
        <f t="shared" si="29"/>
        <v>0</v>
      </c>
      <c r="V93" s="24">
        <f>IF($A93="","",Households!T93*Settings!$B$14)</f>
        <v>0</v>
      </c>
      <c r="W93" s="24">
        <f>IF($A93="","",SUMIFS(Assistance_Log!$F$5:$F$367,Assistance_Log!$C$5:$C$367,$A93,Assistance_Log!$E$5:$E$367,"Winter clothing – adults",Assistance_Log!$B$5:$B$367,"&gt;="&amp;Households!F93))</f>
        <v>0</v>
      </c>
      <c r="X93" s="24">
        <f t="shared" si="30"/>
        <v>0</v>
      </c>
      <c r="Y93" s="24">
        <f>IF($A93="","",Households!J93*Settings!$B$15)</f>
        <v>4</v>
      </c>
      <c r="Z93" s="24">
        <f>IF($A93="","",SUMIFS(Assistance_Log!$F$5:$F$367,Assistance_Log!$C$5:$C$367,$A93,Assistance_Log!$E$5:$E$367,"Diapers",Assistance_Log!$B$5:$B$367,"&gt;="&amp;Households!F93))</f>
        <v>4</v>
      </c>
      <c r="AA93" s="24">
        <f t="shared" si="31"/>
        <v>0</v>
      </c>
      <c r="AB93" s="24">
        <f>IF($A93="","",Settings!$B$16)</f>
        <v>1</v>
      </c>
      <c r="AC93" s="24">
        <f>IF($A93="","",SUMIFS(Assistance_Log!$F$5:$F$367,Assistance_Log!$C$5:$C$367,$A93,Assistance_Log!$E$5:$E$367,"Family hygiene kits",Assistance_Log!$B$5:$B$367,"&gt;="&amp;Households!F93))</f>
        <v>1</v>
      </c>
      <c r="AD93" s="24">
        <f t="shared" si="32"/>
        <v>0</v>
      </c>
      <c r="AE93" s="24">
        <f>IF($A93="","",Households!N93*Settings!$B$17)</f>
        <v>2</v>
      </c>
      <c r="AF93" s="24">
        <f>IF($A93="","",SUMIFS(Assistance_Log!$F$5:$F$367,Assistance_Log!$C$5:$C$367,$A93,Assistance_Log!$E$5:$E$367,"Menstrual hygiene kits",Assistance_Log!$B$5:$B$367,"&gt;="&amp;Households!F93))</f>
        <v>2</v>
      </c>
      <c r="AG93" s="24">
        <f t="shared" si="33"/>
        <v>0</v>
      </c>
      <c r="AH93" s="25" t="str">
        <f t="shared" si="34"/>
        <v>Yes</v>
      </c>
      <c r="AI93" s="24">
        <f t="shared" si="35"/>
        <v>1</v>
      </c>
    </row>
    <row r="94" spans="1:35" x14ac:dyDescent="0.3">
      <c r="A94" s="24" t="str">
        <f>IF(Households!A94="","",Households!A94)</f>
        <v>HH-090</v>
      </c>
      <c r="B94" s="24" t="str">
        <f>IF($A94="","",Households!B94)</f>
        <v>Site C – Informal Tent Area</v>
      </c>
      <c r="C94" s="24" t="str">
        <f>IF($A94="","",Households!X94)</f>
        <v>Low</v>
      </c>
      <c r="D94" s="24">
        <f>IF($A94="","",MAX(0,Households!H94*Settings!$B$9-Households!Q94))</f>
        <v>14</v>
      </c>
      <c r="E94" s="24">
        <f>IF($A94="","",SUMIFS(Assistance_Log!$F$5:$F$367,Assistance_Log!$C$5:$C$367,$A94,Assistance_Log!$E$5:$E$367,"Blankets",Assistance_Log!$B$5:$B$367,"&gt;="&amp;Households!F94))</f>
        <v>0</v>
      </c>
      <c r="F94" s="25">
        <f t="shared" si="24"/>
        <v>14</v>
      </c>
      <c r="G94" s="24">
        <f>IF($A94="","",MAX(0,Households!H94*Settings!$B$10-Households!R94))</f>
        <v>5</v>
      </c>
      <c r="H94" s="24">
        <f>IF($A94="","",SUMIFS(Assistance_Log!$F$5:$F$367,Assistance_Log!$C$5:$C$367,$A94,Assistance_Log!$E$5:$E$367,"Mattresses",Assistance_Log!$B$5:$B$367,"&gt;="&amp;Households!F94))</f>
        <v>0</v>
      </c>
      <c r="I94" s="25">
        <f t="shared" si="25"/>
        <v>5</v>
      </c>
      <c r="J94" s="24">
        <f>IF($A94="","",IF(AND(OR(Households!C94="Tent",Households!C94="Makeshift shelter"),Households!D94="Damaged"),Settings!$B$11,0))</f>
        <v>0</v>
      </c>
      <c r="K94" s="24">
        <f>IF($A94="","",SUMIFS(Assistance_Log!$F$5:$F$367,Assistance_Log!$C$5:$C$367,$A94,Assistance_Log!$E$5:$E$367,"Tarpaulins",Assistance_Log!$B$5:$B$367,"&gt;="&amp;Households!F94))</f>
        <v>0</v>
      </c>
      <c r="L94" s="25">
        <f t="shared" si="26"/>
        <v>0</v>
      </c>
      <c r="M94" s="24">
        <f>IF($A94="","",IF(AND(OR(Households!C94="Tent",Households!C94="Makeshift shelter"),Households!D94="Unusable"),Settings!$B$12,0))</f>
        <v>0</v>
      </c>
      <c r="N94" s="24">
        <f>IF($A94="","",SUMIFS(Assistance_Log!$F$5:$F$367,Assistance_Log!$C$5:$C$367,$A94,Assistance_Log!$E$5:$E$367,"Tent replacement",Assistance_Log!$B$5:$B$367,"&gt;="&amp;Households!F94))</f>
        <v>0</v>
      </c>
      <c r="O94" s="25">
        <f t="shared" si="27"/>
        <v>0</v>
      </c>
      <c r="P94" s="24">
        <f>IF($A94="","",IF(Households!D94="Damaged",Settings!$B$13,0))</f>
        <v>0</v>
      </c>
      <c r="Q94" s="24">
        <f>IF($A94="","",SUMIFS(Assistance_Log!$F$5:$F$367,Assistance_Log!$C$5:$C$367,$A94,Assistance_Log!$E$5:$E$367,"Shelter repair kits",Assistance_Log!$B$5:$B$367,"&gt;="&amp;Households!F94))</f>
        <v>0</v>
      </c>
      <c r="R94" s="24">
        <f t="shared" si="28"/>
        <v>0</v>
      </c>
      <c r="S94" s="24">
        <f>IF($A94="","",Households!S94*Settings!$B$14)</f>
        <v>1</v>
      </c>
      <c r="T94" s="24">
        <f>IF($A94="","",SUMIFS(Assistance_Log!$F$5:$F$367,Assistance_Log!$C$5:$C$367,$A94,Assistance_Log!$E$5:$E$367,"Winter clothing – children",Assistance_Log!$B$5:$B$367,"&gt;="&amp;Households!F94))</f>
        <v>1</v>
      </c>
      <c r="U94" s="24">
        <f t="shared" si="29"/>
        <v>0</v>
      </c>
      <c r="V94" s="24">
        <f>IF($A94="","",Households!T94*Settings!$B$14)</f>
        <v>0</v>
      </c>
      <c r="W94" s="24">
        <f>IF($A94="","",SUMIFS(Assistance_Log!$F$5:$F$367,Assistance_Log!$C$5:$C$367,$A94,Assistance_Log!$E$5:$E$367,"Winter clothing – adults",Assistance_Log!$B$5:$B$367,"&gt;="&amp;Households!F94))</f>
        <v>0</v>
      </c>
      <c r="X94" s="24">
        <f t="shared" si="30"/>
        <v>0</v>
      </c>
      <c r="Y94" s="24">
        <f>IF($A94="","",Households!J94*Settings!$B$15)</f>
        <v>0</v>
      </c>
      <c r="Z94" s="24">
        <f>IF($A94="","",SUMIFS(Assistance_Log!$F$5:$F$367,Assistance_Log!$C$5:$C$367,$A94,Assistance_Log!$E$5:$E$367,"Diapers",Assistance_Log!$B$5:$B$367,"&gt;="&amp;Households!F94))</f>
        <v>0</v>
      </c>
      <c r="AA94" s="24">
        <f t="shared" si="31"/>
        <v>0</v>
      </c>
      <c r="AB94" s="24">
        <f>IF($A94="","",Settings!$B$16)</f>
        <v>1</v>
      </c>
      <c r="AC94" s="24">
        <f>IF($A94="","",SUMIFS(Assistance_Log!$F$5:$F$367,Assistance_Log!$C$5:$C$367,$A94,Assistance_Log!$E$5:$E$367,"Family hygiene kits",Assistance_Log!$B$5:$B$367,"&gt;="&amp;Households!F94))</f>
        <v>1</v>
      </c>
      <c r="AD94" s="24">
        <f t="shared" si="32"/>
        <v>0</v>
      </c>
      <c r="AE94" s="24">
        <f>IF($A94="","",Households!N94*Settings!$B$17)</f>
        <v>2</v>
      </c>
      <c r="AF94" s="24">
        <f>IF($A94="","",SUMIFS(Assistance_Log!$F$5:$F$367,Assistance_Log!$C$5:$C$367,$A94,Assistance_Log!$E$5:$E$367,"Menstrual hygiene kits",Assistance_Log!$B$5:$B$367,"&gt;="&amp;Households!F94))</f>
        <v>0</v>
      </c>
      <c r="AG94" s="24">
        <f t="shared" si="33"/>
        <v>2</v>
      </c>
      <c r="AH94" s="25" t="str">
        <f t="shared" si="34"/>
        <v>Yes</v>
      </c>
      <c r="AI94" s="24">
        <f t="shared" si="35"/>
        <v>3</v>
      </c>
    </row>
    <row r="95" spans="1:35" x14ac:dyDescent="0.3">
      <c r="A95" s="24" t="str">
        <f>IF(Households!A95="","",Households!A95)</f>
        <v>HH-091</v>
      </c>
      <c r="B95" s="24" t="str">
        <f>IF($A95="","",Households!B95)</f>
        <v>Site C – Informal Tent Area</v>
      </c>
      <c r="C95" s="24" t="str">
        <f>IF($A95="","",Households!X95)</f>
        <v>Low</v>
      </c>
      <c r="D95" s="24">
        <f>IF($A95="","",MAX(0,Households!H95*Settings!$B$9-Households!Q95))</f>
        <v>12</v>
      </c>
      <c r="E95" s="24">
        <f>IF($A95="","",SUMIFS(Assistance_Log!$F$5:$F$367,Assistance_Log!$C$5:$C$367,$A95,Assistance_Log!$E$5:$E$367,"Blankets",Assistance_Log!$B$5:$B$367,"&gt;="&amp;Households!F95))</f>
        <v>0</v>
      </c>
      <c r="F95" s="25">
        <f t="shared" si="24"/>
        <v>12</v>
      </c>
      <c r="G95" s="24">
        <f>IF($A95="","",MAX(0,Households!H95*Settings!$B$10-Households!R95))</f>
        <v>2</v>
      </c>
      <c r="H95" s="24">
        <f>IF($A95="","",SUMIFS(Assistance_Log!$F$5:$F$367,Assistance_Log!$C$5:$C$367,$A95,Assistance_Log!$E$5:$E$367,"Mattresses",Assistance_Log!$B$5:$B$367,"&gt;="&amp;Households!F95))</f>
        <v>0</v>
      </c>
      <c r="I95" s="25">
        <f t="shared" si="25"/>
        <v>2</v>
      </c>
      <c r="J95" s="24">
        <f>IF($A95="","",IF(AND(OR(Households!C95="Tent",Households!C95="Makeshift shelter"),Households!D95="Damaged"),Settings!$B$11,0))</f>
        <v>0</v>
      </c>
      <c r="K95" s="24">
        <f>IF($A95="","",SUMIFS(Assistance_Log!$F$5:$F$367,Assistance_Log!$C$5:$C$367,$A95,Assistance_Log!$E$5:$E$367,"Tarpaulins",Assistance_Log!$B$5:$B$367,"&gt;="&amp;Households!F95))</f>
        <v>0</v>
      </c>
      <c r="L95" s="25">
        <f t="shared" si="26"/>
        <v>0</v>
      </c>
      <c r="M95" s="24">
        <f>IF($A95="","",IF(AND(OR(Households!C95="Tent",Households!C95="Makeshift shelter"),Households!D95="Unusable"),Settings!$B$12,0))</f>
        <v>0</v>
      </c>
      <c r="N95" s="24">
        <f>IF($A95="","",SUMIFS(Assistance_Log!$F$5:$F$367,Assistance_Log!$C$5:$C$367,$A95,Assistance_Log!$E$5:$E$367,"Tent replacement",Assistance_Log!$B$5:$B$367,"&gt;="&amp;Households!F95))</f>
        <v>0</v>
      </c>
      <c r="O95" s="25">
        <f t="shared" si="27"/>
        <v>0</v>
      </c>
      <c r="P95" s="24">
        <f>IF($A95="","",IF(Households!D95="Damaged",Settings!$B$13,0))</f>
        <v>0</v>
      </c>
      <c r="Q95" s="24">
        <f>IF($A95="","",SUMIFS(Assistance_Log!$F$5:$F$367,Assistance_Log!$C$5:$C$367,$A95,Assistance_Log!$E$5:$E$367,"Shelter repair kits",Assistance_Log!$B$5:$B$367,"&gt;="&amp;Households!F95))</f>
        <v>0</v>
      </c>
      <c r="R95" s="24">
        <f t="shared" si="28"/>
        <v>0</v>
      </c>
      <c r="S95" s="24">
        <f>IF($A95="","",Households!S95*Settings!$B$14)</f>
        <v>4</v>
      </c>
      <c r="T95" s="24">
        <f>IF($A95="","",SUMIFS(Assistance_Log!$F$5:$F$367,Assistance_Log!$C$5:$C$367,$A95,Assistance_Log!$E$5:$E$367,"Winter clothing – children",Assistance_Log!$B$5:$B$367,"&gt;="&amp;Households!F95))</f>
        <v>0</v>
      </c>
      <c r="U95" s="24">
        <f t="shared" si="29"/>
        <v>4</v>
      </c>
      <c r="V95" s="24">
        <f>IF($A95="","",Households!T95*Settings!$B$14)</f>
        <v>1</v>
      </c>
      <c r="W95" s="24">
        <f>IF($A95="","",SUMIFS(Assistance_Log!$F$5:$F$367,Assistance_Log!$C$5:$C$367,$A95,Assistance_Log!$E$5:$E$367,"Winter clothing – adults",Assistance_Log!$B$5:$B$367,"&gt;="&amp;Households!F95))</f>
        <v>0</v>
      </c>
      <c r="X95" s="24">
        <f t="shared" si="30"/>
        <v>1</v>
      </c>
      <c r="Y95" s="24">
        <f>IF($A95="","",Households!J95*Settings!$B$15)</f>
        <v>0</v>
      </c>
      <c r="Z95" s="24">
        <f>IF($A95="","",SUMIFS(Assistance_Log!$F$5:$F$367,Assistance_Log!$C$5:$C$367,$A95,Assistance_Log!$E$5:$E$367,"Diapers",Assistance_Log!$B$5:$B$367,"&gt;="&amp;Households!F95))</f>
        <v>0</v>
      </c>
      <c r="AA95" s="24">
        <f t="shared" si="31"/>
        <v>0</v>
      </c>
      <c r="AB95" s="24">
        <f>IF($A95="","",Settings!$B$16)</f>
        <v>1</v>
      </c>
      <c r="AC95" s="24">
        <f>IF($A95="","",SUMIFS(Assistance_Log!$F$5:$F$367,Assistance_Log!$C$5:$C$367,$A95,Assistance_Log!$E$5:$E$367,"Family hygiene kits",Assistance_Log!$B$5:$B$367,"&gt;="&amp;Households!F95))</f>
        <v>0</v>
      </c>
      <c r="AD95" s="24">
        <f t="shared" si="32"/>
        <v>1</v>
      </c>
      <c r="AE95" s="24">
        <f>IF($A95="","",Households!N95*Settings!$B$17)</f>
        <v>2</v>
      </c>
      <c r="AF95" s="24">
        <f>IF($A95="","",SUMIFS(Assistance_Log!$F$5:$F$367,Assistance_Log!$C$5:$C$367,$A95,Assistance_Log!$E$5:$E$367,"Menstrual hygiene kits",Assistance_Log!$B$5:$B$367,"&gt;="&amp;Households!F95))</f>
        <v>0</v>
      </c>
      <c r="AG95" s="24">
        <f t="shared" si="33"/>
        <v>2</v>
      </c>
      <c r="AH95" s="25" t="str">
        <f t="shared" si="34"/>
        <v>Yes</v>
      </c>
      <c r="AI95" s="24">
        <f t="shared" si="35"/>
        <v>6</v>
      </c>
    </row>
    <row r="96" spans="1:35" x14ac:dyDescent="0.3">
      <c r="A96" s="24" t="str">
        <f>IF(Households!A96="","",Households!A96)</f>
        <v>HH-092</v>
      </c>
      <c r="B96" s="24" t="str">
        <f>IF($A96="","",Households!B96)</f>
        <v>Site C – Informal Tent Area</v>
      </c>
      <c r="C96" s="24" t="str">
        <f>IF($A96="","",Households!X96)</f>
        <v>Low</v>
      </c>
      <c r="D96" s="24">
        <f>IF($A96="","",MAX(0,Households!H96*Settings!$B$9-Households!Q96))</f>
        <v>5</v>
      </c>
      <c r="E96" s="24">
        <f>IF($A96="","",SUMIFS(Assistance_Log!$F$5:$F$367,Assistance_Log!$C$5:$C$367,$A96,Assistance_Log!$E$5:$E$367,"Blankets",Assistance_Log!$B$5:$B$367,"&gt;="&amp;Households!F96))</f>
        <v>0</v>
      </c>
      <c r="F96" s="25">
        <f t="shared" si="24"/>
        <v>5</v>
      </c>
      <c r="G96" s="24">
        <f>IF($A96="","",MAX(0,Households!H96*Settings!$B$10-Households!R96))</f>
        <v>1</v>
      </c>
      <c r="H96" s="24">
        <f>IF($A96="","",SUMIFS(Assistance_Log!$F$5:$F$367,Assistance_Log!$C$5:$C$367,$A96,Assistance_Log!$E$5:$E$367,"Mattresses",Assistance_Log!$B$5:$B$367,"&gt;="&amp;Households!F96))</f>
        <v>0</v>
      </c>
      <c r="I96" s="25">
        <f t="shared" si="25"/>
        <v>1</v>
      </c>
      <c r="J96" s="24">
        <f>IF($A96="","",IF(AND(OR(Households!C96="Tent",Households!C96="Makeshift shelter"),Households!D96="Damaged"),Settings!$B$11,0))</f>
        <v>2</v>
      </c>
      <c r="K96" s="24">
        <f>IF($A96="","",SUMIFS(Assistance_Log!$F$5:$F$367,Assistance_Log!$C$5:$C$367,$A96,Assistance_Log!$E$5:$E$367,"Tarpaulins",Assistance_Log!$B$5:$B$367,"&gt;="&amp;Households!F96))</f>
        <v>2</v>
      </c>
      <c r="L96" s="25">
        <f t="shared" si="26"/>
        <v>0</v>
      </c>
      <c r="M96" s="24">
        <f>IF($A96="","",IF(AND(OR(Households!C96="Tent",Households!C96="Makeshift shelter"),Households!D96="Unusable"),Settings!$B$12,0))</f>
        <v>0</v>
      </c>
      <c r="N96" s="24">
        <f>IF($A96="","",SUMIFS(Assistance_Log!$F$5:$F$367,Assistance_Log!$C$5:$C$367,$A96,Assistance_Log!$E$5:$E$367,"Tent replacement",Assistance_Log!$B$5:$B$367,"&gt;="&amp;Households!F96))</f>
        <v>0</v>
      </c>
      <c r="O96" s="25">
        <f t="shared" si="27"/>
        <v>0</v>
      </c>
      <c r="P96" s="24">
        <f>IF($A96="","",IF(Households!D96="Damaged",Settings!$B$13,0))</f>
        <v>1</v>
      </c>
      <c r="Q96" s="24">
        <f>IF($A96="","",SUMIFS(Assistance_Log!$F$5:$F$367,Assistance_Log!$C$5:$C$367,$A96,Assistance_Log!$E$5:$E$367,"Shelter repair kits",Assistance_Log!$B$5:$B$367,"&gt;="&amp;Households!F96))</f>
        <v>0</v>
      </c>
      <c r="R96" s="24">
        <f t="shared" si="28"/>
        <v>1</v>
      </c>
      <c r="S96" s="24">
        <f>IF($A96="","",Households!S96*Settings!$B$14)</f>
        <v>1</v>
      </c>
      <c r="T96" s="24">
        <f>IF($A96="","",SUMIFS(Assistance_Log!$F$5:$F$367,Assistance_Log!$C$5:$C$367,$A96,Assistance_Log!$E$5:$E$367,"Winter clothing – children",Assistance_Log!$B$5:$B$367,"&gt;="&amp;Households!F96))</f>
        <v>1</v>
      </c>
      <c r="U96" s="24">
        <f t="shared" si="29"/>
        <v>0</v>
      </c>
      <c r="V96" s="24">
        <f>IF($A96="","",Households!T96*Settings!$B$14)</f>
        <v>3</v>
      </c>
      <c r="W96" s="24">
        <f>IF($A96="","",SUMIFS(Assistance_Log!$F$5:$F$367,Assistance_Log!$C$5:$C$367,$A96,Assistance_Log!$E$5:$E$367,"Winter clothing – adults",Assistance_Log!$B$5:$B$367,"&gt;="&amp;Households!F96))</f>
        <v>0</v>
      </c>
      <c r="X96" s="24">
        <f t="shared" si="30"/>
        <v>3</v>
      </c>
      <c r="Y96" s="24">
        <f>IF($A96="","",Households!J96*Settings!$B$15)</f>
        <v>0</v>
      </c>
      <c r="Z96" s="24">
        <f>IF($A96="","",SUMIFS(Assistance_Log!$F$5:$F$367,Assistance_Log!$C$5:$C$367,$A96,Assistance_Log!$E$5:$E$367,"Diapers",Assistance_Log!$B$5:$B$367,"&gt;="&amp;Households!F96))</f>
        <v>0</v>
      </c>
      <c r="AA96" s="24">
        <f t="shared" si="31"/>
        <v>0</v>
      </c>
      <c r="AB96" s="24">
        <f>IF($A96="","",Settings!$B$16)</f>
        <v>1</v>
      </c>
      <c r="AC96" s="24">
        <f>IF($A96="","",SUMIFS(Assistance_Log!$F$5:$F$367,Assistance_Log!$C$5:$C$367,$A96,Assistance_Log!$E$5:$E$367,"Family hygiene kits",Assistance_Log!$B$5:$B$367,"&gt;="&amp;Households!F96))</f>
        <v>1</v>
      </c>
      <c r="AD96" s="24">
        <f t="shared" si="32"/>
        <v>0</v>
      </c>
      <c r="AE96" s="24">
        <f>IF($A96="","",Households!N96*Settings!$B$17)</f>
        <v>2</v>
      </c>
      <c r="AF96" s="24">
        <f>IF($A96="","",SUMIFS(Assistance_Log!$F$5:$F$367,Assistance_Log!$C$5:$C$367,$A96,Assistance_Log!$E$5:$E$367,"Menstrual hygiene kits",Assistance_Log!$B$5:$B$367,"&gt;="&amp;Households!F96))</f>
        <v>1</v>
      </c>
      <c r="AG96" s="24">
        <f t="shared" si="33"/>
        <v>1</v>
      </c>
      <c r="AH96" s="25" t="str">
        <f t="shared" si="34"/>
        <v>Yes</v>
      </c>
      <c r="AI96" s="24">
        <f t="shared" si="35"/>
        <v>5</v>
      </c>
    </row>
    <row r="97" spans="1:35" x14ac:dyDescent="0.3">
      <c r="A97" s="24" t="str">
        <f>IF(Households!A97="","",Households!A97)</f>
        <v>HH-093</v>
      </c>
      <c r="B97" s="24" t="str">
        <f>IF($A97="","",Households!B97)</f>
        <v>Site C – Informal Tent Area</v>
      </c>
      <c r="C97" s="24" t="str">
        <f>IF($A97="","",Households!X97)</f>
        <v>Medium</v>
      </c>
      <c r="D97" s="24">
        <f>IF($A97="","",MAX(0,Households!H97*Settings!$B$9-Households!Q97))</f>
        <v>9</v>
      </c>
      <c r="E97" s="24">
        <f>IF($A97="","",SUMIFS(Assistance_Log!$F$5:$F$367,Assistance_Log!$C$5:$C$367,$A97,Assistance_Log!$E$5:$E$367,"Blankets",Assistance_Log!$B$5:$B$367,"&gt;="&amp;Households!F97))</f>
        <v>9</v>
      </c>
      <c r="F97" s="25">
        <f t="shared" si="24"/>
        <v>0</v>
      </c>
      <c r="G97" s="24">
        <f>IF($A97="","",MAX(0,Households!H97*Settings!$B$10-Households!R97))</f>
        <v>2</v>
      </c>
      <c r="H97" s="24">
        <f>IF($A97="","",SUMIFS(Assistance_Log!$F$5:$F$367,Assistance_Log!$C$5:$C$367,$A97,Assistance_Log!$E$5:$E$367,"Mattresses",Assistance_Log!$B$5:$B$367,"&gt;="&amp;Households!F97))</f>
        <v>0</v>
      </c>
      <c r="I97" s="25">
        <f t="shared" si="25"/>
        <v>2</v>
      </c>
      <c r="J97" s="24">
        <f>IF($A97="","",IF(AND(OR(Households!C97="Tent",Households!C97="Makeshift shelter"),Households!D97="Damaged"),Settings!$B$11,0))</f>
        <v>0</v>
      </c>
      <c r="K97" s="24">
        <f>IF($A97="","",SUMIFS(Assistance_Log!$F$5:$F$367,Assistance_Log!$C$5:$C$367,$A97,Assistance_Log!$E$5:$E$367,"Tarpaulins",Assistance_Log!$B$5:$B$367,"&gt;="&amp;Households!F97))</f>
        <v>0</v>
      </c>
      <c r="L97" s="25">
        <f t="shared" si="26"/>
        <v>0</v>
      </c>
      <c r="M97" s="24">
        <f>IF($A97="","",IF(AND(OR(Households!C97="Tent",Households!C97="Makeshift shelter"),Households!D97="Unusable"),Settings!$B$12,0))</f>
        <v>0</v>
      </c>
      <c r="N97" s="24">
        <f>IF($A97="","",SUMIFS(Assistance_Log!$F$5:$F$367,Assistance_Log!$C$5:$C$367,$A97,Assistance_Log!$E$5:$E$367,"Tent replacement",Assistance_Log!$B$5:$B$367,"&gt;="&amp;Households!F97))</f>
        <v>0</v>
      </c>
      <c r="O97" s="25">
        <f t="shared" si="27"/>
        <v>0</v>
      </c>
      <c r="P97" s="24">
        <f>IF($A97="","",IF(Households!D97="Damaged",Settings!$B$13,0))</f>
        <v>0</v>
      </c>
      <c r="Q97" s="24">
        <f>IF($A97="","",SUMIFS(Assistance_Log!$F$5:$F$367,Assistance_Log!$C$5:$C$367,$A97,Assistance_Log!$E$5:$E$367,"Shelter repair kits",Assistance_Log!$B$5:$B$367,"&gt;="&amp;Households!F97))</f>
        <v>0</v>
      </c>
      <c r="R97" s="24">
        <f t="shared" si="28"/>
        <v>0</v>
      </c>
      <c r="S97" s="24">
        <f>IF($A97="","",Households!S97*Settings!$B$14)</f>
        <v>0</v>
      </c>
      <c r="T97" s="24">
        <f>IF($A97="","",SUMIFS(Assistance_Log!$F$5:$F$367,Assistance_Log!$C$5:$C$367,$A97,Assistance_Log!$E$5:$E$367,"Winter clothing – children",Assistance_Log!$B$5:$B$367,"&gt;="&amp;Households!F97))</f>
        <v>0</v>
      </c>
      <c r="U97" s="24">
        <f t="shared" si="29"/>
        <v>0</v>
      </c>
      <c r="V97" s="24">
        <f>IF($A97="","",Households!T97*Settings!$B$14)</f>
        <v>2</v>
      </c>
      <c r="W97" s="24">
        <f>IF($A97="","",SUMIFS(Assistance_Log!$F$5:$F$367,Assistance_Log!$C$5:$C$367,$A97,Assistance_Log!$E$5:$E$367,"Winter clothing – adults",Assistance_Log!$B$5:$B$367,"&gt;="&amp;Households!F97))</f>
        <v>0</v>
      </c>
      <c r="X97" s="24">
        <f t="shared" si="30"/>
        <v>2</v>
      </c>
      <c r="Y97" s="24">
        <f>IF($A97="","",Households!J97*Settings!$B$15)</f>
        <v>0</v>
      </c>
      <c r="Z97" s="24">
        <f>IF($A97="","",SUMIFS(Assistance_Log!$F$5:$F$367,Assistance_Log!$C$5:$C$367,$A97,Assistance_Log!$E$5:$E$367,"Diapers",Assistance_Log!$B$5:$B$367,"&gt;="&amp;Households!F97))</f>
        <v>0</v>
      </c>
      <c r="AA97" s="24">
        <f t="shared" si="31"/>
        <v>0</v>
      </c>
      <c r="AB97" s="24">
        <f>IF($A97="","",Settings!$B$16)</f>
        <v>1</v>
      </c>
      <c r="AC97" s="24">
        <f>IF($A97="","",SUMIFS(Assistance_Log!$F$5:$F$367,Assistance_Log!$C$5:$C$367,$A97,Assistance_Log!$E$5:$E$367,"Family hygiene kits",Assistance_Log!$B$5:$B$367,"&gt;="&amp;Households!F97))</f>
        <v>0</v>
      </c>
      <c r="AD97" s="24">
        <f t="shared" si="32"/>
        <v>1</v>
      </c>
      <c r="AE97" s="24">
        <f>IF($A97="","",Households!N97*Settings!$B$17)</f>
        <v>3</v>
      </c>
      <c r="AF97" s="24">
        <f>IF($A97="","",SUMIFS(Assistance_Log!$F$5:$F$367,Assistance_Log!$C$5:$C$367,$A97,Assistance_Log!$E$5:$E$367,"Menstrual hygiene kits",Assistance_Log!$B$5:$B$367,"&gt;="&amp;Households!F97))</f>
        <v>0</v>
      </c>
      <c r="AG97" s="24">
        <f t="shared" si="33"/>
        <v>3</v>
      </c>
      <c r="AH97" s="25" t="str">
        <f t="shared" si="34"/>
        <v>Yes</v>
      </c>
      <c r="AI97" s="24">
        <f t="shared" si="35"/>
        <v>4</v>
      </c>
    </row>
    <row r="98" spans="1:35" x14ac:dyDescent="0.3">
      <c r="A98" s="24" t="str">
        <f>IF(Households!A98="","",Households!A98)</f>
        <v>HH-094</v>
      </c>
      <c r="B98" s="24" t="str">
        <f>IF($A98="","",Households!B98)</f>
        <v>Site C – Informal Tent Area</v>
      </c>
      <c r="C98" s="24" t="str">
        <f>IF($A98="","",Households!X98)</f>
        <v>Low</v>
      </c>
      <c r="D98" s="24">
        <f>IF($A98="","",MAX(0,Households!H98*Settings!$B$9-Households!Q98))</f>
        <v>12</v>
      </c>
      <c r="E98" s="24">
        <f>IF($A98="","",SUMIFS(Assistance_Log!$F$5:$F$367,Assistance_Log!$C$5:$C$367,$A98,Assistance_Log!$E$5:$E$367,"Blankets",Assistance_Log!$B$5:$B$367,"&gt;="&amp;Households!F98))</f>
        <v>0</v>
      </c>
      <c r="F98" s="25">
        <f t="shared" si="24"/>
        <v>12</v>
      </c>
      <c r="G98" s="24">
        <f>IF($A98="","",MAX(0,Households!H98*Settings!$B$10-Households!R98))</f>
        <v>2</v>
      </c>
      <c r="H98" s="24">
        <f>IF($A98="","",SUMIFS(Assistance_Log!$F$5:$F$367,Assistance_Log!$C$5:$C$367,$A98,Assistance_Log!$E$5:$E$367,"Mattresses",Assistance_Log!$B$5:$B$367,"&gt;="&amp;Households!F98))</f>
        <v>0</v>
      </c>
      <c r="I98" s="25">
        <f t="shared" si="25"/>
        <v>2</v>
      </c>
      <c r="J98" s="24">
        <f>IF($A98="","",IF(AND(OR(Households!C98="Tent",Households!C98="Makeshift shelter"),Households!D98="Damaged"),Settings!$B$11,0))</f>
        <v>0</v>
      </c>
      <c r="K98" s="24">
        <f>IF($A98="","",SUMIFS(Assistance_Log!$F$5:$F$367,Assistance_Log!$C$5:$C$367,$A98,Assistance_Log!$E$5:$E$367,"Tarpaulins",Assistance_Log!$B$5:$B$367,"&gt;="&amp;Households!F98))</f>
        <v>0</v>
      </c>
      <c r="L98" s="25">
        <f t="shared" si="26"/>
        <v>0</v>
      </c>
      <c r="M98" s="24">
        <f>IF($A98="","",IF(AND(OR(Households!C98="Tent",Households!C98="Makeshift shelter"),Households!D98="Unusable"),Settings!$B$12,0))</f>
        <v>0</v>
      </c>
      <c r="N98" s="24">
        <f>IF($A98="","",SUMIFS(Assistance_Log!$F$5:$F$367,Assistance_Log!$C$5:$C$367,$A98,Assistance_Log!$E$5:$E$367,"Tent replacement",Assistance_Log!$B$5:$B$367,"&gt;="&amp;Households!F98))</f>
        <v>0</v>
      </c>
      <c r="O98" s="25">
        <f t="shared" si="27"/>
        <v>0</v>
      </c>
      <c r="P98" s="24">
        <f>IF($A98="","",IF(Households!D98="Damaged",Settings!$B$13,0))</f>
        <v>0</v>
      </c>
      <c r="Q98" s="24">
        <f>IF($A98="","",SUMIFS(Assistance_Log!$F$5:$F$367,Assistance_Log!$C$5:$C$367,$A98,Assistance_Log!$E$5:$E$367,"Shelter repair kits",Assistance_Log!$B$5:$B$367,"&gt;="&amp;Households!F98))</f>
        <v>0</v>
      </c>
      <c r="R98" s="24">
        <f t="shared" si="28"/>
        <v>0</v>
      </c>
      <c r="S98" s="24">
        <f>IF($A98="","",Households!S98*Settings!$B$14)</f>
        <v>3</v>
      </c>
      <c r="T98" s="24">
        <f>IF($A98="","",SUMIFS(Assistance_Log!$F$5:$F$367,Assistance_Log!$C$5:$C$367,$A98,Assistance_Log!$E$5:$E$367,"Winter clothing – children",Assistance_Log!$B$5:$B$367,"&gt;="&amp;Households!F98))</f>
        <v>0</v>
      </c>
      <c r="U98" s="24">
        <f t="shared" si="29"/>
        <v>3</v>
      </c>
      <c r="V98" s="24">
        <f>IF($A98="","",Households!T98*Settings!$B$14)</f>
        <v>2</v>
      </c>
      <c r="W98" s="24">
        <f>IF($A98="","",SUMIFS(Assistance_Log!$F$5:$F$367,Assistance_Log!$C$5:$C$367,$A98,Assistance_Log!$E$5:$E$367,"Winter clothing – adults",Assistance_Log!$B$5:$B$367,"&gt;="&amp;Households!F98))</f>
        <v>1</v>
      </c>
      <c r="X98" s="24">
        <f t="shared" si="30"/>
        <v>1</v>
      </c>
      <c r="Y98" s="24">
        <f>IF($A98="","",Households!J98*Settings!$B$15)</f>
        <v>0</v>
      </c>
      <c r="Z98" s="24">
        <f>IF($A98="","",SUMIFS(Assistance_Log!$F$5:$F$367,Assistance_Log!$C$5:$C$367,$A98,Assistance_Log!$E$5:$E$367,"Diapers",Assistance_Log!$B$5:$B$367,"&gt;="&amp;Households!F98))</f>
        <v>0</v>
      </c>
      <c r="AA98" s="24">
        <f t="shared" si="31"/>
        <v>0</v>
      </c>
      <c r="AB98" s="24">
        <f>IF($A98="","",Settings!$B$16)</f>
        <v>1</v>
      </c>
      <c r="AC98" s="24">
        <f>IF($A98="","",SUMIFS(Assistance_Log!$F$5:$F$367,Assistance_Log!$C$5:$C$367,$A98,Assistance_Log!$E$5:$E$367,"Family hygiene kits",Assistance_Log!$B$5:$B$367,"&gt;="&amp;Households!F98))</f>
        <v>1</v>
      </c>
      <c r="AD98" s="24">
        <f t="shared" si="32"/>
        <v>0</v>
      </c>
      <c r="AE98" s="24">
        <f>IF($A98="","",Households!N98*Settings!$B$17)</f>
        <v>1</v>
      </c>
      <c r="AF98" s="24">
        <f>IF($A98="","",SUMIFS(Assistance_Log!$F$5:$F$367,Assistance_Log!$C$5:$C$367,$A98,Assistance_Log!$E$5:$E$367,"Menstrual hygiene kits",Assistance_Log!$B$5:$B$367,"&gt;="&amp;Households!F98))</f>
        <v>0</v>
      </c>
      <c r="AG98" s="24">
        <f t="shared" si="33"/>
        <v>1</v>
      </c>
      <c r="AH98" s="25" t="str">
        <f t="shared" si="34"/>
        <v>Yes</v>
      </c>
      <c r="AI98" s="24">
        <f t="shared" si="35"/>
        <v>5</v>
      </c>
    </row>
    <row r="99" spans="1:35" x14ac:dyDescent="0.3">
      <c r="A99" s="24" t="str">
        <f>IF(Households!A99="","",Households!A99)</f>
        <v>HH-095</v>
      </c>
      <c r="B99" s="24" t="str">
        <f>IF($A99="","",Households!B99)</f>
        <v>Site C – Informal Tent Area</v>
      </c>
      <c r="C99" s="24" t="str">
        <f>IF($A99="","",Households!X99)</f>
        <v>High</v>
      </c>
      <c r="D99" s="24">
        <f>IF($A99="","",MAX(0,Households!H99*Settings!$B$9-Households!Q99))</f>
        <v>4</v>
      </c>
      <c r="E99" s="24">
        <f>IF($A99="","",SUMIFS(Assistance_Log!$F$5:$F$367,Assistance_Log!$C$5:$C$367,$A99,Assistance_Log!$E$5:$E$367,"Blankets",Assistance_Log!$B$5:$B$367,"&gt;="&amp;Households!F99))</f>
        <v>1</v>
      </c>
      <c r="F99" s="25">
        <f t="shared" si="24"/>
        <v>3</v>
      </c>
      <c r="G99" s="24">
        <f>IF($A99="","",MAX(0,Households!H99*Settings!$B$10-Households!R99))</f>
        <v>5</v>
      </c>
      <c r="H99" s="24">
        <f>IF($A99="","",SUMIFS(Assistance_Log!$F$5:$F$367,Assistance_Log!$C$5:$C$367,$A99,Assistance_Log!$E$5:$E$367,"Mattresses",Assistance_Log!$B$5:$B$367,"&gt;="&amp;Households!F99))</f>
        <v>0</v>
      </c>
      <c r="I99" s="25">
        <f t="shared" si="25"/>
        <v>5</v>
      </c>
      <c r="J99" s="24">
        <f>IF($A99="","",IF(AND(OR(Households!C99="Tent",Households!C99="Makeshift shelter"),Households!D99="Damaged"),Settings!$B$11,0))</f>
        <v>0</v>
      </c>
      <c r="K99" s="24">
        <f>IF($A99="","",SUMIFS(Assistance_Log!$F$5:$F$367,Assistance_Log!$C$5:$C$367,$A99,Assistance_Log!$E$5:$E$367,"Tarpaulins",Assistance_Log!$B$5:$B$367,"&gt;="&amp;Households!F99))</f>
        <v>0</v>
      </c>
      <c r="L99" s="25">
        <f t="shared" si="26"/>
        <v>0</v>
      </c>
      <c r="M99" s="24">
        <f>IF($A99="","",IF(AND(OR(Households!C99="Tent",Households!C99="Makeshift shelter"),Households!D99="Unusable"),Settings!$B$12,0))</f>
        <v>1</v>
      </c>
      <c r="N99" s="24">
        <f>IF($A99="","",SUMIFS(Assistance_Log!$F$5:$F$367,Assistance_Log!$C$5:$C$367,$A99,Assistance_Log!$E$5:$E$367,"Tent replacement",Assistance_Log!$B$5:$B$367,"&gt;="&amp;Households!F99))</f>
        <v>0</v>
      </c>
      <c r="O99" s="25">
        <f t="shared" si="27"/>
        <v>1</v>
      </c>
      <c r="P99" s="24">
        <f>IF($A99="","",IF(Households!D99="Damaged",Settings!$B$13,0))</f>
        <v>0</v>
      </c>
      <c r="Q99" s="24">
        <f>IF($A99="","",SUMIFS(Assistance_Log!$F$5:$F$367,Assistance_Log!$C$5:$C$367,$A99,Assistance_Log!$E$5:$E$367,"Shelter repair kits",Assistance_Log!$B$5:$B$367,"&gt;="&amp;Households!F99))</f>
        <v>0</v>
      </c>
      <c r="R99" s="24">
        <f t="shared" si="28"/>
        <v>0</v>
      </c>
      <c r="S99" s="24">
        <f>IF($A99="","",Households!S99*Settings!$B$14)</f>
        <v>2</v>
      </c>
      <c r="T99" s="24">
        <f>IF($A99="","",SUMIFS(Assistance_Log!$F$5:$F$367,Assistance_Log!$C$5:$C$367,$A99,Assistance_Log!$E$5:$E$367,"Winter clothing – children",Assistance_Log!$B$5:$B$367,"&gt;="&amp;Households!F99))</f>
        <v>0</v>
      </c>
      <c r="U99" s="24">
        <f t="shared" si="29"/>
        <v>2</v>
      </c>
      <c r="V99" s="24">
        <f>IF($A99="","",Households!T99*Settings!$B$14)</f>
        <v>0</v>
      </c>
      <c r="W99" s="24">
        <f>IF($A99="","",SUMIFS(Assistance_Log!$F$5:$F$367,Assistance_Log!$C$5:$C$367,$A99,Assistance_Log!$E$5:$E$367,"Winter clothing – adults",Assistance_Log!$B$5:$B$367,"&gt;="&amp;Households!F99))</f>
        <v>0</v>
      </c>
      <c r="X99" s="24">
        <f t="shared" si="30"/>
        <v>0</v>
      </c>
      <c r="Y99" s="24">
        <f>IF($A99="","",Households!J99*Settings!$B$15)</f>
        <v>4</v>
      </c>
      <c r="Z99" s="24">
        <f>IF($A99="","",SUMIFS(Assistance_Log!$F$5:$F$367,Assistance_Log!$C$5:$C$367,$A99,Assistance_Log!$E$5:$E$367,"Diapers",Assistance_Log!$B$5:$B$367,"&gt;="&amp;Households!F99))</f>
        <v>4</v>
      </c>
      <c r="AA99" s="24">
        <f t="shared" si="31"/>
        <v>0</v>
      </c>
      <c r="AB99" s="24">
        <f>IF($A99="","",Settings!$B$16)</f>
        <v>1</v>
      </c>
      <c r="AC99" s="24">
        <f>IF($A99="","",SUMIFS(Assistance_Log!$F$5:$F$367,Assistance_Log!$C$5:$C$367,$A99,Assistance_Log!$E$5:$E$367,"Family hygiene kits",Assistance_Log!$B$5:$B$367,"&gt;="&amp;Households!F99))</f>
        <v>0</v>
      </c>
      <c r="AD99" s="24">
        <f t="shared" si="32"/>
        <v>1</v>
      </c>
      <c r="AE99" s="24">
        <f>IF($A99="","",Households!N99*Settings!$B$17)</f>
        <v>2</v>
      </c>
      <c r="AF99" s="24">
        <f>IF($A99="","",SUMIFS(Assistance_Log!$F$5:$F$367,Assistance_Log!$C$5:$C$367,$A99,Assistance_Log!$E$5:$E$367,"Menstrual hygiene kits",Assistance_Log!$B$5:$B$367,"&gt;="&amp;Households!F99))</f>
        <v>0</v>
      </c>
      <c r="AG99" s="24">
        <f t="shared" si="33"/>
        <v>2</v>
      </c>
      <c r="AH99" s="25" t="str">
        <f t="shared" si="34"/>
        <v>Yes</v>
      </c>
      <c r="AI99" s="24">
        <f t="shared" si="35"/>
        <v>6</v>
      </c>
    </row>
    <row r="100" spans="1:35" x14ac:dyDescent="0.3">
      <c r="A100" s="24" t="str">
        <f>IF(Households!A100="","",Households!A100)</f>
        <v>HH-096</v>
      </c>
      <c r="B100" s="24" t="str">
        <f>IF($A100="","",Households!B100)</f>
        <v>Site C – Informal Tent Area</v>
      </c>
      <c r="C100" s="24" t="str">
        <f>IF($A100="","",Households!X100)</f>
        <v>Medium</v>
      </c>
      <c r="D100" s="24">
        <f>IF($A100="","",MAX(0,Households!H100*Settings!$B$9-Households!Q100))</f>
        <v>10</v>
      </c>
      <c r="E100" s="24">
        <f>IF($A100="","",SUMIFS(Assistance_Log!$F$5:$F$367,Assistance_Log!$C$5:$C$367,$A100,Assistance_Log!$E$5:$E$367,"Blankets",Assistance_Log!$B$5:$B$367,"&gt;="&amp;Households!F100))</f>
        <v>0</v>
      </c>
      <c r="F100" s="25">
        <f t="shared" si="24"/>
        <v>10</v>
      </c>
      <c r="G100" s="24">
        <f>IF($A100="","",MAX(0,Households!H100*Settings!$B$10-Households!R100))</f>
        <v>1</v>
      </c>
      <c r="H100" s="24">
        <f>IF($A100="","",SUMIFS(Assistance_Log!$F$5:$F$367,Assistance_Log!$C$5:$C$367,$A100,Assistance_Log!$E$5:$E$367,"Mattresses",Assistance_Log!$B$5:$B$367,"&gt;="&amp;Households!F100))</f>
        <v>0</v>
      </c>
      <c r="I100" s="25">
        <f t="shared" si="25"/>
        <v>1</v>
      </c>
      <c r="J100" s="24">
        <f>IF($A100="","",IF(AND(OR(Households!C100="Tent",Households!C100="Makeshift shelter"),Households!D100="Damaged"),Settings!$B$11,0))</f>
        <v>2</v>
      </c>
      <c r="K100" s="24">
        <f>IF($A100="","",SUMIFS(Assistance_Log!$F$5:$F$367,Assistance_Log!$C$5:$C$367,$A100,Assistance_Log!$E$5:$E$367,"Tarpaulins",Assistance_Log!$B$5:$B$367,"&gt;="&amp;Households!F100))</f>
        <v>1</v>
      </c>
      <c r="L100" s="25">
        <f t="shared" si="26"/>
        <v>1</v>
      </c>
      <c r="M100" s="24">
        <f>IF($A100="","",IF(AND(OR(Households!C100="Tent",Households!C100="Makeshift shelter"),Households!D100="Unusable"),Settings!$B$12,0))</f>
        <v>0</v>
      </c>
      <c r="N100" s="24">
        <f>IF($A100="","",SUMIFS(Assistance_Log!$F$5:$F$367,Assistance_Log!$C$5:$C$367,$A100,Assistance_Log!$E$5:$E$367,"Tent replacement",Assistance_Log!$B$5:$B$367,"&gt;="&amp;Households!F100))</f>
        <v>0</v>
      </c>
      <c r="O100" s="25">
        <f t="shared" si="27"/>
        <v>0</v>
      </c>
      <c r="P100" s="24">
        <f>IF($A100="","",IF(Households!D100="Damaged",Settings!$B$13,0))</f>
        <v>1</v>
      </c>
      <c r="Q100" s="24">
        <f>IF($A100="","",SUMIFS(Assistance_Log!$F$5:$F$367,Assistance_Log!$C$5:$C$367,$A100,Assistance_Log!$E$5:$E$367,"Shelter repair kits",Assistance_Log!$B$5:$B$367,"&gt;="&amp;Households!F100))</f>
        <v>0</v>
      </c>
      <c r="R100" s="24">
        <f t="shared" si="28"/>
        <v>1</v>
      </c>
      <c r="S100" s="24">
        <f>IF($A100="","",Households!S100*Settings!$B$14)</f>
        <v>2</v>
      </c>
      <c r="T100" s="24">
        <f>IF($A100="","",SUMIFS(Assistance_Log!$F$5:$F$367,Assistance_Log!$C$5:$C$367,$A100,Assistance_Log!$E$5:$E$367,"Winter clothing – children",Assistance_Log!$B$5:$B$367,"&gt;="&amp;Households!F100))</f>
        <v>0</v>
      </c>
      <c r="U100" s="24">
        <f t="shared" si="29"/>
        <v>2</v>
      </c>
      <c r="V100" s="24">
        <f>IF($A100="","",Households!T100*Settings!$B$14)</f>
        <v>2</v>
      </c>
      <c r="W100" s="24">
        <f>IF($A100="","",SUMIFS(Assistance_Log!$F$5:$F$367,Assistance_Log!$C$5:$C$367,$A100,Assistance_Log!$E$5:$E$367,"Winter clothing – adults",Assistance_Log!$B$5:$B$367,"&gt;="&amp;Households!F100))</f>
        <v>0</v>
      </c>
      <c r="X100" s="24">
        <f t="shared" si="30"/>
        <v>2</v>
      </c>
      <c r="Y100" s="24">
        <f>IF($A100="","",Households!J100*Settings!$B$15)</f>
        <v>0</v>
      </c>
      <c r="Z100" s="24">
        <f>IF($A100="","",SUMIFS(Assistance_Log!$F$5:$F$367,Assistance_Log!$C$5:$C$367,$A100,Assistance_Log!$E$5:$E$367,"Diapers",Assistance_Log!$B$5:$B$367,"&gt;="&amp;Households!F100))</f>
        <v>0</v>
      </c>
      <c r="AA100" s="24">
        <f t="shared" si="31"/>
        <v>0</v>
      </c>
      <c r="AB100" s="24">
        <f>IF($A100="","",Settings!$B$16)</f>
        <v>1</v>
      </c>
      <c r="AC100" s="24">
        <f>IF($A100="","",SUMIFS(Assistance_Log!$F$5:$F$367,Assistance_Log!$C$5:$C$367,$A100,Assistance_Log!$E$5:$E$367,"Family hygiene kits",Assistance_Log!$B$5:$B$367,"&gt;="&amp;Households!F100))</f>
        <v>0</v>
      </c>
      <c r="AD100" s="24">
        <f t="shared" si="32"/>
        <v>1</v>
      </c>
      <c r="AE100" s="24">
        <f>IF($A100="","",Households!N100*Settings!$B$17)</f>
        <v>1</v>
      </c>
      <c r="AF100" s="24">
        <f>IF($A100="","",SUMIFS(Assistance_Log!$F$5:$F$367,Assistance_Log!$C$5:$C$367,$A100,Assistance_Log!$E$5:$E$367,"Menstrual hygiene kits",Assistance_Log!$B$5:$B$367,"&gt;="&amp;Households!F100))</f>
        <v>0</v>
      </c>
      <c r="AG100" s="24">
        <f t="shared" si="33"/>
        <v>1</v>
      </c>
      <c r="AH100" s="25" t="str">
        <f t="shared" si="34"/>
        <v>Yes</v>
      </c>
      <c r="AI100" s="24">
        <f t="shared" si="35"/>
        <v>8</v>
      </c>
    </row>
    <row r="101" spans="1:35" x14ac:dyDescent="0.3">
      <c r="A101" s="24" t="str">
        <f>IF(Households!A101="","",Households!A101)</f>
        <v>HH-097</v>
      </c>
      <c r="B101" s="24" t="str">
        <f>IF($A101="","",Households!B101)</f>
        <v>Site C – Informal Tent Area</v>
      </c>
      <c r="C101" s="24" t="str">
        <f>IF($A101="","",Households!X101)</f>
        <v>Medium</v>
      </c>
      <c r="D101" s="24">
        <f>IF($A101="","",MAX(0,Households!H101*Settings!$B$9-Households!Q101))</f>
        <v>11</v>
      </c>
      <c r="E101" s="24">
        <f>IF($A101="","",SUMIFS(Assistance_Log!$F$5:$F$367,Assistance_Log!$C$5:$C$367,$A101,Assistance_Log!$E$5:$E$367,"Blankets",Assistance_Log!$B$5:$B$367,"&gt;="&amp;Households!F101))</f>
        <v>0</v>
      </c>
      <c r="F101" s="25">
        <f t="shared" ref="F101:F132" si="36">IF($A101="","",MAX(0,D101-E101))</f>
        <v>11</v>
      </c>
      <c r="G101" s="24">
        <f>IF($A101="","",MAX(0,Households!H101*Settings!$B$10-Households!R101))</f>
        <v>0</v>
      </c>
      <c r="H101" s="24">
        <f>IF($A101="","",SUMIFS(Assistance_Log!$F$5:$F$367,Assistance_Log!$C$5:$C$367,$A101,Assistance_Log!$E$5:$E$367,"Mattresses",Assistance_Log!$B$5:$B$367,"&gt;="&amp;Households!F101))</f>
        <v>0</v>
      </c>
      <c r="I101" s="25">
        <f t="shared" ref="I101:I132" si="37">IF($A101="","",MAX(0,G101-H101))</f>
        <v>0</v>
      </c>
      <c r="J101" s="24">
        <f>IF($A101="","",IF(AND(OR(Households!C101="Tent",Households!C101="Makeshift shelter"),Households!D101="Damaged"),Settings!$B$11,0))</f>
        <v>0</v>
      </c>
      <c r="K101" s="24">
        <f>IF($A101="","",SUMIFS(Assistance_Log!$F$5:$F$367,Assistance_Log!$C$5:$C$367,$A101,Assistance_Log!$E$5:$E$367,"Tarpaulins",Assistance_Log!$B$5:$B$367,"&gt;="&amp;Households!F101))</f>
        <v>0</v>
      </c>
      <c r="L101" s="25">
        <f t="shared" ref="L101:L132" si="38">IF($A101="","",MAX(0,J101-K101))</f>
        <v>0</v>
      </c>
      <c r="M101" s="24">
        <f>IF($A101="","",IF(AND(OR(Households!C101="Tent",Households!C101="Makeshift shelter"),Households!D101="Unusable"),Settings!$B$12,0))</f>
        <v>0</v>
      </c>
      <c r="N101" s="24">
        <f>IF($A101="","",SUMIFS(Assistance_Log!$F$5:$F$367,Assistance_Log!$C$5:$C$367,$A101,Assistance_Log!$E$5:$E$367,"Tent replacement",Assistance_Log!$B$5:$B$367,"&gt;="&amp;Households!F101))</f>
        <v>0</v>
      </c>
      <c r="O101" s="25">
        <f t="shared" ref="O101:O132" si="39">IF($A101="","",MAX(0,M101-N101))</f>
        <v>0</v>
      </c>
      <c r="P101" s="24">
        <f>IF($A101="","",IF(Households!D101="Damaged",Settings!$B$13,0))</f>
        <v>0</v>
      </c>
      <c r="Q101" s="24">
        <f>IF($A101="","",SUMIFS(Assistance_Log!$F$5:$F$367,Assistance_Log!$C$5:$C$367,$A101,Assistance_Log!$E$5:$E$367,"Shelter repair kits",Assistance_Log!$B$5:$B$367,"&gt;="&amp;Households!F101))</f>
        <v>0</v>
      </c>
      <c r="R101" s="24">
        <f t="shared" ref="R101:R132" si="40">IF($A101="","",MAX(0,P101-Q101))</f>
        <v>0</v>
      </c>
      <c r="S101" s="24">
        <f>IF($A101="","",Households!S101*Settings!$B$14)</f>
        <v>4</v>
      </c>
      <c r="T101" s="24">
        <f>IF($A101="","",SUMIFS(Assistance_Log!$F$5:$F$367,Assistance_Log!$C$5:$C$367,$A101,Assistance_Log!$E$5:$E$367,"Winter clothing – children",Assistance_Log!$B$5:$B$367,"&gt;="&amp;Households!F101))</f>
        <v>0</v>
      </c>
      <c r="U101" s="24">
        <f t="shared" ref="U101:U132" si="41">IF($A101="","",MAX(0,S101-T101))</f>
        <v>4</v>
      </c>
      <c r="V101" s="24">
        <f>IF($A101="","",Households!T101*Settings!$B$14)</f>
        <v>0</v>
      </c>
      <c r="W101" s="24">
        <f>IF($A101="","",SUMIFS(Assistance_Log!$F$5:$F$367,Assistance_Log!$C$5:$C$367,$A101,Assistance_Log!$E$5:$E$367,"Winter clothing – adults",Assistance_Log!$B$5:$B$367,"&gt;="&amp;Households!F101))</f>
        <v>0</v>
      </c>
      <c r="X101" s="24">
        <f t="shared" ref="X101:X132" si="42">IF($A101="","",MAX(0,V101-W101))</f>
        <v>0</v>
      </c>
      <c r="Y101" s="24">
        <f>IF($A101="","",Households!J101*Settings!$B$15)</f>
        <v>0</v>
      </c>
      <c r="Z101" s="24">
        <f>IF($A101="","",SUMIFS(Assistance_Log!$F$5:$F$367,Assistance_Log!$C$5:$C$367,$A101,Assistance_Log!$E$5:$E$367,"Diapers",Assistance_Log!$B$5:$B$367,"&gt;="&amp;Households!F101))</f>
        <v>0</v>
      </c>
      <c r="AA101" s="24">
        <f t="shared" ref="AA101:AA132" si="43">IF($A101="","",MAX(0,Y101-Z101))</f>
        <v>0</v>
      </c>
      <c r="AB101" s="24">
        <f>IF($A101="","",Settings!$B$16)</f>
        <v>1</v>
      </c>
      <c r="AC101" s="24">
        <f>IF($A101="","",SUMIFS(Assistance_Log!$F$5:$F$367,Assistance_Log!$C$5:$C$367,$A101,Assistance_Log!$E$5:$E$367,"Family hygiene kits",Assistance_Log!$B$5:$B$367,"&gt;="&amp;Households!F101))</f>
        <v>1</v>
      </c>
      <c r="AD101" s="24">
        <f t="shared" ref="AD101:AD132" si="44">IF($A101="","",MAX(0,AB101-AC101))</f>
        <v>0</v>
      </c>
      <c r="AE101" s="24">
        <f>IF($A101="","",Households!N101*Settings!$B$17)</f>
        <v>2</v>
      </c>
      <c r="AF101" s="24">
        <f>IF($A101="","",SUMIFS(Assistance_Log!$F$5:$F$367,Assistance_Log!$C$5:$C$367,$A101,Assistance_Log!$E$5:$E$367,"Menstrual hygiene kits",Assistance_Log!$B$5:$B$367,"&gt;="&amp;Households!F101))</f>
        <v>2</v>
      </c>
      <c r="AG101" s="24">
        <f t="shared" ref="AG101:AG132" si="45">IF($A101="","",MAX(0,AE101-AF101))</f>
        <v>0</v>
      </c>
      <c r="AH101" s="25" t="str">
        <f t="shared" ref="AH101:AH132" si="46">IF($A101="","",IF(F101+I101+L101+O101+R101+U101+X101+AA101+AD101+AG101&gt;0,"Yes","No"))</f>
        <v>Yes</v>
      </c>
      <c r="AI101" s="24">
        <f t="shared" ref="AI101:AI132" si="47">IF($A101="","",(F101&gt;0)+(I101&gt;0)+(L101&gt;0)+(O101&gt;0)+(R101&gt;0)+(U101&gt;0)+(X101&gt;0)+(AA101&gt;0)+(AD101&gt;0)+(AG101&gt;0))</f>
        <v>2</v>
      </c>
    </row>
    <row r="102" spans="1:35" x14ac:dyDescent="0.3">
      <c r="A102" s="24" t="str">
        <f>IF(Households!A102="","",Households!A102)</f>
        <v>HH-098</v>
      </c>
      <c r="B102" s="24" t="str">
        <f>IF($A102="","",Households!B102)</f>
        <v>Site C – Informal Tent Area</v>
      </c>
      <c r="C102" s="24" t="str">
        <f>IF($A102="","",Households!X102)</f>
        <v>High</v>
      </c>
      <c r="D102" s="24">
        <f>IF($A102="","",MAX(0,Households!H102*Settings!$B$9-Households!Q102))</f>
        <v>5</v>
      </c>
      <c r="E102" s="24">
        <f>IF($A102="","",SUMIFS(Assistance_Log!$F$5:$F$367,Assistance_Log!$C$5:$C$367,$A102,Assistance_Log!$E$5:$E$367,"Blankets",Assistance_Log!$B$5:$B$367,"&gt;="&amp;Households!F102))</f>
        <v>0</v>
      </c>
      <c r="F102" s="25">
        <f t="shared" si="36"/>
        <v>5</v>
      </c>
      <c r="G102" s="24">
        <f>IF($A102="","",MAX(0,Households!H102*Settings!$B$10-Households!R102))</f>
        <v>6</v>
      </c>
      <c r="H102" s="24">
        <f>IF($A102="","",SUMIFS(Assistance_Log!$F$5:$F$367,Assistance_Log!$C$5:$C$367,$A102,Assistance_Log!$E$5:$E$367,"Mattresses",Assistance_Log!$B$5:$B$367,"&gt;="&amp;Households!F102))</f>
        <v>0</v>
      </c>
      <c r="I102" s="25">
        <f t="shared" si="37"/>
        <v>6</v>
      </c>
      <c r="J102" s="24">
        <f>IF($A102="","",IF(AND(OR(Households!C102="Tent",Households!C102="Makeshift shelter"),Households!D102="Damaged"),Settings!$B$11,0))</f>
        <v>0</v>
      </c>
      <c r="K102" s="24">
        <f>IF($A102="","",SUMIFS(Assistance_Log!$F$5:$F$367,Assistance_Log!$C$5:$C$367,$A102,Assistance_Log!$E$5:$E$367,"Tarpaulins",Assistance_Log!$B$5:$B$367,"&gt;="&amp;Households!F102))</f>
        <v>0</v>
      </c>
      <c r="L102" s="25">
        <f t="shared" si="38"/>
        <v>0</v>
      </c>
      <c r="M102" s="24">
        <f>IF($A102="","",IF(AND(OR(Households!C102="Tent",Households!C102="Makeshift shelter"),Households!D102="Unusable"),Settings!$B$12,0))</f>
        <v>0</v>
      </c>
      <c r="N102" s="24">
        <f>IF($A102="","",SUMIFS(Assistance_Log!$F$5:$F$367,Assistance_Log!$C$5:$C$367,$A102,Assistance_Log!$E$5:$E$367,"Tent replacement",Assistance_Log!$B$5:$B$367,"&gt;="&amp;Households!F102))</f>
        <v>0</v>
      </c>
      <c r="O102" s="25">
        <f t="shared" si="39"/>
        <v>0</v>
      </c>
      <c r="P102" s="24">
        <f>IF($A102="","",IF(Households!D102="Damaged",Settings!$B$13,0))</f>
        <v>0</v>
      </c>
      <c r="Q102" s="24">
        <f>IF($A102="","",SUMIFS(Assistance_Log!$F$5:$F$367,Assistance_Log!$C$5:$C$367,$A102,Assistance_Log!$E$5:$E$367,"Shelter repair kits",Assistance_Log!$B$5:$B$367,"&gt;="&amp;Households!F102))</f>
        <v>0</v>
      </c>
      <c r="R102" s="24">
        <f t="shared" si="40"/>
        <v>0</v>
      </c>
      <c r="S102" s="24">
        <f>IF($A102="","",Households!S102*Settings!$B$14)</f>
        <v>4</v>
      </c>
      <c r="T102" s="24">
        <f>IF($A102="","",SUMIFS(Assistance_Log!$F$5:$F$367,Assistance_Log!$C$5:$C$367,$A102,Assistance_Log!$E$5:$E$367,"Winter clothing – children",Assistance_Log!$B$5:$B$367,"&gt;="&amp;Households!F102))</f>
        <v>0</v>
      </c>
      <c r="U102" s="24">
        <f t="shared" si="41"/>
        <v>4</v>
      </c>
      <c r="V102" s="24">
        <f>IF($A102="","",Households!T102*Settings!$B$14)</f>
        <v>1</v>
      </c>
      <c r="W102" s="24">
        <f>IF($A102="","",SUMIFS(Assistance_Log!$F$5:$F$367,Assistance_Log!$C$5:$C$367,$A102,Assistance_Log!$E$5:$E$367,"Winter clothing – adults",Assistance_Log!$B$5:$B$367,"&gt;="&amp;Households!F102))</f>
        <v>0</v>
      </c>
      <c r="X102" s="24">
        <f t="shared" si="42"/>
        <v>1</v>
      </c>
      <c r="Y102" s="24">
        <f>IF($A102="","",Households!J102*Settings!$B$15)</f>
        <v>4</v>
      </c>
      <c r="Z102" s="24">
        <f>IF($A102="","",SUMIFS(Assistance_Log!$F$5:$F$367,Assistance_Log!$C$5:$C$367,$A102,Assistance_Log!$E$5:$E$367,"Diapers",Assistance_Log!$B$5:$B$367,"&gt;="&amp;Households!F102))</f>
        <v>0</v>
      </c>
      <c r="AA102" s="24">
        <f t="shared" si="43"/>
        <v>4</v>
      </c>
      <c r="AB102" s="24">
        <f>IF($A102="","",Settings!$B$16)</f>
        <v>1</v>
      </c>
      <c r="AC102" s="24">
        <f>IF($A102="","",SUMIFS(Assistance_Log!$F$5:$F$367,Assistance_Log!$C$5:$C$367,$A102,Assistance_Log!$E$5:$E$367,"Family hygiene kits",Assistance_Log!$B$5:$B$367,"&gt;="&amp;Households!F102))</f>
        <v>1</v>
      </c>
      <c r="AD102" s="24">
        <f t="shared" si="44"/>
        <v>0</v>
      </c>
      <c r="AE102" s="24">
        <f>IF($A102="","",Households!N102*Settings!$B$17)</f>
        <v>2</v>
      </c>
      <c r="AF102" s="24">
        <f>IF($A102="","",SUMIFS(Assistance_Log!$F$5:$F$367,Assistance_Log!$C$5:$C$367,$A102,Assistance_Log!$E$5:$E$367,"Menstrual hygiene kits",Assistance_Log!$B$5:$B$367,"&gt;="&amp;Households!F102))</f>
        <v>0</v>
      </c>
      <c r="AG102" s="24">
        <f t="shared" si="45"/>
        <v>2</v>
      </c>
      <c r="AH102" s="25" t="str">
        <f t="shared" si="46"/>
        <v>Yes</v>
      </c>
      <c r="AI102" s="24">
        <f t="shared" si="47"/>
        <v>6</v>
      </c>
    </row>
    <row r="103" spans="1:35" x14ac:dyDescent="0.3">
      <c r="A103" s="24" t="str">
        <f>IF(Households!A103="","",Households!A103)</f>
        <v>HH-099</v>
      </c>
      <c r="B103" s="24" t="str">
        <f>IF($A103="","",Households!B103)</f>
        <v>Site C – Informal Tent Area</v>
      </c>
      <c r="C103" s="24" t="str">
        <f>IF($A103="","",Households!X103)</f>
        <v>Medium</v>
      </c>
      <c r="D103" s="24">
        <f>IF($A103="","",MAX(0,Households!H103*Settings!$B$9-Households!Q103))</f>
        <v>8</v>
      </c>
      <c r="E103" s="24">
        <f>IF($A103="","",SUMIFS(Assistance_Log!$F$5:$F$367,Assistance_Log!$C$5:$C$367,$A103,Assistance_Log!$E$5:$E$367,"Blankets",Assistance_Log!$B$5:$B$367,"&gt;="&amp;Households!F103))</f>
        <v>0</v>
      </c>
      <c r="F103" s="25">
        <f t="shared" si="36"/>
        <v>8</v>
      </c>
      <c r="G103" s="24">
        <f>IF($A103="","",MAX(0,Households!H103*Settings!$B$10-Households!R103))</f>
        <v>3</v>
      </c>
      <c r="H103" s="24">
        <f>IF($A103="","",SUMIFS(Assistance_Log!$F$5:$F$367,Assistance_Log!$C$5:$C$367,$A103,Assistance_Log!$E$5:$E$367,"Mattresses",Assistance_Log!$B$5:$B$367,"&gt;="&amp;Households!F103))</f>
        <v>0</v>
      </c>
      <c r="I103" s="25">
        <f t="shared" si="37"/>
        <v>3</v>
      </c>
      <c r="J103" s="24">
        <f>IF($A103="","",IF(AND(OR(Households!C103="Tent",Households!C103="Makeshift shelter"),Households!D103="Damaged"),Settings!$B$11,0))</f>
        <v>0</v>
      </c>
      <c r="K103" s="24">
        <f>IF($A103="","",SUMIFS(Assistance_Log!$F$5:$F$367,Assistance_Log!$C$5:$C$367,$A103,Assistance_Log!$E$5:$E$367,"Tarpaulins",Assistance_Log!$B$5:$B$367,"&gt;="&amp;Households!F103))</f>
        <v>0</v>
      </c>
      <c r="L103" s="25">
        <f t="shared" si="38"/>
        <v>0</v>
      </c>
      <c r="M103" s="24">
        <f>IF($A103="","",IF(AND(OR(Households!C103="Tent",Households!C103="Makeshift shelter"),Households!D103="Unusable"),Settings!$B$12,0))</f>
        <v>1</v>
      </c>
      <c r="N103" s="24">
        <f>IF($A103="","",SUMIFS(Assistance_Log!$F$5:$F$367,Assistance_Log!$C$5:$C$367,$A103,Assistance_Log!$E$5:$E$367,"Tent replacement",Assistance_Log!$B$5:$B$367,"&gt;="&amp;Households!F103))</f>
        <v>0</v>
      </c>
      <c r="O103" s="25">
        <f t="shared" si="39"/>
        <v>1</v>
      </c>
      <c r="P103" s="24">
        <f>IF($A103="","",IF(Households!D103="Damaged",Settings!$B$13,0))</f>
        <v>0</v>
      </c>
      <c r="Q103" s="24">
        <f>IF($A103="","",SUMIFS(Assistance_Log!$F$5:$F$367,Assistance_Log!$C$5:$C$367,$A103,Assistance_Log!$E$5:$E$367,"Shelter repair kits",Assistance_Log!$B$5:$B$367,"&gt;="&amp;Households!F103))</f>
        <v>0</v>
      </c>
      <c r="R103" s="24">
        <f t="shared" si="40"/>
        <v>0</v>
      </c>
      <c r="S103" s="24">
        <f>IF($A103="","",Households!S103*Settings!$B$14)</f>
        <v>6</v>
      </c>
      <c r="T103" s="24">
        <f>IF($A103="","",SUMIFS(Assistance_Log!$F$5:$F$367,Assistance_Log!$C$5:$C$367,$A103,Assistance_Log!$E$5:$E$367,"Winter clothing – children",Assistance_Log!$B$5:$B$367,"&gt;="&amp;Households!F103))</f>
        <v>0</v>
      </c>
      <c r="U103" s="24">
        <f t="shared" si="41"/>
        <v>6</v>
      </c>
      <c r="V103" s="24">
        <f>IF($A103="","",Households!T103*Settings!$B$14)</f>
        <v>2</v>
      </c>
      <c r="W103" s="24">
        <f>IF($A103="","",SUMIFS(Assistance_Log!$F$5:$F$367,Assistance_Log!$C$5:$C$367,$A103,Assistance_Log!$E$5:$E$367,"Winter clothing – adults",Assistance_Log!$B$5:$B$367,"&gt;="&amp;Households!F103))</f>
        <v>0</v>
      </c>
      <c r="X103" s="24">
        <f t="shared" si="42"/>
        <v>2</v>
      </c>
      <c r="Y103" s="24">
        <f>IF($A103="","",Households!J103*Settings!$B$15)</f>
        <v>0</v>
      </c>
      <c r="Z103" s="24">
        <f>IF($A103="","",SUMIFS(Assistance_Log!$F$5:$F$367,Assistance_Log!$C$5:$C$367,$A103,Assistance_Log!$E$5:$E$367,"Diapers",Assistance_Log!$B$5:$B$367,"&gt;="&amp;Households!F103))</f>
        <v>0</v>
      </c>
      <c r="AA103" s="24">
        <f t="shared" si="43"/>
        <v>0</v>
      </c>
      <c r="AB103" s="24">
        <f>IF($A103="","",Settings!$B$16)</f>
        <v>1</v>
      </c>
      <c r="AC103" s="24">
        <f>IF($A103="","",SUMIFS(Assistance_Log!$F$5:$F$367,Assistance_Log!$C$5:$C$367,$A103,Assistance_Log!$E$5:$E$367,"Family hygiene kits",Assistance_Log!$B$5:$B$367,"&gt;="&amp;Households!F103))</f>
        <v>0</v>
      </c>
      <c r="AD103" s="24">
        <f t="shared" si="44"/>
        <v>1</v>
      </c>
      <c r="AE103" s="24">
        <f>IF($A103="","",Households!N103*Settings!$B$17)</f>
        <v>2</v>
      </c>
      <c r="AF103" s="24">
        <f>IF($A103="","",SUMIFS(Assistance_Log!$F$5:$F$367,Assistance_Log!$C$5:$C$367,$A103,Assistance_Log!$E$5:$E$367,"Menstrual hygiene kits",Assistance_Log!$B$5:$B$367,"&gt;="&amp;Households!F103))</f>
        <v>0</v>
      </c>
      <c r="AG103" s="24">
        <f t="shared" si="45"/>
        <v>2</v>
      </c>
      <c r="AH103" s="25" t="str">
        <f t="shared" si="46"/>
        <v>Yes</v>
      </c>
      <c r="AI103" s="24">
        <f t="shared" si="47"/>
        <v>7</v>
      </c>
    </row>
    <row r="104" spans="1:35" x14ac:dyDescent="0.3">
      <c r="A104" s="24" t="str">
        <f>IF(Households!A104="","",Households!A104)</f>
        <v>HH-100</v>
      </c>
      <c r="B104" s="24" t="str">
        <f>IF($A104="","",Households!B104)</f>
        <v>Site C – Informal Tent Area</v>
      </c>
      <c r="C104" s="24" t="str">
        <f>IF($A104="","",Households!X104)</f>
        <v>Medium</v>
      </c>
      <c r="D104" s="24">
        <f>IF($A104="","",MAX(0,Households!H104*Settings!$B$9-Households!Q104))</f>
        <v>5</v>
      </c>
      <c r="E104" s="24">
        <f>IF($A104="","",SUMIFS(Assistance_Log!$F$5:$F$367,Assistance_Log!$C$5:$C$367,$A104,Assistance_Log!$E$5:$E$367,"Blankets",Assistance_Log!$B$5:$B$367,"&gt;="&amp;Households!F104))</f>
        <v>0</v>
      </c>
      <c r="F104" s="25">
        <f t="shared" si="36"/>
        <v>5</v>
      </c>
      <c r="G104" s="24">
        <f>IF($A104="","",MAX(0,Households!H104*Settings!$B$10-Households!R104))</f>
        <v>8</v>
      </c>
      <c r="H104" s="24">
        <f>IF($A104="","",SUMIFS(Assistance_Log!$F$5:$F$367,Assistance_Log!$C$5:$C$367,$A104,Assistance_Log!$E$5:$E$367,"Mattresses",Assistance_Log!$B$5:$B$367,"&gt;="&amp;Households!F104))</f>
        <v>0</v>
      </c>
      <c r="I104" s="25">
        <f t="shared" si="37"/>
        <v>8</v>
      </c>
      <c r="J104" s="24">
        <f>IF($A104="","",IF(AND(OR(Households!C104="Tent",Households!C104="Makeshift shelter"),Households!D104="Damaged"),Settings!$B$11,0))</f>
        <v>2</v>
      </c>
      <c r="K104" s="24">
        <f>IF($A104="","",SUMIFS(Assistance_Log!$F$5:$F$367,Assistance_Log!$C$5:$C$367,$A104,Assistance_Log!$E$5:$E$367,"Tarpaulins",Assistance_Log!$B$5:$B$367,"&gt;="&amp;Households!F104))</f>
        <v>0</v>
      </c>
      <c r="L104" s="25">
        <f t="shared" si="38"/>
        <v>2</v>
      </c>
      <c r="M104" s="24">
        <f>IF($A104="","",IF(AND(OR(Households!C104="Tent",Households!C104="Makeshift shelter"),Households!D104="Unusable"),Settings!$B$12,0))</f>
        <v>0</v>
      </c>
      <c r="N104" s="24">
        <f>IF($A104="","",SUMIFS(Assistance_Log!$F$5:$F$367,Assistance_Log!$C$5:$C$367,$A104,Assistance_Log!$E$5:$E$367,"Tent replacement",Assistance_Log!$B$5:$B$367,"&gt;="&amp;Households!F104))</f>
        <v>0</v>
      </c>
      <c r="O104" s="25">
        <f t="shared" si="39"/>
        <v>0</v>
      </c>
      <c r="P104" s="24">
        <f>IF($A104="","",IF(Households!D104="Damaged",Settings!$B$13,0))</f>
        <v>1</v>
      </c>
      <c r="Q104" s="24">
        <f>IF($A104="","",SUMIFS(Assistance_Log!$F$5:$F$367,Assistance_Log!$C$5:$C$367,$A104,Assistance_Log!$E$5:$E$367,"Shelter repair kits",Assistance_Log!$B$5:$B$367,"&gt;="&amp;Households!F104))</f>
        <v>0</v>
      </c>
      <c r="R104" s="24">
        <f t="shared" si="40"/>
        <v>1</v>
      </c>
      <c r="S104" s="24">
        <f>IF($A104="","",Households!S104*Settings!$B$14)</f>
        <v>2</v>
      </c>
      <c r="T104" s="24">
        <f>IF($A104="","",SUMIFS(Assistance_Log!$F$5:$F$367,Assistance_Log!$C$5:$C$367,$A104,Assistance_Log!$E$5:$E$367,"Winter clothing – children",Assistance_Log!$B$5:$B$367,"&gt;="&amp;Households!F104))</f>
        <v>0</v>
      </c>
      <c r="U104" s="24">
        <f t="shared" si="41"/>
        <v>2</v>
      </c>
      <c r="V104" s="24">
        <f>IF($A104="","",Households!T104*Settings!$B$14)</f>
        <v>2</v>
      </c>
      <c r="W104" s="24">
        <f>IF($A104="","",SUMIFS(Assistance_Log!$F$5:$F$367,Assistance_Log!$C$5:$C$367,$A104,Assistance_Log!$E$5:$E$367,"Winter clothing – adults",Assistance_Log!$B$5:$B$367,"&gt;="&amp;Households!F104))</f>
        <v>0</v>
      </c>
      <c r="X104" s="24">
        <f t="shared" si="42"/>
        <v>2</v>
      </c>
      <c r="Y104" s="24">
        <f>IF($A104="","",Households!J104*Settings!$B$15)</f>
        <v>4</v>
      </c>
      <c r="Z104" s="24">
        <f>IF($A104="","",SUMIFS(Assistance_Log!$F$5:$F$367,Assistance_Log!$C$5:$C$367,$A104,Assistance_Log!$E$5:$E$367,"Diapers",Assistance_Log!$B$5:$B$367,"&gt;="&amp;Households!F104))</f>
        <v>0</v>
      </c>
      <c r="AA104" s="24">
        <f t="shared" si="43"/>
        <v>4</v>
      </c>
      <c r="AB104" s="24">
        <f>IF($A104="","",Settings!$B$16)</f>
        <v>1</v>
      </c>
      <c r="AC104" s="24">
        <f>IF($A104="","",SUMIFS(Assistance_Log!$F$5:$F$367,Assistance_Log!$C$5:$C$367,$A104,Assistance_Log!$E$5:$E$367,"Family hygiene kits",Assistance_Log!$B$5:$B$367,"&gt;="&amp;Households!F104))</f>
        <v>0</v>
      </c>
      <c r="AD104" s="24">
        <f t="shared" si="44"/>
        <v>1</v>
      </c>
      <c r="AE104" s="24">
        <f>IF($A104="","",Households!N104*Settings!$B$17)</f>
        <v>1</v>
      </c>
      <c r="AF104" s="24">
        <f>IF($A104="","",SUMIFS(Assistance_Log!$F$5:$F$367,Assistance_Log!$C$5:$C$367,$A104,Assistance_Log!$E$5:$E$367,"Menstrual hygiene kits",Assistance_Log!$B$5:$B$367,"&gt;="&amp;Households!F104))</f>
        <v>0</v>
      </c>
      <c r="AG104" s="24">
        <f t="shared" si="45"/>
        <v>1</v>
      </c>
      <c r="AH104" s="25" t="str">
        <f t="shared" si="46"/>
        <v>Yes</v>
      </c>
      <c r="AI104" s="24">
        <f t="shared" si="47"/>
        <v>9</v>
      </c>
    </row>
    <row r="105" spans="1:35" x14ac:dyDescent="0.3">
      <c r="A105" s="24" t="str">
        <f>IF(Households!A105="","",Households!A105)</f>
        <v>HH-101</v>
      </c>
      <c r="B105" s="24" t="str">
        <f>IF($A105="","",Households!B105)</f>
        <v>Site D – Collective Centre</v>
      </c>
      <c r="C105" s="24" t="str">
        <f>IF($A105="","",Households!X105)</f>
        <v>Medium</v>
      </c>
      <c r="D105" s="24">
        <f>IF($A105="","",MAX(0,Households!H105*Settings!$B$9-Households!Q105))</f>
        <v>8</v>
      </c>
      <c r="E105" s="24">
        <f>IF($A105="","",SUMIFS(Assistance_Log!$F$5:$F$367,Assistance_Log!$C$5:$C$367,$A105,Assistance_Log!$E$5:$E$367,"Blankets",Assistance_Log!$B$5:$B$367,"&gt;="&amp;Households!F105))</f>
        <v>0</v>
      </c>
      <c r="F105" s="25">
        <f t="shared" si="36"/>
        <v>8</v>
      </c>
      <c r="G105" s="24">
        <f>IF($A105="","",MAX(0,Households!H105*Settings!$B$10-Households!R105))</f>
        <v>3</v>
      </c>
      <c r="H105" s="24">
        <f>IF($A105="","",SUMIFS(Assistance_Log!$F$5:$F$367,Assistance_Log!$C$5:$C$367,$A105,Assistance_Log!$E$5:$E$367,"Mattresses",Assistance_Log!$B$5:$B$367,"&gt;="&amp;Households!F105))</f>
        <v>0</v>
      </c>
      <c r="I105" s="25">
        <f t="shared" si="37"/>
        <v>3</v>
      </c>
      <c r="J105" s="24">
        <f>IF($A105="","",IF(AND(OR(Households!C105="Tent",Households!C105="Makeshift shelter"),Households!D105="Damaged"),Settings!$B$11,0))</f>
        <v>0</v>
      </c>
      <c r="K105" s="24">
        <f>IF($A105="","",SUMIFS(Assistance_Log!$F$5:$F$367,Assistance_Log!$C$5:$C$367,$A105,Assistance_Log!$E$5:$E$367,"Tarpaulins",Assistance_Log!$B$5:$B$367,"&gt;="&amp;Households!F105))</f>
        <v>0</v>
      </c>
      <c r="L105" s="25">
        <f t="shared" si="38"/>
        <v>0</v>
      </c>
      <c r="M105" s="24">
        <f>IF($A105="","",IF(AND(OR(Households!C105="Tent",Households!C105="Makeshift shelter"),Households!D105="Unusable"),Settings!$B$12,0))</f>
        <v>0</v>
      </c>
      <c r="N105" s="24">
        <f>IF($A105="","",SUMIFS(Assistance_Log!$F$5:$F$367,Assistance_Log!$C$5:$C$367,$A105,Assistance_Log!$E$5:$E$367,"Tent replacement",Assistance_Log!$B$5:$B$367,"&gt;="&amp;Households!F105))</f>
        <v>0</v>
      </c>
      <c r="O105" s="25">
        <f t="shared" si="39"/>
        <v>0</v>
      </c>
      <c r="P105" s="24">
        <f>IF($A105="","",IF(Households!D105="Damaged",Settings!$B$13,0))</f>
        <v>0</v>
      </c>
      <c r="Q105" s="24">
        <f>IF($A105="","",SUMIFS(Assistance_Log!$F$5:$F$367,Assistance_Log!$C$5:$C$367,$A105,Assistance_Log!$E$5:$E$367,"Shelter repair kits",Assistance_Log!$B$5:$B$367,"&gt;="&amp;Households!F105))</f>
        <v>0</v>
      </c>
      <c r="R105" s="24">
        <f t="shared" si="40"/>
        <v>0</v>
      </c>
      <c r="S105" s="24">
        <f>IF($A105="","",Households!S105*Settings!$B$14)</f>
        <v>3</v>
      </c>
      <c r="T105" s="24">
        <f>IF($A105="","",SUMIFS(Assistance_Log!$F$5:$F$367,Assistance_Log!$C$5:$C$367,$A105,Assistance_Log!$E$5:$E$367,"Winter clothing – children",Assistance_Log!$B$5:$B$367,"&gt;="&amp;Households!F105))</f>
        <v>2</v>
      </c>
      <c r="U105" s="24">
        <f t="shared" si="41"/>
        <v>1</v>
      </c>
      <c r="V105" s="24">
        <f>IF($A105="","",Households!T105*Settings!$B$14)</f>
        <v>2</v>
      </c>
      <c r="W105" s="24">
        <f>IF($A105="","",SUMIFS(Assistance_Log!$F$5:$F$367,Assistance_Log!$C$5:$C$367,$A105,Assistance_Log!$E$5:$E$367,"Winter clothing – adults",Assistance_Log!$B$5:$B$367,"&gt;="&amp;Households!F105))</f>
        <v>2</v>
      </c>
      <c r="X105" s="24">
        <f t="shared" si="42"/>
        <v>0</v>
      </c>
      <c r="Y105" s="24">
        <f>IF($A105="","",Households!J105*Settings!$B$15)</f>
        <v>4</v>
      </c>
      <c r="Z105" s="24">
        <f>IF($A105="","",SUMIFS(Assistance_Log!$F$5:$F$367,Assistance_Log!$C$5:$C$367,$A105,Assistance_Log!$E$5:$E$367,"Diapers",Assistance_Log!$B$5:$B$367,"&gt;="&amp;Households!F105))</f>
        <v>3</v>
      </c>
      <c r="AA105" s="24">
        <f t="shared" si="43"/>
        <v>1</v>
      </c>
      <c r="AB105" s="24">
        <f>IF($A105="","",Settings!$B$16)</f>
        <v>1</v>
      </c>
      <c r="AC105" s="24">
        <f>IF($A105="","",SUMIFS(Assistance_Log!$F$5:$F$367,Assistance_Log!$C$5:$C$367,$A105,Assistance_Log!$E$5:$E$367,"Family hygiene kits",Assistance_Log!$B$5:$B$367,"&gt;="&amp;Households!F105))</f>
        <v>1</v>
      </c>
      <c r="AD105" s="24">
        <f t="shared" si="44"/>
        <v>0</v>
      </c>
      <c r="AE105" s="24">
        <f>IF($A105="","",Households!N105*Settings!$B$17)</f>
        <v>2</v>
      </c>
      <c r="AF105" s="24">
        <f>IF($A105="","",SUMIFS(Assistance_Log!$F$5:$F$367,Assistance_Log!$C$5:$C$367,$A105,Assistance_Log!$E$5:$E$367,"Menstrual hygiene kits",Assistance_Log!$B$5:$B$367,"&gt;="&amp;Households!F105))</f>
        <v>0</v>
      </c>
      <c r="AG105" s="24">
        <f t="shared" si="45"/>
        <v>2</v>
      </c>
      <c r="AH105" s="25" t="str">
        <f t="shared" si="46"/>
        <v>Yes</v>
      </c>
      <c r="AI105" s="24">
        <f t="shared" si="47"/>
        <v>5</v>
      </c>
    </row>
    <row r="106" spans="1:35" x14ac:dyDescent="0.3">
      <c r="A106" s="24" t="str">
        <f>IF(Households!A106="","",Households!A106)</f>
        <v>HH-102</v>
      </c>
      <c r="B106" s="24" t="str">
        <f>IF($A106="","",Households!B106)</f>
        <v>Site D – Collective Centre</v>
      </c>
      <c r="C106" s="24" t="str">
        <f>IF($A106="","",Households!X106)</f>
        <v>High</v>
      </c>
      <c r="D106" s="24">
        <f>IF($A106="","",MAX(0,Households!H106*Settings!$B$9-Households!Q106))</f>
        <v>12</v>
      </c>
      <c r="E106" s="24">
        <f>IF($A106="","",SUMIFS(Assistance_Log!$F$5:$F$367,Assistance_Log!$C$5:$C$367,$A106,Assistance_Log!$E$5:$E$367,"Blankets",Assistance_Log!$B$5:$B$367,"&gt;="&amp;Households!F106))</f>
        <v>11</v>
      </c>
      <c r="F106" s="25">
        <f t="shared" si="36"/>
        <v>1</v>
      </c>
      <c r="G106" s="24">
        <f>IF($A106="","",MAX(0,Households!H106*Settings!$B$10-Households!R106))</f>
        <v>0</v>
      </c>
      <c r="H106" s="24">
        <f>IF($A106="","",SUMIFS(Assistance_Log!$F$5:$F$367,Assistance_Log!$C$5:$C$367,$A106,Assistance_Log!$E$5:$E$367,"Mattresses",Assistance_Log!$B$5:$B$367,"&gt;="&amp;Households!F106))</f>
        <v>0</v>
      </c>
      <c r="I106" s="25">
        <f t="shared" si="37"/>
        <v>0</v>
      </c>
      <c r="J106" s="24">
        <f>IF($A106="","",IF(AND(OR(Households!C106="Tent",Households!C106="Makeshift shelter"),Households!D106="Damaged"),Settings!$B$11,0))</f>
        <v>0</v>
      </c>
      <c r="K106" s="24">
        <f>IF($A106="","",SUMIFS(Assistance_Log!$F$5:$F$367,Assistance_Log!$C$5:$C$367,$A106,Assistance_Log!$E$5:$E$367,"Tarpaulins",Assistance_Log!$B$5:$B$367,"&gt;="&amp;Households!F106))</f>
        <v>0</v>
      </c>
      <c r="L106" s="25">
        <f t="shared" si="38"/>
        <v>0</v>
      </c>
      <c r="M106" s="24">
        <f>IF($A106="","",IF(AND(OR(Households!C106="Tent",Households!C106="Makeshift shelter"),Households!D106="Unusable"),Settings!$B$12,0))</f>
        <v>0</v>
      </c>
      <c r="N106" s="24">
        <f>IF($A106="","",SUMIFS(Assistance_Log!$F$5:$F$367,Assistance_Log!$C$5:$C$367,$A106,Assistance_Log!$E$5:$E$367,"Tent replacement",Assistance_Log!$B$5:$B$367,"&gt;="&amp;Households!F106))</f>
        <v>0</v>
      </c>
      <c r="O106" s="25">
        <f t="shared" si="39"/>
        <v>0</v>
      </c>
      <c r="P106" s="24">
        <f>IF($A106="","",IF(Households!D106="Damaged",Settings!$B$13,0))</f>
        <v>1</v>
      </c>
      <c r="Q106" s="24">
        <f>IF($A106="","",SUMIFS(Assistance_Log!$F$5:$F$367,Assistance_Log!$C$5:$C$367,$A106,Assistance_Log!$E$5:$E$367,"Shelter repair kits",Assistance_Log!$B$5:$B$367,"&gt;="&amp;Households!F106))</f>
        <v>0</v>
      </c>
      <c r="R106" s="24">
        <f t="shared" si="40"/>
        <v>1</v>
      </c>
      <c r="S106" s="24">
        <f>IF($A106="","",Households!S106*Settings!$B$14)</f>
        <v>2</v>
      </c>
      <c r="T106" s="24">
        <f>IF($A106="","",SUMIFS(Assistance_Log!$F$5:$F$367,Assistance_Log!$C$5:$C$367,$A106,Assistance_Log!$E$5:$E$367,"Winter clothing – children",Assistance_Log!$B$5:$B$367,"&gt;="&amp;Households!F106))</f>
        <v>0</v>
      </c>
      <c r="U106" s="24">
        <f t="shared" si="41"/>
        <v>2</v>
      </c>
      <c r="V106" s="24">
        <f>IF($A106="","",Households!T106*Settings!$B$14)</f>
        <v>2</v>
      </c>
      <c r="W106" s="24">
        <f>IF($A106="","",SUMIFS(Assistance_Log!$F$5:$F$367,Assistance_Log!$C$5:$C$367,$A106,Assistance_Log!$E$5:$E$367,"Winter clothing – adults",Assistance_Log!$B$5:$B$367,"&gt;="&amp;Households!F106))</f>
        <v>0</v>
      </c>
      <c r="X106" s="24">
        <f t="shared" si="42"/>
        <v>2</v>
      </c>
      <c r="Y106" s="24">
        <f>IF($A106="","",Households!J106*Settings!$B$15)</f>
        <v>4</v>
      </c>
      <c r="Z106" s="24">
        <f>IF($A106="","",SUMIFS(Assistance_Log!$F$5:$F$367,Assistance_Log!$C$5:$C$367,$A106,Assistance_Log!$E$5:$E$367,"Diapers",Assistance_Log!$B$5:$B$367,"&gt;="&amp;Households!F106))</f>
        <v>4</v>
      </c>
      <c r="AA106" s="24">
        <f t="shared" si="43"/>
        <v>0</v>
      </c>
      <c r="AB106" s="24">
        <f>IF($A106="","",Settings!$B$16)</f>
        <v>1</v>
      </c>
      <c r="AC106" s="24">
        <f>IF($A106="","",SUMIFS(Assistance_Log!$F$5:$F$367,Assistance_Log!$C$5:$C$367,$A106,Assistance_Log!$E$5:$E$367,"Family hygiene kits",Assistance_Log!$B$5:$B$367,"&gt;="&amp;Households!F106))</f>
        <v>1</v>
      </c>
      <c r="AD106" s="24">
        <f t="shared" si="44"/>
        <v>0</v>
      </c>
      <c r="AE106" s="24">
        <f>IF($A106="","",Households!N106*Settings!$B$17)</f>
        <v>2</v>
      </c>
      <c r="AF106" s="24">
        <f>IF($A106="","",SUMIFS(Assistance_Log!$F$5:$F$367,Assistance_Log!$C$5:$C$367,$A106,Assistance_Log!$E$5:$E$367,"Menstrual hygiene kits",Assistance_Log!$B$5:$B$367,"&gt;="&amp;Households!F106))</f>
        <v>0</v>
      </c>
      <c r="AG106" s="24">
        <f t="shared" si="45"/>
        <v>2</v>
      </c>
      <c r="AH106" s="25" t="str">
        <f t="shared" si="46"/>
        <v>Yes</v>
      </c>
      <c r="AI106" s="24">
        <f t="shared" si="47"/>
        <v>5</v>
      </c>
    </row>
    <row r="107" spans="1:35" x14ac:dyDescent="0.3">
      <c r="A107" s="24" t="str">
        <f>IF(Households!A107="","",Households!A107)</f>
        <v>HH-103</v>
      </c>
      <c r="B107" s="24" t="str">
        <f>IF($A107="","",Households!B107)</f>
        <v>Site D – Collective Centre</v>
      </c>
      <c r="C107" s="24" t="str">
        <f>IF($A107="","",Households!X107)</f>
        <v>Low</v>
      </c>
      <c r="D107" s="24">
        <f>IF($A107="","",MAX(0,Households!H107*Settings!$B$9-Households!Q107))</f>
        <v>1</v>
      </c>
      <c r="E107" s="24">
        <f>IF($A107="","",SUMIFS(Assistance_Log!$F$5:$F$367,Assistance_Log!$C$5:$C$367,$A107,Assistance_Log!$E$5:$E$367,"Blankets",Assistance_Log!$B$5:$B$367,"&gt;="&amp;Households!F107))</f>
        <v>0</v>
      </c>
      <c r="F107" s="25">
        <f t="shared" si="36"/>
        <v>1</v>
      </c>
      <c r="G107" s="24">
        <f>IF($A107="","",MAX(0,Households!H107*Settings!$B$10-Households!R107))</f>
        <v>1</v>
      </c>
      <c r="H107" s="24">
        <f>IF($A107="","",SUMIFS(Assistance_Log!$F$5:$F$367,Assistance_Log!$C$5:$C$367,$A107,Assistance_Log!$E$5:$E$367,"Mattresses",Assistance_Log!$B$5:$B$367,"&gt;="&amp;Households!F107))</f>
        <v>1</v>
      </c>
      <c r="I107" s="25">
        <f t="shared" si="37"/>
        <v>0</v>
      </c>
      <c r="J107" s="24">
        <f>IF($A107="","",IF(AND(OR(Households!C107="Tent",Households!C107="Makeshift shelter"),Households!D107="Damaged"),Settings!$B$11,0))</f>
        <v>0</v>
      </c>
      <c r="K107" s="24">
        <f>IF($A107="","",SUMIFS(Assistance_Log!$F$5:$F$367,Assistance_Log!$C$5:$C$367,$A107,Assistance_Log!$E$5:$E$367,"Tarpaulins",Assistance_Log!$B$5:$B$367,"&gt;="&amp;Households!F107))</f>
        <v>0</v>
      </c>
      <c r="L107" s="25">
        <f t="shared" si="38"/>
        <v>0</v>
      </c>
      <c r="M107" s="24">
        <f>IF($A107="","",IF(AND(OR(Households!C107="Tent",Households!C107="Makeshift shelter"),Households!D107="Unusable"),Settings!$B$12,0))</f>
        <v>0</v>
      </c>
      <c r="N107" s="24">
        <f>IF($A107="","",SUMIFS(Assistance_Log!$F$5:$F$367,Assistance_Log!$C$5:$C$367,$A107,Assistance_Log!$E$5:$E$367,"Tent replacement",Assistance_Log!$B$5:$B$367,"&gt;="&amp;Households!F107))</f>
        <v>0</v>
      </c>
      <c r="O107" s="25">
        <f t="shared" si="39"/>
        <v>0</v>
      </c>
      <c r="P107" s="24">
        <f>IF($A107="","",IF(Households!D107="Damaged",Settings!$B$13,0))</f>
        <v>0</v>
      </c>
      <c r="Q107" s="24">
        <f>IF($A107="","",SUMIFS(Assistance_Log!$F$5:$F$367,Assistance_Log!$C$5:$C$367,$A107,Assistance_Log!$E$5:$E$367,"Shelter repair kits",Assistance_Log!$B$5:$B$367,"&gt;="&amp;Households!F107))</f>
        <v>0</v>
      </c>
      <c r="R107" s="24">
        <f t="shared" si="40"/>
        <v>0</v>
      </c>
      <c r="S107" s="24">
        <f>IF($A107="","",Households!S107*Settings!$B$14)</f>
        <v>0</v>
      </c>
      <c r="T107" s="24">
        <f>IF($A107="","",SUMIFS(Assistance_Log!$F$5:$F$367,Assistance_Log!$C$5:$C$367,$A107,Assistance_Log!$E$5:$E$367,"Winter clothing – children",Assistance_Log!$B$5:$B$367,"&gt;="&amp;Households!F107))</f>
        <v>0</v>
      </c>
      <c r="U107" s="24">
        <f t="shared" si="41"/>
        <v>0</v>
      </c>
      <c r="V107" s="24">
        <f>IF($A107="","",Households!T107*Settings!$B$14)</f>
        <v>2</v>
      </c>
      <c r="W107" s="24">
        <f>IF($A107="","",SUMIFS(Assistance_Log!$F$5:$F$367,Assistance_Log!$C$5:$C$367,$A107,Assistance_Log!$E$5:$E$367,"Winter clothing – adults",Assistance_Log!$B$5:$B$367,"&gt;="&amp;Households!F107))</f>
        <v>0</v>
      </c>
      <c r="X107" s="24">
        <f t="shared" si="42"/>
        <v>2</v>
      </c>
      <c r="Y107" s="24">
        <f>IF($A107="","",Households!J107*Settings!$B$15)</f>
        <v>0</v>
      </c>
      <c r="Z107" s="24">
        <f>IF($A107="","",SUMIFS(Assistance_Log!$F$5:$F$367,Assistance_Log!$C$5:$C$367,$A107,Assistance_Log!$E$5:$E$367,"Diapers",Assistance_Log!$B$5:$B$367,"&gt;="&amp;Households!F107))</f>
        <v>0</v>
      </c>
      <c r="AA107" s="24">
        <f t="shared" si="43"/>
        <v>0</v>
      </c>
      <c r="AB107" s="24">
        <f>IF($A107="","",Settings!$B$16)</f>
        <v>1</v>
      </c>
      <c r="AC107" s="24">
        <f>IF($A107="","",SUMIFS(Assistance_Log!$F$5:$F$367,Assistance_Log!$C$5:$C$367,$A107,Assistance_Log!$E$5:$E$367,"Family hygiene kits",Assistance_Log!$B$5:$B$367,"&gt;="&amp;Households!F107))</f>
        <v>0</v>
      </c>
      <c r="AD107" s="24">
        <f t="shared" si="44"/>
        <v>1</v>
      </c>
      <c r="AE107" s="24">
        <f>IF($A107="","",Households!N107*Settings!$B$17)</f>
        <v>2</v>
      </c>
      <c r="AF107" s="24">
        <f>IF($A107="","",SUMIFS(Assistance_Log!$F$5:$F$367,Assistance_Log!$C$5:$C$367,$A107,Assistance_Log!$E$5:$E$367,"Menstrual hygiene kits",Assistance_Log!$B$5:$B$367,"&gt;="&amp;Households!F107))</f>
        <v>0</v>
      </c>
      <c r="AG107" s="24">
        <f t="shared" si="45"/>
        <v>2</v>
      </c>
      <c r="AH107" s="25" t="str">
        <f t="shared" si="46"/>
        <v>Yes</v>
      </c>
      <c r="AI107" s="24">
        <f t="shared" si="47"/>
        <v>4</v>
      </c>
    </row>
    <row r="108" spans="1:35" x14ac:dyDescent="0.3">
      <c r="A108" s="24" t="str">
        <f>IF(Households!A108="","",Households!A108)</f>
        <v>HH-104</v>
      </c>
      <c r="B108" s="24" t="str">
        <f>IF($A108="","",Households!B108)</f>
        <v>Site D – Collective Centre</v>
      </c>
      <c r="C108" s="24" t="str">
        <f>IF($A108="","",Households!X108)</f>
        <v>Low</v>
      </c>
      <c r="D108" s="24">
        <f>IF($A108="","",MAX(0,Households!H108*Settings!$B$9-Households!Q108))</f>
        <v>3</v>
      </c>
      <c r="E108" s="24">
        <f>IF($A108="","",SUMIFS(Assistance_Log!$F$5:$F$367,Assistance_Log!$C$5:$C$367,$A108,Assistance_Log!$E$5:$E$367,"Blankets",Assistance_Log!$B$5:$B$367,"&gt;="&amp;Households!F108))</f>
        <v>0</v>
      </c>
      <c r="F108" s="25">
        <f t="shared" si="36"/>
        <v>3</v>
      </c>
      <c r="G108" s="24">
        <f>IF($A108="","",MAX(0,Households!H108*Settings!$B$10-Households!R108))</f>
        <v>4</v>
      </c>
      <c r="H108" s="24">
        <f>IF($A108="","",SUMIFS(Assistance_Log!$F$5:$F$367,Assistance_Log!$C$5:$C$367,$A108,Assistance_Log!$E$5:$E$367,"Mattresses",Assistance_Log!$B$5:$B$367,"&gt;="&amp;Households!F108))</f>
        <v>0</v>
      </c>
      <c r="I108" s="25">
        <f t="shared" si="37"/>
        <v>4</v>
      </c>
      <c r="J108" s="24">
        <f>IF($A108="","",IF(AND(OR(Households!C108="Tent",Households!C108="Makeshift shelter"),Households!D108="Damaged"),Settings!$B$11,0))</f>
        <v>0</v>
      </c>
      <c r="K108" s="24">
        <f>IF($A108="","",SUMIFS(Assistance_Log!$F$5:$F$367,Assistance_Log!$C$5:$C$367,$A108,Assistance_Log!$E$5:$E$367,"Tarpaulins",Assistance_Log!$B$5:$B$367,"&gt;="&amp;Households!F108))</f>
        <v>0</v>
      </c>
      <c r="L108" s="25">
        <f t="shared" si="38"/>
        <v>0</v>
      </c>
      <c r="M108" s="24">
        <f>IF($A108="","",IF(AND(OR(Households!C108="Tent",Households!C108="Makeshift shelter"),Households!D108="Unusable"),Settings!$B$12,0))</f>
        <v>0</v>
      </c>
      <c r="N108" s="24">
        <f>IF($A108="","",SUMIFS(Assistance_Log!$F$5:$F$367,Assistance_Log!$C$5:$C$367,$A108,Assistance_Log!$E$5:$E$367,"Tent replacement",Assistance_Log!$B$5:$B$367,"&gt;="&amp;Households!F108))</f>
        <v>0</v>
      </c>
      <c r="O108" s="25">
        <f t="shared" si="39"/>
        <v>0</v>
      </c>
      <c r="P108" s="24">
        <f>IF($A108="","",IF(Households!D108="Damaged",Settings!$B$13,0))</f>
        <v>0</v>
      </c>
      <c r="Q108" s="24">
        <f>IF($A108="","",SUMIFS(Assistance_Log!$F$5:$F$367,Assistance_Log!$C$5:$C$367,$A108,Assistance_Log!$E$5:$E$367,"Shelter repair kits",Assistance_Log!$B$5:$B$367,"&gt;="&amp;Households!F108))</f>
        <v>0</v>
      </c>
      <c r="R108" s="24">
        <f t="shared" si="40"/>
        <v>0</v>
      </c>
      <c r="S108" s="24">
        <f>IF($A108="","",Households!S108*Settings!$B$14)</f>
        <v>3</v>
      </c>
      <c r="T108" s="24">
        <f>IF($A108="","",SUMIFS(Assistance_Log!$F$5:$F$367,Assistance_Log!$C$5:$C$367,$A108,Assistance_Log!$E$5:$E$367,"Winter clothing – children",Assistance_Log!$B$5:$B$367,"&gt;="&amp;Households!F108))</f>
        <v>0</v>
      </c>
      <c r="U108" s="24">
        <f t="shared" si="41"/>
        <v>3</v>
      </c>
      <c r="V108" s="24">
        <f>IF($A108="","",Households!T108*Settings!$B$14)</f>
        <v>0</v>
      </c>
      <c r="W108" s="24">
        <f>IF($A108="","",SUMIFS(Assistance_Log!$F$5:$F$367,Assistance_Log!$C$5:$C$367,$A108,Assistance_Log!$E$5:$E$367,"Winter clothing – adults",Assistance_Log!$B$5:$B$367,"&gt;="&amp;Households!F108))</f>
        <v>0</v>
      </c>
      <c r="X108" s="24">
        <f t="shared" si="42"/>
        <v>0</v>
      </c>
      <c r="Y108" s="24">
        <f>IF($A108="","",Households!J108*Settings!$B$15)</f>
        <v>0</v>
      </c>
      <c r="Z108" s="24">
        <f>IF($A108="","",SUMIFS(Assistance_Log!$F$5:$F$367,Assistance_Log!$C$5:$C$367,$A108,Assistance_Log!$E$5:$E$367,"Diapers",Assistance_Log!$B$5:$B$367,"&gt;="&amp;Households!F108))</f>
        <v>0</v>
      </c>
      <c r="AA108" s="24">
        <f t="shared" si="43"/>
        <v>0</v>
      </c>
      <c r="AB108" s="24">
        <f>IF($A108="","",Settings!$B$16)</f>
        <v>1</v>
      </c>
      <c r="AC108" s="24">
        <f>IF($A108="","",SUMIFS(Assistance_Log!$F$5:$F$367,Assistance_Log!$C$5:$C$367,$A108,Assistance_Log!$E$5:$E$367,"Family hygiene kits",Assistance_Log!$B$5:$B$367,"&gt;="&amp;Households!F108))</f>
        <v>1</v>
      </c>
      <c r="AD108" s="24">
        <f t="shared" si="44"/>
        <v>0</v>
      </c>
      <c r="AE108" s="24">
        <f>IF($A108="","",Households!N108*Settings!$B$17)</f>
        <v>2</v>
      </c>
      <c r="AF108" s="24">
        <f>IF($A108="","",SUMIFS(Assistance_Log!$F$5:$F$367,Assistance_Log!$C$5:$C$367,$A108,Assistance_Log!$E$5:$E$367,"Menstrual hygiene kits",Assistance_Log!$B$5:$B$367,"&gt;="&amp;Households!F108))</f>
        <v>0</v>
      </c>
      <c r="AG108" s="24">
        <f t="shared" si="45"/>
        <v>2</v>
      </c>
      <c r="AH108" s="25" t="str">
        <f t="shared" si="46"/>
        <v>Yes</v>
      </c>
      <c r="AI108" s="24">
        <f t="shared" si="47"/>
        <v>4</v>
      </c>
    </row>
    <row r="109" spans="1:35" x14ac:dyDescent="0.3">
      <c r="A109" s="24" t="str">
        <f>IF(Households!A109="","",Households!A109)</f>
        <v>HH-105</v>
      </c>
      <c r="B109" s="24" t="str">
        <f>IF($A109="","",Households!B109)</f>
        <v>Site D – Collective Centre</v>
      </c>
      <c r="C109" s="24" t="str">
        <f>IF($A109="","",Households!X109)</f>
        <v>High</v>
      </c>
      <c r="D109" s="24">
        <f>IF($A109="","",MAX(0,Households!H109*Settings!$B$9-Households!Q109))</f>
        <v>13</v>
      </c>
      <c r="E109" s="24">
        <f>IF($A109="","",SUMIFS(Assistance_Log!$F$5:$F$367,Assistance_Log!$C$5:$C$367,$A109,Assistance_Log!$E$5:$E$367,"Blankets",Assistance_Log!$B$5:$B$367,"&gt;="&amp;Households!F109))</f>
        <v>0</v>
      </c>
      <c r="F109" s="25">
        <f t="shared" si="36"/>
        <v>13</v>
      </c>
      <c r="G109" s="24">
        <f>IF($A109="","",MAX(0,Households!H109*Settings!$B$10-Households!R109))</f>
        <v>6</v>
      </c>
      <c r="H109" s="24">
        <f>IF($A109="","",SUMIFS(Assistance_Log!$F$5:$F$367,Assistance_Log!$C$5:$C$367,$A109,Assistance_Log!$E$5:$E$367,"Mattresses",Assistance_Log!$B$5:$B$367,"&gt;="&amp;Households!F109))</f>
        <v>0</v>
      </c>
      <c r="I109" s="25">
        <f t="shared" si="37"/>
        <v>6</v>
      </c>
      <c r="J109" s="24">
        <f>IF($A109="","",IF(AND(OR(Households!C109="Tent",Households!C109="Makeshift shelter"),Households!D109="Damaged"),Settings!$B$11,0))</f>
        <v>0</v>
      </c>
      <c r="K109" s="24">
        <f>IF($A109="","",SUMIFS(Assistance_Log!$F$5:$F$367,Assistance_Log!$C$5:$C$367,$A109,Assistance_Log!$E$5:$E$367,"Tarpaulins",Assistance_Log!$B$5:$B$367,"&gt;="&amp;Households!F109))</f>
        <v>0</v>
      </c>
      <c r="L109" s="25">
        <f t="shared" si="38"/>
        <v>0</v>
      </c>
      <c r="M109" s="24">
        <f>IF($A109="","",IF(AND(OR(Households!C109="Tent",Households!C109="Makeshift shelter"),Households!D109="Unusable"),Settings!$B$12,0))</f>
        <v>0</v>
      </c>
      <c r="N109" s="24">
        <f>IF($A109="","",SUMIFS(Assistance_Log!$F$5:$F$367,Assistance_Log!$C$5:$C$367,$A109,Assistance_Log!$E$5:$E$367,"Tent replacement",Assistance_Log!$B$5:$B$367,"&gt;="&amp;Households!F109))</f>
        <v>0</v>
      </c>
      <c r="O109" s="25">
        <f t="shared" si="39"/>
        <v>0</v>
      </c>
      <c r="P109" s="24">
        <f>IF($A109="","",IF(Households!D109="Damaged",Settings!$B$13,0))</f>
        <v>0</v>
      </c>
      <c r="Q109" s="24">
        <f>IF($A109="","",SUMIFS(Assistance_Log!$F$5:$F$367,Assistance_Log!$C$5:$C$367,$A109,Assistance_Log!$E$5:$E$367,"Shelter repair kits",Assistance_Log!$B$5:$B$367,"&gt;="&amp;Households!F109))</f>
        <v>0</v>
      </c>
      <c r="R109" s="24">
        <f t="shared" si="40"/>
        <v>0</v>
      </c>
      <c r="S109" s="24">
        <f>IF($A109="","",Households!S109*Settings!$B$14)</f>
        <v>3</v>
      </c>
      <c r="T109" s="24">
        <f>IF($A109="","",SUMIFS(Assistance_Log!$F$5:$F$367,Assistance_Log!$C$5:$C$367,$A109,Assistance_Log!$E$5:$E$367,"Winter clothing – children",Assistance_Log!$B$5:$B$367,"&gt;="&amp;Households!F109))</f>
        <v>3</v>
      </c>
      <c r="U109" s="24">
        <f t="shared" si="41"/>
        <v>0</v>
      </c>
      <c r="V109" s="24">
        <f>IF($A109="","",Households!T109*Settings!$B$14)</f>
        <v>1</v>
      </c>
      <c r="W109" s="24">
        <f>IF($A109="","",SUMIFS(Assistance_Log!$F$5:$F$367,Assistance_Log!$C$5:$C$367,$A109,Assistance_Log!$E$5:$E$367,"Winter clothing – adults",Assistance_Log!$B$5:$B$367,"&gt;="&amp;Households!F109))</f>
        <v>0</v>
      </c>
      <c r="X109" s="24">
        <f t="shared" si="42"/>
        <v>1</v>
      </c>
      <c r="Y109" s="24">
        <f>IF($A109="","",Households!J109*Settings!$B$15)</f>
        <v>4</v>
      </c>
      <c r="Z109" s="24">
        <f>IF($A109="","",SUMIFS(Assistance_Log!$F$5:$F$367,Assistance_Log!$C$5:$C$367,$A109,Assistance_Log!$E$5:$E$367,"Diapers",Assistance_Log!$B$5:$B$367,"&gt;="&amp;Households!F109))</f>
        <v>1</v>
      </c>
      <c r="AA109" s="24">
        <f t="shared" si="43"/>
        <v>3</v>
      </c>
      <c r="AB109" s="24">
        <f>IF($A109="","",Settings!$B$16)</f>
        <v>1</v>
      </c>
      <c r="AC109" s="24">
        <f>IF($A109="","",SUMIFS(Assistance_Log!$F$5:$F$367,Assistance_Log!$C$5:$C$367,$A109,Assistance_Log!$E$5:$E$367,"Family hygiene kits",Assistance_Log!$B$5:$B$367,"&gt;="&amp;Households!F109))</f>
        <v>1</v>
      </c>
      <c r="AD109" s="24">
        <f t="shared" si="44"/>
        <v>0</v>
      </c>
      <c r="AE109" s="24">
        <f>IF($A109="","",Households!N109*Settings!$B$17)</f>
        <v>2</v>
      </c>
      <c r="AF109" s="24">
        <f>IF($A109="","",SUMIFS(Assistance_Log!$F$5:$F$367,Assistance_Log!$C$5:$C$367,$A109,Assistance_Log!$E$5:$E$367,"Menstrual hygiene kits",Assistance_Log!$B$5:$B$367,"&gt;="&amp;Households!F109))</f>
        <v>0</v>
      </c>
      <c r="AG109" s="24">
        <f t="shared" si="45"/>
        <v>2</v>
      </c>
      <c r="AH109" s="25" t="str">
        <f t="shared" si="46"/>
        <v>Yes</v>
      </c>
      <c r="AI109" s="24">
        <f t="shared" si="47"/>
        <v>5</v>
      </c>
    </row>
    <row r="110" spans="1:35" x14ac:dyDescent="0.3">
      <c r="A110" s="24" t="str">
        <f>IF(Households!A110="","",Households!A110)</f>
        <v>HH-106</v>
      </c>
      <c r="B110" s="24" t="str">
        <f>IF($A110="","",Households!B110)</f>
        <v>Site D – Collective Centre</v>
      </c>
      <c r="C110" s="24" t="str">
        <f>IF($A110="","",Households!X110)</f>
        <v>Low</v>
      </c>
      <c r="D110" s="24">
        <f>IF($A110="","",MAX(0,Households!H110*Settings!$B$9-Households!Q110))</f>
        <v>8</v>
      </c>
      <c r="E110" s="24">
        <f>IF($A110="","",SUMIFS(Assistance_Log!$F$5:$F$367,Assistance_Log!$C$5:$C$367,$A110,Assistance_Log!$E$5:$E$367,"Blankets",Assistance_Log!$B$5:$B$367,"&gt;="&amp;Households!F110))</f>
        <v>0</v>
      </c>
      <c r="F110" s="25">
        <f t="shared" si="36"/>
        <v>8</v>
      </c>
      <c r="G110" s="24">
        <f>IF($A110="","",MAX(0,Households!H110*Settings!$B$10-Households!R110))</f>
        <v>4</v>
      </c>
      <c r="H110" s="24">
        <f>IF($A110="","",SUMIFS(Assistance_Log!$F$5:$F$367,Assistance_Log!$C$5:$C$367,$A110,Assistance_Log!$E$5:$E$367,"Mattresses",Assistance_Log!$B$5:$B$367,"&gt;="&amp;Households!F110))</f>
        <v>0</v>
      </c>
      <c r="I110" s="25">
        <f t="shared" si="37"/>
        <v>4</v>
      </c>
      <c r="J110" s="24">
        <f>IF($A110="","",IF(AND(OR(Households!C110="Tent",Households!C110="Makeshift shelter"),Households!D110="Damaged"),Settings!$B$11,0))</f>
        <v>0</v>
      </c>
      <c r="K110" s="24">
        <f>IF($A110="","",SUMIFS(Assistance_Log!$F$5:$F$367,Assistance_Log!$C$5:$C$367,$A110,Assistance_Log!$E$5:$E$367,"Tarpaulins",Assistance_Log!$B$5:$B$367,"&gt;="&amp;Households!F110))</f>
        <v>0</v>
      </c>
      <c r="L110" s="25">
        <f t="shared" si="38"/>
        <v>0</v>
      </c>
      <c r="M110" s="24">
        <f>IF($A110="","",IF(AND(OR(Households!C110="Tent",Households!C110="Makeshift shelter"),Households!D110="Unusable"),Settings!$B$12,0))</f>
        <v>0</v>
      </c>
      <c r="N110" s="24">
        <f>IF($A110="","",SUMIFS(Assistance_Log!$F$5:$F$367,Assistance_Log!$C$5:$C$367,$A110,Assistance_Log!$E$5:$E$367,"Tent replacement",Assistance_Log!$B$5:$B$367,"&gt;="&amp;Households!F110))</f>
        <v>0</v>
      </c>
      <c r="O110" s="25">
        <f t="shared" si="39"/>
        <v>0</v>
      </c>
      <c r="P110" s="24">
        <f>IF($A110="","",IF(Households!D110="Damaged",Settings!$B$13,0))</f>
        <v>0</v>
      </c>
      <c r="Q110" s="24">
        <f>IF($A110="","",SUMIFS(Assistance_Log!$F$5:$F$367,Assistance_Log!$C$5:$C$367,$A110,Assistance_Log!$E$5:$E$367,"Shelter repair kits",Assistance_Log!$B$5:$B$367,"&gt;="&amp;Households!F110))</f>
        <v>0</v>
      </c>
      <c r="R110" s="24">
        <f t="shared" si="40"/>
        <v>0</v>
      </c>
      <c r="S110" s="24">
        <f>IF($A110="","",Households!S110*Settings!$B$14)</f>
        <v>2</v>
      </c>
      <c r="T110" s="24">
        <f>IF($A110="","",SUMIFS(Assistance_Log!$F$5:$F$367,Assistance_Log!$C$5:$C$367,$A110,Assistance_Log!$E$5:$E$367,"Winter clothing – children",Assistance_Log!$B$5:$B$367,"&gt;="&amp;Households!F110))</f>
        <v>0</v>
      </c>
      <c r="U110" s="24">
        <f t="shared" si="41"/>
        <v>2</v>
      </c>
      <c r="V110" s="24">
        <f>IF($A110="","",Households!T110*Settings!$B$14)</f>
        <v>1</v>
      </c>
      <c r="W110" s="24">
        <f>IF($A110="","",SUMIFS(Assistance_Log!$F$5:$F$367,Assistance_Log!$C$5:$C$367,$A110,Assistance_Log!$E$5:$E$367,"Winter clothing – adults",Assistance_Log!$B$5:$B$367,"&gt;="&amp;Households!F110))</f>
        <v>0</v>
      </c>
      <c r="X110" s="24">
        <f t="shared" si="42"/>
        <v>1</v>
      </c>
      <c r="Y110" s="24">
        <f>IF($A110="","",Households!J110*Settings!$B$15)</f>
        <v>4</v>
      </c>
      <c r="Z110" s="24">
        <f>IF($A110="","",SUMIFS(Assistance_Log!$F$5:$F$367,Assistance_Log!$C$5:$C$367,$A110,Assistance_Log!$E$5:$E$367,"Diapers",Assistance_Log!$B$5:$B$367,"&gt;="&amp;Households!F110))</f>
        <v>4</v>
      </c>
      <c r="AA110" s="24">
        <f t="shared" si="43"/>
        <v>0</v>
      </c>
      <c r="AB110" s="24">
        <f>IF($A110="","",Settings!$B$16)</f>
        <v>1</v>
      </c>
      <c r="AC110" s="24">
        <f>IF($A110="","",SUMIFS(Assistance_Log!$F$5:$F$367,Assistance_Log!$C$5:$C$367,$A110,Assistance_Log!$E$5:$E$367,"Family hygiene kits",Assistance_Log!$B$5:$B$367,"&gt;="&amp;Households!F110))</f>
        <v>0</v>
      </c>
      <c r="AD110" s="24">
        <f t="shared" si="44"/>
        <v>1</v>
      </c>
      <c r="AE110" s="24">
        <f>IF($A110="","",Households!N110*Settings!$B$17)</f>
        <v>1</v>
      </c>
      <c r="AF110" s="24">
        <f>IF($A110="","",SUMIFS(Assistance_Log!$F$5:$F$367,Assistance_Log!$C$5:$C$367,$A110,Assistance_Log!$E$5:$E$367,"Menstrual hygiene kits",Assistance_Log!$B$5:$B$367,"&gt;="&amp;Households!F110))</f>
        <v>0</v>
      </c>
      <c r="AG110" s="24">
        <f t="shared" si="45"/>
        <v>1</v>
      </c>
      <c r="AH110" s="25" t="str">
        <f t="shared" si="46"/>
        <v>Yes</v>
      </c>
      <c r="AI110" s="24">
        <f t="shared" si="47"/>
        <v>6</v>
      </c>
    </row>
    <row r="111" spans="1:35" x14ac:dyDescent="0.3">
      <c r="A111" s="24" t="str">
        <f>IF(Households!A111="","",Households!A111)</f>
        <v>HH-107</v>
      </c>
      <c r="B111" s="24" t="str">
        <f>IF($A111="","",Households!B111)</f>
        <v>Site D – Collective Centre</v>
      </c>
      <c r="C111" s="24" t="str">
        <f>IF($A111="","",Households!X111)</f>
        <v>High</v>
      </c>
      <c r="D111" s="24">
        <f>IF($A111="","",MAX(0,Households!H111*Settings!$B$9-Households!Q111))</f>
        <v>3</v>
      </c>
      <c r="E111" s="24">
        <f>IF($A111="","",SUMIFS(Assistance_Log!$F$5:$F$367,Assistance_Log!$C$5:$C$367,$A111,Assistance_Log!$E$5:$E$367,"Blankets",Assistance_Log!$B$5:$B$367,"&gt;="&amp;Households!F111))</f>
        <v>0</v>
      </c>
      <c r="F111" s="25">
        <f t="shared" si="36"/>
        <v>3</v>
      </c>
      <c r="G111" s="24">
        <f>IF($A111="","",MAX(0,Households!H111*Settings!$B$10-Households!R111))</f>
        <v>0</v>
      </c>
      <c r="H111" s="24">
        <f>IF($A111="","",SUMIFS(Assistance_Log!$F$5:$F$367,Assistance_Log!$C$5:$C$367,$A111,Assistance_Log!$E$5:$E$367,"Mattresses",Assistance_Log!$B$5:$B$367,"&gt;="&amp;Households!F111))</f>
        <v>0</v>
      </c>
      <c r="I111" s="25">
        <f t="shared" si="37"/>
        <v>0</v>
      </c>
      <c r="J111" s="24">
        <f>IF($A111="","",IF(AND(OR(Households!C111="Tent",Households!C111="Makeshift shelter"),Households!D111="Damaged"),Settings!$B$11,0))</f>
        <v>0</v>
      </c>
      <c r="K111" s="24">
        <f>IF($A111="","",SUMIFS(Assistance_Log!$F$5:$F$367,Assistance_Log!$C$5:$C$367,$A111,Assistance_Log!$E$5:$E$367,"Tarpaulins",Assistance_Log!$B$5:$B$367,"&gt;="&amp;Households!F111))</f>
        <v>0</v>
      </c>
      <c r="L111" s="25">
        <f t="shared" si="38"/>
        <v>0</v>
      </c>
      <c r="M111" s="24">
        <f>IF($A111="","",IF(AND(OR(Households!C111="Tent",Households!C111="Makeshift shelter"),Households!D111="Unusable"),Settings!$B$12,0))</f>
        <v>0</v>
      </c>
      <c r="N111" s="24">
        <f>IF($A111="","",SUMIFS(Assistance_Log!$F$5:$F$367,Assistance_Log!$C$5:$C$367,$A111,Assistance_Log!$E$5:$E$367,"Tent replacement",Assistance_Log!$B$5:$B$367,"&gt;="&amp;Households!F111))</f>
        <v>0</v>
      </c>
      <c r="O111" s="25">
        <f t="shared" si="39"/>
        <v>0</v>
      </c>
      <c r="P111" s="24">
        <f>IF($A111="","",IF(Households!D111="Damaged",Settings!$B$13,0))</f>
        <v>0</v>
      </c>
      <c r="Q111" s="24">
        <f>IF($A111="","",SUMIFS(Assistance_Log!$F$5:$F$367,Assistance_Log!$C$5:$C$367,$A111,Assistance_Log!$E$5:$E$367,"Shelter repair kits",Assistance_Log!$B$5:$B$367,"&gt;="&amp;Households!F111))</f>
        <v>0</v>
      </c>
      <c r="R111" s="24">
        <f t="shared" si="40"/>
        <v>0</v>
      </c>
      <c r="S111" s="24">
        <f>IF($A111="","",Households!S111*Settings!$B$14)</f>
        <v>7</v>
      </c>
      <c r="T111" s="24">
        <f>IF($A111="","",SUMIFS(Assistance_Log!$F$5:$F$367,Assistance_Log!$C$5:$C$367,$A111,Assistance_Log!$E$5:$E$367,"Winter clothing – children",Assistance_Log!$B$5:$B$367,"&gt;="&amp;Households!F111))</f>
        <v>0</v>
      </c>
      <c r="U111" s="24">
        <f t="shared" si="41"/>
        <v>7</v>
      </c>
      <c r="V111" s="24">
        <f>IF($A111="","",Households!T111*Settings!$B$14)</f>
        <v>0</v>
      </c>
      <c r="W111" s="24">
        <f>IF($A111="","",SUMIFS(Assistance_Log!$F$5:$F$367,Assistance_Log!$C$5:$C$367,$A111,Assistance_Log!$E$5:$E$367,"Winter clothing – adults",Assistance_Log!$B$5:$B$367,"&gt;="&amp;Households!F111))</f>
        <v>0</v>
      </c>
      <c r="X111" s="24">
        <f t="shared" si="42"/>
        <v>0</v>
      </c>
      <c r="Y111" s="24">
        <f>IF($A111="","",Households!J111*Settings!$B$15)</f>
        <v>4</v>
      </c>
      <c r="Z111" s="24">
        <f>IF($A111="","",SUMIFS(Assistance_Log!$F$5:$F$367,Assistance_Log!$C$5:$C$367,$A111,Assistance_Log!$E$5:$E$367,"Diapers",Assistance_Log!$B$5:$B$367,"&gt;="&amp;Households!F111))</f>
        <v>0</v>
      </c>
      <c r="AA111" s="24">
        <f t="shared" si="43"/>
        <v>4</v>
      </c>
      <c r="AB111" s="24">
        <f>IF($A111="","",Settings!$B$16)</f>
        <v>1</v>
      </c>
      <c r="AC111" s="24">
        <f>IF($A111="","",SUMIFS(Assistance_Log!$F$5:$F$367,Assistance_Log!$C$5:$C$367,$A111,Assistance_Log!$E$5:$E$367,"Family hygiene kits",Assistance_Log!$B$5:$B$367,"&gt;="&amp;Households!F111))</f>
        <v>1</v>
      </c>
      <c r="AD111" s="24">
        <f t="shared" si="44"/>
        <v>0</v>
      </c>
      <c r="AE111" s="24">
        <f>IF($A111="","",Households!N111*Settings!$B$17)</f>
        <v>1</v>
      </c>
      <c r="AF111" s="24">
        <f>IF($A111="","",SUMIFS(Assistance_Log!$F$5:$F$367,Assistance_Log!$C$5:$C$367,$A111,Assistance_Log!$E$5:$E$367,"Menstrual hygiene kits",Assistance_Log!$B$5:$B$367,"&gt;="&amp;Households!F111))</f>
        <v>0</v>
      </c>
      <c r="AG111" s="24">
        <f t="shared" si="45"/>
        <v>1</v>
      </c>
      <c r="AH111" s="25" t="str">
        <f t="shared" si="46"/>
        <v>Yes</v>
      </c>
      <c r="AI111" s="24">
        <f t="shared" si="47"/>
        <v>4</v>
      </c>
    </row>
    <row r="112" spans="1:35" x14ac:dyDescent="0.3">
      <c r="A112" s="24" t="str">
        <f>IF(Households!A112="","",Households!A112)</f>
        <v>HH-108</v>
      </c>
      <c r="B112" s="24" t="str">
        <f>IF($A112="","",Households!B112)</f>
        <v>Site D – Collective Centre</v>
      </c>
      <c r="C112" s="24" t="str">
        <f>IF($A112="","",Households!X112)</f>
        <v>Low</v>
      </c>
      <c r="D112" s="24">
        <f>IF($A112="","",MAX(0,Households!H112*Settings!$B$9-Households!Q112))</f>
        <v>2</v>
      </c>
      <c r="E112" s="24">
        <f>IF($A112="","",SUMIFS(Assistance_Log!$F$5:$F$367,Assistance_Log!$C$5:$C$367,$A112,Assistance_Log!$E$5:$E$367,"Blankets",Assistance_Log!$B$5:$B$367,"&gt;="&amp;Households!F112))</f>
        <v>2</v>
      </c>
      <c r="F112" s="25">
        <f t="shared" si="36"/>
        <v>0</v>
      </c>
      <c r="G112" s="24">
        <f>IF($A112="","",MAX(0,Households!H112*Settings!$B$10-Households!R112))</f>
        <v>3</v>
      </c>
      <c r="H112" s="24">
        <f>IF($A112="","",SUMIFS(Assistance_Log!$F$5:$F$367,Assistance_Log!$C$5:$C$367,$A112,Assistance_Log!$E$5:$E$367,"Mattresses",Assistance_Log!$B$5:$B$367,"&gt;="&amp;Households!F112))</f>
        <v>1</v>
      </c>
      <c r="I112" s="25">
        <f t="shared" si="37"/>
        <v>2</v>
      </c>
      <c r="J112" s="24">
        <f>IF($A112="","",IF(AND(OR(Households!C112="Tent",Households!C112="Makeshift shelter"),Households!D112="Damaged"),Settings!$B$11,0))</f>
        <v>0</v>
      </c>
      <c r="K112" s="24">
        <f>IF($A112="","",SUMIFS(Assistance_Log!$F$5:$F$367,Assistance_Log!$C$5:$C$367,$A112,Assistance_Log!$E$5:$E$367,"Tarpaulins",Assistance_Log!$B$5:$B$367,"&gt;="&amp;Households!F112))</f>
        <v>0</v>
      </c>
      <c r="L112" s="25">
        <f t="shared" si="38"/>
        <v>0</v>
      </c>
      <c r="M112" s="24">
        <f>IF($A112="","",IF(AND(OR(Households!C112="Tent",Households!C112="Makeshift shelter"),Households!D112="Unusable"),Settings!$B$12,0))</f>
        <v>0</v>
      </c>
      <c r="N112" s="24">
        <f>IF($A112="","",SUMIFS(Assistance_Log!$F$5:$F$367,Assistance_Log!$C$5:$C$367,$A112,Assistance_Log!$E$5:$E$367,"Tent replacement",Assistance_Log!$B$5:$B$367,"&gt;="&amp;Households!F112))</f>
        <v>0</v>
      </c>
      <c r="O112" s="25">
        <f t="shared" si="39"/>
        <v>0</v>
      </c>
      <c r="P112" s="24">
        <f>IF($A112="","",IF(Households!D112="Damaged",Settings!$B$13,0))</f>
        <v>1</v>
      </c>
      <c r="Q112" s="24">
        <f>IF($A112="","",SUMIFS(Assistance_Log!$F$5:$F$367,Assistance_Log!$C$5:$C$367,$A112,Assistance_Log!$E$5:$E$367,"Shelter repair kits",Assistance_Log!$B$5:$B$367,"&gt;="&amp;Households!F112))</f>
        <v>0</v>
      </c>
      <c r="R112" s="24">
        <f t="shared" si="40"/>
        <v>1</v>
      </c>
      <c r="S112" s="24">
        <f>IF($A112="","",Households!S112*Settings!$B$14)</f>
        <v>1</v>
      </c>
      <c r="T112" s="24">
        <f>IF($A112="","",SUMIFS(Assistance_Log!$F$5:$F$367,Assistance_Log!$C$5:$C$367,$A112,Assistance_Log!$E$5:$E$367,"Winter clothing – children",Assistance_Log!$B$5:$B$367,"&gt;="&amp;Households!F112))</f>
        <v>0</v>
      </c>
      <c r="U112" s="24">
        <f t="shared" si="41"/>
        <v>1</v>
      </c>
      <c r="V112" s="24">
        <f>IF($A112="","",Households!T112*Settings!$B$14)</f>
        <v>1</v>
      </c>
      <c r="W112" s="24">
        <f>IF($A112="","",SUMIFS(Assistance_Log!$F$5:$F$367,Assistance_Log!$C$5:$C$367,$A112,Assistance_Log!$E$5:$E$367,"Winter clothing – adults",Assistance_Log!$B$5:$B$367,"&gt;="&amp;Households!F112))</f>
        <v>0</v>
      </c>
      <c r="X112" s="24">
        <f t="shared" si="42"/>
        <v>1</v>
      </c>
      <c r="Y112" s="24">
        <f>IF($A112="","",Households!J112*Settings!$B$15)</f>
        <v>0</v>
      </c>
      <c r="Z112" s="24">
        <f>IF($A112="","",SUMIFS(Assistance_Log!$F$5:$F$367,Assistance_Log!$C$5:$C$367,$A112,Assistance_Log!$E$5:$E$367,"Diapers",Assistance_Log!$B$5:$B$367,"&gt;="&amp;Households!F112))</f>
        <v>0</v>
      </c>
      <c r="AA112" s="24">
        <f t="shared" si="43"/>
        <v>0</v>
      </c>
      <c r="AB112" s="24">
        <f>IF($A112="","",Settings!$B$16)</f>
        <v>1</v>
      </c>
      <c r="AC112" s="24">
        <f>IF($A112="","",SUMIFS(Assistance_Log!$F$5:$F$367,Assistance_Log!$C$5:$C$367,$A112,Assistance_Log!$E$5:$E$367,"Family hygiene kits",Assistance_Log!$B$5:$B$367,"&gt;="&amp;Households!F112))</f>
        <v>1</v>
      </c>
      <c r="AD112" s="24">
        <f t="shared" si="44"/>
        <v>0</v>
      </c>
      <c r="AE112" s="24">
        <f>IF($A112="","",Households!N112*Settings!$B$17)</f>
        <v>2</v>
      </c>
      <c r="AF112" s="24">
        <f>IF($A112="","",SUMIFS(Assistance_Log!$F$5:$F$367,Assistance_Log!$C$5:$C$367,$A112,Assistance_Log!$E$5:$E$367,"Menstrual hygiene kits",Assistance_Log!$B$5:$B$367,"&gt;="&amp;Households!F112))</f>
        <v>0</v>
      </c>
      <c r="AG112" s="24">
        <f t="shared" si="45"/>
        <v>2</v>
      </c>
      <c r="AH112" s="25" t="str">
        <f t="shared" si="46"/>
        <v>Yes</v>
      </c>
      <c r="AI112" s="24">
        <f t="shared" si="47"/>
        <v>5</v>
      </c>
    </row>
    <row r="113" spans="1:35" x14ac:dyDescent="0.3">
      <c r="A113" s="24" t="str">
        <f>IF(Households!A113="","",Households!A113)</f>
        <v>HH-109</v>
      </c>
      <c r="B113" s="24" t="str">
        <f>IF($A113="","",Households!B113)</f>
        <v>Site D – Collective Centre</v>
      </c>
      <c r="C113" s="24" t="str">
        <f>IF($A113="","",Households!X113)</f>
        <v>Low</v>
      </c>
      <c r="D113" s="24">
        <f>IF($A113="","",MAX(0,Households!H113*Settings!$B$9-Households!Q113))</f>
        <v>4</v>
      </c>
      <c r="E113" s="24">
        <f>IF($A113="","",SUMIFS(Assistance_Log!$F$5:$F$367,Assistance_Log!$C$5:$C$367,$A113,Assistance_Log!$E$5:$E$367,"Blankets",Assistance_Log!$B$5:$B$367,"&gt;="&amp;Households!F113))</f>
        <v>4</v>
      </c>
      <c r="F113" s="25">
        <f t="shared" si="36"/>
        <v>0</v>
      </c>
      <c r="G113" s="24">
        <f>IF($A113="","",MAX(0,Households!H113*Settings!$B$10-Households!R113))</f>
        <v>6</v>
      </c>
      <c r="H113" s="24">
        <f>IF($A113="","",SUMIFS(Assistance_Log!$F$5:$F$367,Assistance_Log!$C$5:$C$367,$A113,Assistance_Log!$E$5:$E$367,"Mattresses",Assistance_Log!$B$5:$B$367,"&gt;="&amp;Households!F113))</f>
        <v>0</v>
      </c>
      <c r="I113" s="25">
        <f t="shared" si="37"/>
        <v>6</v>
      </c>
      <c r="J113" s="24">
        <f>IF($A113="","",IF(AND(OR(Households!C113="Tent",Households!C113="Makeshift shelter"),Households!D113="Damaged"),Settings!$B$11,0))</f>
        <v>0</v>
      </c>
      <c r="K113" s="24">
        <f>IF($A113="","",SUMIFS(Assistance_Log!$F$5:$F$367,Assistance_Log!$C$5:$C$367,$A113,Assistance_Log!$E$5:$E$367,"Tarpaulins",Assistance_Log!$B$5:$B$367,"&gt;="&amp;Households!F113))</f>
        <v>0</v>
      </c>
      <c r="L113" s="25">
        <f t="shared" si="38"/>
        <v>0</v>
      </c>
      <c r="M113" s="24">
        <f>IF($A113="","",IF(AND(OR(Households!C113="Tent",Households!C113="Makeshift shelter"),Households!D113="Unusable"),Settings!$B$12,0))</f>
        <v>0</v>
      </c>
      <c r="N113" s="24">
        <f>IF($A113="","",SUMIFS(Assistance_Log!$F$5:$F$367,Assistance_Log!$C$5:$C$367,$A113,Assistance_Log!$E$5:$E$367,"Tent replacement",Assistance_Log!$B$5:$B$367,"&gt;="&amp;Households!F113))</f>
        <v>0</v>
      </c>
      <c r="O113" s="25">
        <f t="shared" si="39"/>
        <v>0</v>
      </c>
      <c r="P113" s="24">
        <f>IF($A113="","",IF(Households!D113="Damaged",Settings!$B$13,0))</f>
        <v>1</v>
      </c>
      <c r="Q113" s="24">
        <f>IF($A113="","",SUMIFS(Assistance_Log!$F$5:$F$367,Assistance_Log!$C$5:$C$367,$A113,Assistance_Log!$E$5:$E$367,"Shelter repair kits",Assistance_Log!$B$5:$B$367,"&gt;="&amp;Households!F113))</f>
        <v>0</v>
      </c>
      <c r="R113" s="24">
        <f t="shared" si="40"/>
        <v>1</v>
      </c>
      <c r="S113" s="24">
        <f>IF($A113="","",Households!S113*Settings!$B$14)</f>
        <v>4</v>
      </c>
      <c r="T113" s="24">
        <f>IF($A113="","",SUMIFS(Assistance_Log!$F$5:$F$367,Assistance_Log!$C$5:$C$367,$A113,Assistance_Log!$E$5:$E$367,"Winter clothing – children",Assistance_Log!$B$5:$B$367,"&gt;="&amp;Households!F113))</f>
        <v>4</v>
      </c>
      <c r="U113" s="24">
        <f t="shared" si="41"/>
        <v>0</v>
      </c>
      <c r="V113" s="24">
        <f>IF($A113="","",Households!T113*Settings!$B$14)</f>
        <v>0</v>
      </c>
      <c r="W113" s="24">
        <f>IF($A113="","",SUMIFS(Assistance_Log!$F$5:$F$367,Assistance_Log!$C$5:$C$367,$A113,Assistance_Log!$E$5:$E$367,"Winter clothing – adults",Assistance_Log!$B$5:$B$367,"&gt;="&amp;Households!F113))</f>
        <v>0</v>
      </c>
      <c r="X113" s="24">
        <f t="shared" si="42"/>
        <v>0</v>
      </c>
      <c r="Y113" s="24">
        <f>IF($A113="","",Households!J113*Settings!$B$15)</f>
        <v>0</v>
      </c>
      <c r="Z113" s="24">
        <f>IF($A113="","",SUMIFS(Assistance_Log!$F$5:$F$367,Assistance_Log!$C$5:$C$367,$A113,Assistance_Log!$E$5:$E$367,"Diapers",Assistance_Log!$B$5:$B$367,"&gt;="&amp;Households!F113))</f>
        <v>0</v>
      </c>
      <c r="AA113" s="24">
        <f t="shared" si="43"/>
        <v>0</v>
      </c>
      <c r="AB113" s="24">
        <f>IF($A113="","",Settings!$B$16)</f>
        <v>1</v>
      </c>
      <c r="AC113" s="24">
        <f>IF($A113="","",SUMIFS(Assistance_Log!$F$5:$F$367,Assistance_Log!$C$5:$C$367,$A113,Assistance_Log!$E$5:$E$367,"Family hygiene kits",Assistance_Log!$B$5:$B$367,"&gt;="&amp;Households!F113))</f>
        <v>1</v>
      </c>
      <c r="AD113" s="24">
        <f t="shared" si="44"/>
        <v>0</v>
      </c>
      <c r="AE113" s="24">
        <f>IF($A113="","",Households!N113*Settings!$B$17)</f>
        <v>2</v>
      </c>
      <c r="AF113" s="24">
        <f>IF($A113="","",SUMIFS(Assistance_Log!$F$5:$F$367,Assistance_Log!$C$5:$C$367,$A113,Assistance_Log!$E$5:$E$367,"Menstrual hygiene kits",Assistance_Log!$B$5:$B$367,"&gt;="&amp;Households!F113))</f>
        <v>0</v>
      </c>
      <c r="AG113" s="24">
        <f t="shared" si="45"/>
        <v>2</v>
      </c>
      <c r="AH113" s="25" t="str">
        <f t="shared" si="46"/>
        <v>Yes</v>
      </c>
      <c r="AI113" s="24">
        <f t="shared" si="47"/>
        <v>3</v>
      </c>
    </row>
    <row r="114" spans="1:35" x14ac:dyDescent="0.3">
      <c r="A114" s="24" t="str">
        <f>IF(Households!A114="","",Households!A114)</f>
        <v>HH-110</v>
      </c>
      <c r="B114" s="24" t="str">
        <f>IF($A114="","",Households!B114)</f>
        <v>Site D – Collective Centre</v>
      </c>
      <c r="C114" s="24" t="str">
        <f>IF($A114="","",Households!X114)</f>
        <v>High</v>
      </c>
      <c r="D114" s="24">
        <f>IF($A114="","",MAX(0,Households!H114*Settings!$B$9-Households!Q114))</f>
        <v>6</v>
      </c>
      <c r="E114" s="24">
        <f>IF($A114="","",SUMIFS(Assistance_Log!$F$5:$F$367,Assistance_Log!$C$5:$C$367,$A114,Assistance_Log!$E$5:$E$367,"Blankets",Assistance_Log!$B$5:$B$367,"&gt;="&amp;Households!F114))</f>
        <v>2</v>
      </c>
      <c r="F114" s="25">
        <f t="shared" si="36"/>
        <v>4</v>
      </c>
      <c r="G114" s="24">
        <f>IF($A114="","",MAX(0,Households!H114*Settings!$B$10-Households!R114))</f>
        <v>2</v>
      </c>
      <c r="H114" s="24">
        <f>IF($A114="","",SUMIFS(Assistance_Log!$F$5:$F$367,Assistance_Log!$C$5:$C$367,$A114,Assistance_Log!$E$5:$E$367,"Mattresses",Assistance_Log!$B$5:$B$367,"&gt;="&amp;Households!F114))</f>
        <v>1</v>
      </c>
      <c r="I114" s="25">
        <f t="shared" si="37"/>
        <v>1</v>
      </c>
      <c r="J114" s="24">
        <f>IF($A114="","",IF(AND(OR(Households!C114="Tent",Households!C114="Makeshift shelter"),Households!D114="Damaged"),Settings!$B$11,0))</f>
        <v>0</v>
      </c>
      <c r="K114" s="24">
        <f>IF($A114="","",SUMIFS(Assistance_Log!$F$5:$F$367,Assistance_Log!$C$5:$C$367,$A114,Assistance_Log!$E$5:$E$367,"Tarpaulins",Assistance_Log!$B$5:$B$367,"&gt;="&amp;Households!F114))</f>
        <v>0</v>
      </c>
      <c r="L114" s="25">
        <f t="shared" si="38"/>
        <v>0</v>
      </c>
      <c r="M114" s="24">
        <f>IF($A114="","",IF(AND(OR(Households!C114="Tent",Households!C114="Makeshift shelter"),Households!D114="Unusable"),Settings!$B$12,0))</f>
        <v>0</v>
      </c>
      <c r="N114" s="24">
        <f>IF($A114="","",SUMIFS(Assistance_Log!$F$5:$F$367,Assistance_Log!$C$5:$C$367,$A114,Assistance_Log!$E$5:$E$367,"Tent replacement",Assistance_Log!$B$5:$B$367,"&gt;="&amp;Households!F114))</f>
        <v>0</v>
      </c>
      <c r="O114" s="25">
        <f t="shared" si="39"/>
        <v>0</v>
      </c>
      <c r="P114" s="24">
        <f>IF($A114="","",IF(Households!D114="Damaged",Settings!$B$13,0))</f>
        <v>0</v>
      </c>
      <c r="Q114" s="24">
        <f>IF($A114="","",SUMIFS(Assistance_Log!$F$5:$F$367,Assistance_Log!$C$5:$C$367,$A114,Assistance_Log!$E$5:$E$367,"Shelter repair kits",Assistance_Log!$B$5:$B$367,"&gt;="&amp;Households!F114))</f>
        <v>0</v>
      </c>
      <c r="R114" s="24">
        <f t="shared" si="40"/>
        <v>0</v>
      </c>
      <c r="S114" s="24">
        <f>IF($A114="","",Households!S114*Settings!$B$14)</f>
        <v>2</v>
      </c>
      <c r="T114" s="24">
        <f>IF($A114="","",SUMIFS(Assistance_Log!$F$5:$F$367,Assistance_Log!$C$5:$C$367,$A114,Assistance_Log!$E$5:$E$367,"Winter clothing – children",Assistance_Log!$B$5:$B$367,"&gt;="&amp;Households!F114))</f>
        <v>0</v>
      </c>
      <c r="U114" s="24">
        <f t="shared" si="41"/>
        <v>2</v>
      </c>
      <c r="V114" s="24">
        <f>IF($A114="","",Households!T114*Settings!$B$14)</f>
        <v>1</v>
      </c>
      <c r="W114" s="24">
        <f>IF($A114="","",SUMIFS(Assistance_Log!$F$5:$F$367,Assistance_Log!$C$5:$C$367,$A114,Assistance_Log!$E$5:$E$367,"Winter clothing – adults",Assistance_Log!$B$5:$B$367,"&gt;="&amp;Households!F114))</f>
        <v>0</v>
      </c>
      <c r="X114" s="24">
        <f t="shared" si="42"/>
        <v>1</v>
      </c>
      <c r="Y114" s="24">
        <f>IF($A114="","",Households!J114*Settings!$B$15)</f>
        <v>4</v>
      </c>
      <c r="Z114" s="24">
        <f>IF($A114="","",SUMIFS(Assistance_Log!$F$5:$F$367,Assistance_Log!$C$5:$C$367,$A114,Assistance_Log!$E$5:$E$367,"Diapers",Assistance_Log!$B$5:$B$367,"&gt;="&amp;Households!F114))</f>
        <v>0</v>
      </c>
      <c r="AA114" s="24">
        <f t="shared" si="43"/>
        <v>4</v>
      </c>
      <c r="AB114" s="24">
        <f>IF($A114="","",Settings!$B$16)</f>
        <v>1</v>
      </c>
      <c r="AC114" s="24">
        <f>IF($A114="","",SUMIFS(Assistance_Log!$F$5:$F$367,Assistance_Log!$C$5:$C$367,$A114,Assistance_Log!$E$5:$E$367,"Family hygiene kits",Assistance_Log!$B$5:$B$367,"&gt;="&amp;Households!F114))</f>
        <v>1</v>
      </c>
      <c r="AD114" s="24">
        <f t="shared" si="44"/>
        <v>0</v>
      </c>
      <c r="AE114" s="24">
        <f>IF($A114="","",Households!N114*Settings!$B$17)</f>
        <v>1</v>
      </c>
      <c r="AF114" s="24">
        <f>IF($A114="","",SUMIFS(Assistance_Log!$F$5:$F$367,Assistance_Log!$C$5:$C$367,$A114,Assistance_Log!$E$5:$E$367,"Menstrual hygiene kits",Assistance_Log!$B$5:$B$367,"&gt;="&amp;Households!F114))</f>
        <v>0</v>
      </c>
      <c r="AG114" s="24">
        <f t="shared" si="45"/>
        <v>1</v>
      </c>
      <c r="AH114" s="25" t="str">
        <f t="shared" si="46"/>
        <v>Yes</v>
      </c>
      <c r="AI114" s="24">
        <f t="shared" si="47"/>
        <v>6</v>
      </c>
    </row>
    <row r="115" spans="1:35" x14ac:dyDescent="0.3">
      <c r="A115" s="24" t="str">
        <f>IF(Households!A115="","",Households!A115)</f>
        <v>HH-111</v>
      </c>
      <c r="B115" s="24" t="str">
        <f>IF($A115="","",Households!B115)</f>
        <v>Site D – Collective Centre</v>
      </c>
      <c r="C115" s="24" t="str">
        <f>IF($A115="","",Households!X115)</f>
        <v>Medium</v>
      </c>
      <c r="D115" s="24">
        <f>IF($A115="","",MAX(0,Households!H115*Settings!$B$9-Households!Q115))</f>
        <v>13</v>
      </c>
      <c r="E115" s="24">
        <f>IF($A115="","",SUMIFS(Assistance_Log!$F$5:$F$367,Assistance_Log!$C$5:$C$367,$A115,Assistance_Log!$E$5:$E$367,"Blankets",Assistance_Log!$B$5:$B$367,"&gt;="&amp;Households!F115))</f>
        <v>13</v>
      </c>
      <c r="F115" s="25">
        <f t="shared" si="36"/>
        <v>0</v>
      </c>
      <c r="G115" s="24">
        <f>IF($A115="","",MAX(0,Households!H115*Settings!$B$10-Households!R115))</f>
        <v>2</v>
      </c>
      <c r="H115" s="24">
        <f>IF($A115="","",SUMIFS(Assistance_Log!$F$5:$F$367,Assistance_Log!$C$5:$C$367,$A115,Assistance_Log!$E$5:$E$367,"Mattresses",Assistance_Log!$B$5:$B$367,"&gt;="&amp;Households!F115))</f>
        <v>0</v>
      </c>
      <c r="I115" s="25">
        <f t="shared" si="37"/>
        <v>2</v>
      </c>
      <c r="J115" s="24">
        <f>IF($A115="","",IF(AND(OR(Households!C115="Tent",Households!C115="Makeshift shelter"),Households!D115="Damaged"),Settings!$B$11,0))</f>
        <v>0</v>
      </c>
      <c r="K115" s="24">
        <f>IF($A115="","",SUMIFS(Assistance_Log!$F$5:$F$367,Assistance_Log!$C$5:$C$367,$A115,Assistance_Log!$E$5:$E$367,"Tarpaulins",Assistance_Log!$B$5:$B$367,"&gt;="&amp;Households!F115))</f>
        <v>0</v>
      </c>
      <c r="L115" s="25">
        <f t="shared" si="38"/>
        <v>0</v>
      </c>
      <c r="M115" s="24">
        <f>IF($A115="","",IF(AND(OR(Households!C115="Tent",Households!C115="Makeshift shelter"),Households!D115="Unusable"),Settings!$B$12,0))</f>
        <v>0</v>
      </c>
      <c r="N115" s="24">
        <f>IF($A115="","",SUMIFS(Assistance_Log!$F$5:$F$367,Assistance_Log!$C$5:$C$367,$A115,Assistance_Log!$E$5:$E$367,"Tent replacement",Assistance_Log!$B$5:$B$367,"&gt;="&amp;Households!F115))</f>
        <v>0</v>
      </c>
      <c r="O115" s="25">
        <f t="shared" si="39"/>
        <v>0</v>
      </c>
      <c r="P115" s="24">
        <f>IF($A115="","",IF(Households!D115="Damaged",Settings!$B$13,0))</f>
        <v>0</v>
      </c>
      <c r="Q115" s="24">
        <f>IF($A115="","",SUMIFS(Assistance_Log!$F$5:$F$367,Assistance_Log!$C$5:$C$367,$A115,Assistance_Log!$E$5:$E$367,"Shelter repair kits",Assistance_Log!$B$5:$B$367,"&gt;="&amp;Households!F115))</f>
        <v>0</v>
      </c>
      <c r="R115" s="24">
        <f t="shared" si="40"/>
        <v>0</v>
      </c>
      <c r="S115" s="24">
        <f>IF($A115="","",Households!S115*Settings!$B$14)</f>
        <v>2</v>
      </c>
      <c r="T115" s="24">
        <f>IF($A115="","",SUMIFS(Assistance_Log!$F$5:$F$367,Assistance_Log!$C$5:$C$367,$A115,Assistance_Log!$E$5:$E$367,"Winter clothing – children",Assistance_Log!$B$5:$B$367,"&gt;="&amp;Households!F115))</f>
        <v>2</v>
      </c>
      <c r="U115" s="24">
        <f t="shared" si="41"/>
        <v>0</v>
      </c>
      <c r="V115" s="24">
        <f>IF($A115="","",Households!T115*Settings!$B$14)</f>
        <v>2</v>
      </c>
      <c r="W115" s="24">
        <f>IF($A115="","",SUMIFS(Assistance_Log!$F$5:$F$367,Assistance_Log!$C$5:$C$367,$A115,Assistance_Log!$E$5:$E$367,"Winter clothing – adults",Assistance_Log!$B$5:$B$367,"&gt;="&amp;Households!F115))</f>
        <v>0</v>
      </c>
      <c r="X115" s="24">
        <f t="shared" si="42"/>
        <v>2</v>
      </c>
      <c r="Y115" s="24">
        <f>IF($A115="","",Households!J115*Settings!$B$15)</f>
        <v>4</v>
      </c>
      <c r="Z115" s="24">
        <f>IF($A115="","",SUMIFS(Assistance_Log!$F$5:$F$367,Assistance_Log!$C$5:$C$367,$A115,Assistance_Log!$E$5:$E$367,"Diapers",Assistance_Log!$B$5:$B$367,"&gt;="&amp;Households!F115))</f>
        <v>0</v>
      </c>
      <c r="AA115" s="24">
        <f t="shared" si="43"/>
        <v>4</v>
      </c>
      <c r="AB115" s="24">
        <f>IF($A115="","",Settings!$B$16)</f>
        <v>1</v>
      </c>
      <c r="AC115" s="24">
        <f>IF($A115="","",SUMIFS(Assistance_Log!$F$5:$F$367,Assistance_Log!$C$5:$C$367,$A115,Assistance_Log!$E$5:$E$367,"Family hygiene kits",Assistance_Log!$B$5:$B$367,"&gt;="&amp;Households!F115))</f>
        <v>1</v>
      </c>
      <c r="AD115" s="24">
        <f t="shared" si="44"/>
        <v>0</v>
      </c>
      <c r="AE115" s="24">
        <f>IF($A115="","",Households!N115*Settings!$B$17)</f>
        <v>2</v>
      </c>
      <c r="AF115" s="24">
        <f>IF($A115="","",SUMIFS(Assistance_Log!$F$5:$F$367,Assistance_Log!$C$5:$C$367,$A115,Assistance_Log!$E$5:$E$367,"Menstrual hygiene kits",Assistance_Log!$B$5:$B$367,"&gt;="&amp;Households!F115))</f>
        <v>0</v>
      </c>
      <c r="AG115" s="24">
        <f t="shared" si="45"/>
        <v>2</v>
      </c>
      <c r="AH115" s="25" t="str">
        <f t="shared" si="46"/>
        <v>Yes</v>
      </c>
      <c r="AI115" s="24">
        <f t="shared" si="47"/>
        <v>4</v>
      </c>
    </row>
    <row r="116" spans="1:35" x14ac:dyDescent="0.3">
      <c r="A116" s="24" t="str">
        <f>IF(Households!A116="","",Households!A116)</f>
        <v>HH-112</v>
      </c>
      <c r="B116" s="24" t="str">
        <f>IF($A116="","",Households!B116)</f>
        <v>Site D – Collective Centre</v>
      </c>
      <c r="C116" s="24" t="str">
        <f>IF($A116="","",Households!X116)</f>
        <v>Medium</v>
      </c>
      <c r="D116" s="24">
        <f>IF($A116="","",MAX(0,Households!H116*Settings!$B$9-Households!Q116))</f>
        <v>5</v>
      </c>
      <c r="E116" s="24">
        <f>IF($A116="","",SUMIFS(Assistance_Log!$F$5:$F$367,Assistance_Log!$C$5:$C$367,$A116,Assistance_Log!$E$5:$E$367,"Blankets",Assistance_Log!$B$5:$B$367,"&gt;="&amp;Households!F116))</f>
        <v>4</v>
      </c>
      <c r="F116" s="25">
        <f t="shared" si="36"/>
        <v>1</v>
      </c>
      <c r="G116" s="24">
        <f>IF($A116="","",MAX(0,Households!H116*Settings!$B$10-Households!R116))</f>
        <v>4</v>
      </c>
      <c r="H116" s="24">
        <f>IF($A116="","",SUMIFS(Assistance_Log!$F$5:$F$367,Assistance_Log!$C$5:$C$367,$A116,Assistance_Log!$E$5:$E$367,"Mattresses",Assistance_Log!$B$5:$B$367,"&gt;="&amp;Households!F116))</f>
        <v>3</v>
      </c>
      <c r="I116" s="25">
        <f t="shared" si="37"/>
        <v>1</v>
      </c>
      <c r="J116" s="24">
        <f>IF($A116="","",IF(AND(OR(Households!C116="Tent",Households!C116="Makeshift shelter"),Households!D116="Damaged"),Settings!$B$11,0))</f>
        <v>0</v>
      </c>
      <c r="K116" s="24">
        <f>IF($A116="","",SUMIFS(Assistance_Log!$F$5:$F$367,Assistance_Log!$C$5:$C$367,$A116,Assistance_Log!$E$5:$E$367,"Tarpaulins",Assistance_Log!$B$5:$B$367,"&gt;="&amp;Households!F116))</f>
        <v>0</v>
      </c>
      <c r="L116" s="25">
        <f t="shared" si="38"/>
        <v>0</v>
      </c>
      <c r="M116" s="24">
        <f>IF($A116="","",IF(AND(OR(Households!C116="Tent",Households!C116="Makeshift shelter"),Households!D116="Unusable"),Settings!$B$12,0))</f>
        <v>0</v>
      </c>
      <c r="N116" s="24">
        <f>IF($A116="","",SUMIFS(Assistance_Log!$F$5:$F$367,Assistance_Log!$C$5:$C$367,$A116,Assistance_Log!$E$5:$E$367,"Tent replacement",Assistance_Log!$B$5:$B$367,"&gt;="&amp;Households!F116))</f>
        <v>0</v>
      </c>
      <c r="O116" s="25">
        <f t="shared" si="39"/>
        <v>0</v>
      </c>
      <c r="P116" s="24">
        <f>IF($A116="","",IF(Households!D116="Damaged",Settings!$B$13,0))</f>
        <v>0</v>
      </c>
      <c r="Q116" s="24">
        <f>IF($A116="","",SUMIFS(Assistance_Log!$F$5:$F$367,Assistance_Log!$C$5:$C$367,$A116,Assistance_Log!$E$5:$E$367,"Shelter repair kits",Assistance_Log!$B$5:$B$367,"&gt;="&amp;Households!F116))</f>
        <v>0</v>
      </c>
      <c r="R116" s="24">
        <f t="shared" si="40"/>
        <v>0</v>
      </c>
      <c r="S116" s="24">
        <f>IF($A116="","",Households!S116*Settings!$B$14)</f>
        <v>0</v>
      </c>
      <c r="T116" s="24">
        <f>IF($A116="","",SUMIFS(Assistance_Log!$F$5:$F$367,Assistance_Log!$C$5:$C$367,$A116,Assistance_Log!$E$5:$E$367,"Winter clothing – children",Assistance_Log!$B$5:$B$367,"&gt;="&amp;Households!F116))</f>
        <v>0</v>
      </c>
      <c r="U116" s="24">
        <f t="shared" si="41"/>
        <v>0</v>
      </c>
      <c r="V116" s="24">
        <f>IF($A116="","",Households!T116*Settings!$B$14)</f>
        <v>3</v>
      </c>
      <c r="W116" s="24">
        <f>IF($A116="","",SUMIFS(Assistance_Log!$F$5:$F$367,Assistance_Log!$C$5:$C$367,$A116,Assistance_Log!$E$5:$E$367,"Winter clothing – adults",Assistance_Log!$B$5:$B$367,"&gt;="&amp;Households!F116))</f>
        <v>3</v>
      </c>
      <c r="X116" s="24">
        <f t="shared" si="42"/>
        <v>0</v>
      </c>
      <c r="Y116" s="24">
        <f>IF($A116="","",Households!J116*Settings!$B$15)</f>
        <v>0</v>
      </c>
      <c r="Z116" s="24">
        <f>IF($A116="","",SUMIFS(Assistance_Log!$F$5:$F$367,Assistance_Log!$C$5:$C$367,$A116,Assistance_Log!$E$5:$E$367,"Diapers",Assistance_Log!$B$5:$B$367,"&gt;="&amp;Households!F116))</f>
        <v>0</v>
      </c>
      <c r="AA116" s="24">
        <f t="shared" si="43"/>
        <v>0</v>
      </c>
      <c r="AB116" s="24">
        <f>IF($A116="","",Settings!$B$16)</f>
        <v>1</v>
      </c>
      <c r="AC116" s="24">
        <f>IF($A116="","",SUMIFS(Assistance_Log!$F$5:$F$367,Assistance_Log!$C$5:$C$367,$A116,Assistance_Log!$E$5:$E$367,"Family hygiene kits",Assistance_Log!$B$5:$B$367,"&gt;="&amp;Households!F116))</f>
        <v>1</v>
      </c>
      <c r="AD116" s="24">
        <f t="shared" si="44"/>
        <v>0</v>
      </c>
      <c r="AE116" s="24">
        <f>IF($A116="","",Households!N116*Settings!$B$17)</f>
        <v>1</v>
      </c>
      <c r="AF116" s="24">
        <f>IF($A116="","",SUMIFS(Assistance_Log!$F$5:$F$367,Assistance_Log!$C$5:$C$367,$A116,Assistance_Log!$E$5:$E$367,"Menstrual hygiene kits",Assistance_Log!$B$5:$B$367,"&gt;="&amp;Households!F116))</f>
        <v>0</v>
      </c>
      <c r="AG116" s="24">
        <f t="shared" si="45"/>
        <v>1</v>
      </c>
      <c r="AH116" s="25" t="str">
        <f t="shared" si="46"/>
        <v>Yes</v>
      </c>
      <c r="AI116" s="24">
        <f t="shared" si="47"/>
        <v>3</v>
      </c>
    </row>
    <row r="117" spans="1:35" x14ac:dyDescent="0.3">
      <c r="A117" s="24" t="str">
        <f>IF(Households!A117="","",Households!A117)</f>
        <v>HH-113</v>
      </c>
      <c r="B117" s="24" t="str">
        <f>IF($A117="","",Households!B117)</f>
        <v>Site D – Collective Centre</v>
      </c>
      <c r="C117" s="24" t="str">
        <f>IF($A117="","",Households!X117)</f>
        <v>High</v>
      </c>
      <c r="D117" s="24">
        <f>IF($A117="","",MAX(0,Households!H117*Settings!$B$9-Households!Q117))</f>
        <v>3</v>
      </c>
      <c r="E117" s="24">
        <f>IF($A117="","",SUMIFS(Assistance_Log!$F$5:$F$367,Assistance_Log!$C$5:$C$367,$A117,Assistance_Log!$E$5:$E$367,"Blankets",Assistance_Log!$B$5:$B$367,"&gt;="&amp;Households!F117))</f>
        <v>0</v>
      </c>
      <c r="F117" s="25">
        <f t="shared" si="36"/>
        <v>3</v>
      </c>
      <c r="G117" s="24">
        <f>IF($A117="","",MAX(0,Households!H117*Settings!$B$10-Households!R117))</f>
        <v>4</v>
      </c>
      <c r="H117" s="24">
        <f>IF($A117="","",SUMIFS(Assistance_Log!$F$5:$F$367,Assistance_Log!$C$5:$C$367,$A117,Assistance_Log!$E$5:$E$367,"Mattresses",Assistance_Log!$B$5:$B$367,"&gt;="&amp;Households!F117))</f>
        <v>0</v>
      </c>
      <c r="I117" s="25">
        <f t="shared" si="37"/>
        <v>4</v>
      </c>
      <c r="J117" s="24">
        <f>IF($A117="","",IF(AND(OR(Households!C117="Tent",Households!C117="Makeshift shelter"),Households!D117="Damaged"),Settings!$B$11,0))</f>
        <v>0</v>
      </c>
      <c r="K117" s="24">
        <f>IF($A117="","",SUMIFS(Assistance_Log!$F$5:$F$367,Assistance_Log!$C$5:$C$367,$A117,Assistance_Log!$E$5:$E$367,"Tarpaulins",Assistance_Log!$B$5:$B$367,"&gt;="&amp;Households!F117))</f>
        <v>0</v>
      </c>
      <c r="L117" s="25">
        <f t="shared" si="38"/>
        <v>0</v>
      </c>
      <c r="M117" s="24">
        <f>IF($A117="","",IF(AND(OR(Households!C117="Tent",Households!C117="Makeshift shelter"),Households!D117="Unusable"),Settings!$B$12,0))</f>
        <v>0</v>
      </c>
      <c r="N117" s="24">
        <f>IF($A117="","",SUMIFS(Assistance_Log!$F$5:$F$367,Assistance_Log!$C$5:$C$367,$A117,Assistance_Log!$E$5:$E$367,"Tent replacement",Assistance_Log!$B$5:$B$367,"&gt;="&amp;Households!F117))</f>
        <v>0</v>
      </c>
      <c r="O117" s="25">
        <f t="shared" si="39"/>
        <v>0</v>
      </c>
      <c r="P117" s="24">
        <f>IF($A117="","",IF(Households!D117="Damaged",Settings!$B$13,0))</f>
        <v>0</v>
      </c>
      <c r="Q117" s="24">
        <f>IF($A117="","",SUMIFS(Assistance_Log!$F$5:$F$367,Assistance_Log!$C$5:$C$367,$A117,Assistance_Log!$E$5:$E$367,"Shelter repair kits",Assistance_Log!$B$5:$B$367,"&gt;="&amp;Households!F117))</f>
        <v>0</v>
      </c>
      <c r="R117" s="24">
        <f t="shared" si="40"/>
        <v>0</v>
      </c>
      <c r="S117" s="24">
        <f>IF($A117="","",Households!S117*Settings!$B$14)</f>
        <v>1</v>
      </c>
      <c r="T117" s="24">
        <f>IF($A117="","",SUMIFS(Assistance_Log!$F$5:$F$367,Assistance_Log!$C$5:$C$367,$A117,Assistance_Log!$E$5:$E$367,"Winter clothing – children",Assistance_Log!$B$5:$B$367,"&gt;="&amp;Households!F117))</f>
        <v>0</v>
      </c>
      <c r="U117" s="24">
        <f t="shared" si="41"/>
        <v>1</v>
      </c>
      <c r="V117" s="24">
        <f>IF($A117="","",Households!T117*Settings!$B$14)</f>
        <v>3</v>
      </c>
      <c r="W117" s="24">
        <f>IF($A117="","",SUMIFS(Assistance_Log!$F$5:$F$367,Assistance_Log!$C$5:$C$367,$A117,Assistance_Log!$E$5:$E$367,"Winter clothing – adults",Assistance_Log!$B$5:$B$367,"&gt;="&amp;Households!F117))</f>
        <v>0</v>
      </c>
      <c r="X117" s="24">
        <f t="shared" si="42"/>
        <v>3</v>
      </c>
      <c r="Y117" s="24">
        <f>IF($A117="","",Households!J117*Settings!$B$15)</f>
        <v>4</v>
      </c>
      <c r="Z117" s="24">
        <f>IF($A117="","",SUMIFS(Assistance_Log!$F$5:$F$367,Assistance_Log!$C$5:$C$367,$A117,Assistance_Log!$E$5:$E$367,"Diapers",Assistance_Log!$B$5:$B$367,"&gt;="&amp;Households!F117))</f>
        <v>0</v>
      </c>
      <c r="AA117" s="24">
        <f t="shared" si="43"/>
        <v>4</v>
      </c>
      <c r="AB117" s="24">
        <f>IF($A117="","",Settings!$B$16)</f>
        <v>1</v>
      </c>
      <c r="AC117" s="24">
        <f>IF($A117="","",SUMIFS(Assistance_Log!$F$5:$F$367,Assistance_Log!$C$5:$C$367,$A117,Assistance_Log!$E$5:$E$367,"Family hygiene kits",Assistance_Log!$B$5:$B$367,"&gt;="&amp;Households!F117))</f>
        <v>1</v>
      </c>
      <c r="AD117" s="24">
        <f t="shared" si="44"/>
        <v>0</v>
      </c>
      <c r="AE117" s="24">
        <f>IF($A117="","",Households!N117*Settings!$B$17)</f>
        <v>2</v>
      </c>
      <c r="AF117" s="24">
        <f>IF($A117="","",SUMIFS(Assistance_Log!$F$5:$F$367,Assistance_Log!$C$5:$C$367,$A117,Assistance_Log!$E$5:$E$367,"Menstrual hygiene kits",Assistance_Log!$B$5:$B$367,"&gt;="&amp;Households!F117))</f>
        <v>2</v>
      </c>
      <c r="AG117" s="24">
        <f t="shared" si="45"/>
        <v>0</v>
      </c>
      <c r="AH117" s="25" t="str">
        <f t="shared" si="46"/>
        <v>Yes</v>
      </c>
      <c r="AI117" s="24">
        <f t="shared" si="47"/>
        <v>5</v>
      </c>
    </row>
    <row r="118" spans="1:35" x14ac:dyDescent="0.3">
      <c r="A118" s="24" t="str">
        <f>IF(Households!A118="","",Households!A118)</f>
        <v>HH-114</v>
      </c>
      <c r="B118" s="24" t="str">
        <f>IF($A118="","",Households!B118)</f>
        <v>Site D – Collective Centre</v>
      </c>
      <c r="C118" s="24" t="str">
        <f>IF($A118="","",Households!X118)</f>
        <v>Low</v>
      </c>
      <c r="D118" s="24">
        <f>IF($A118="","",MAX(0,Households!H118*Settings!$B$9-Households!Q118))</f>
        <v>3</v>
      </c>
      <c r="E118" s="24">
        <f>IF($A118="","",SUMIFS(Assistance_Log!$F$5:$F$367,Assistance_Log!$C$5:$C$367,$A118,Assistance_Log!$E$5:$E$367,"Blankets",Assistance_Log!$B$5:$B$367,"&gt;="&amp;Households!F118))</f>
        <v>0</v>
      </c>
      <c r="F118" s="25">
        <f t="shared" si="36"/>
        <v>3</v>
      </c>
      <c r="G118" s="24">
        <f>IF($A118="","",MAX(0,Households!H118*Settings!$B$10-Households!R118))</f>
        <v>2</v>
      </c>
      <c r="H118" s="24">
        <f>IF($A118="","",SUMIFS(Assistance_Log!$F$5:$F$367,Assistance_Log!$C$5:$C$367,$A118,Assistance_Log!$E$5:$E$367,"Mattresses",Assistance_Log!$B$5:$B$367,"&gt;="&amp;Households!F118))</f>
        <v>0</v>
      </c>
      <c r="I118" s="25">
        <f t="shared" si="37"/>
        <v>2</v>
      </c>
      <c r="J118" s="24">
        <f>IF($A118="","",IF(AND(OR(Households!C118="Tent",Households!C118="Makeshift shelter"),Households!D118="Damaged"),Settings!$B$11,0))</f>
        <v>0</v>
      </c>
      <c r="K118" s="24">
        <f>IF($A118="","",SUMIFS(Assistance_Log!$F$5:$F$367,Assistance_Log!$C$5:$C$367,$A118,Assistance_Log!$E$5:$E$367,"Tarpaulins",Assistance_Log!$B$5:$B$367,"&gt;="&amp;Households!F118))</f>
        <v>0</v>
      </c>
      <c r="L118" s="25">
        <f t="shared" si="38"/>
        <v>0</v>
      </c>
      <c r="M118" s="24">
        <f>IF($A118="","",IF(AND(OR(Households!C118="Tent",Households!C118="Makeshift shelter"),Households!D118="Unusable"),Settings!$B$12,0))</f>
        <v>0</v>
      </c>
      <c r="N118" s="24">
        <f>IF($A118="","",SUMIFS(Assistance_Log!$F$5:$F$367,Assistance_Log!$C$5:$C$367,$A118,Assistance_Log!$E$5:$E$367,"Tent replacement",Assistance_Log!$B$5:$B$367,"&gt;="&amp;Households!F118))</f>
        <v>0</v>
      </c>
      <c r="O118" s="25">
        <f t="shared" si="39"/>
        <v>0</v>
      </c>
      <c r="P118" s="24">
        <f>IF($A118="","",IF(Households!D118="Damaged",Settings!$B$13,0))</f>
        <v>1</v>
      </c>
      <c r="Q118" s="24">
        <f>IF($A118="","",SUMIFS(Assistance_Log!$F$5:$F$367,Assistance_Log!$C$5:$C$367,$A118,Assistance_Log!$E$5:$E$367,"Shelter repair kits",Assistance_Log!$B$5:$B$367,"&gt;="&amp;Households!F118))</f>
        <v>0</v>
      </c>
      <c r="R118" s="24">
        <f t="shared" si="40"/>
        <v>1</v>
      </c>
      <c r="S118" s="24">
        <f>IF($A118="","",Households!S118*Settings!$B$14)</f>
        <v>0</v>
      </c>
      <c r="T118" s="24">
        <f>IF($A118="","",SUMIFS(Assistance_Log!$F$5:$F$367,Assistance_Log!$C$5:$C$367,$A118,Assistance_Log!$E$5:$E$367,"Winter clothing – children",Assistance_Log!$B$5:$B$367,"&gt;="&amp;Households!F118))</f>
        <v>0</v>
      </c>
      <c r="U118" s="24">
        <f t="shared" si="41"/>
        <v>0</v>
      </c>
      <c r="V118" s="24">
        <f>IF($A118="","",Households!T118*Settings!$B$14)</f>
        <v>3</v>
      </c>
      <c r="W118" s="24">
        <f>IF($A118="","",SUMIFS(Assistance_Log!$F$5:$F$367,Assistance_Log!$C$5:$C$367,$A118,Assistance_Log!$E$5:$E$367,"Winter clothing – adults",Assistance_Log!$B$5:$B$367,"&gt;="&amp;Households!F118))</f>
        <v>0</v>
      </c>
      <c r="X118" s="24">
        <f t="shared" si="42"/>
        <v>3</v>
      </c>
      <c r="Y118" s="24">
        <f>IF($A118="","",Households!J118*Settings!$B$15)</f>
        <v>0</v>
      </c>
      <c r="Z118" s="24">
        <f>IF($A118="","",SUMIFS(Assistance_Log!$F$5:$F$367,Assistance_Log!$C$5:$C$367,$A118,Assistance_Log!$E$5:$E$367,"Diapers",Assistance_Log!$B$5:$B$367,"&gt;="&amp;Households!F118))</f>
        <v>0</v>
      </c>
      <c r="AA118" s="24">
        <f t="shared" si="43"/>
        <v>0</v>
      </c>
      <c r="AB118" s="24">
        <f>IF($A118="","",Settings!$B$16)</f>
        <v>1</v>
      </c>
      <c r="AC118" s="24">
        <f>IF($A118="","",SUMIFS(Assistance_Log!$F$5:$F$367,Assistance_Log!$C$5:$C$367,$A118,Assistance_Log!$E$5:$E$367,"Family hygiene kits",Assistance_Log!$B$5:$B$367,"&gt;="&amp;Households!F118))</f>
        <v>0</v>
      </c>
      <c r="AD118" s="24">
        <f t="shared" si="44"/>
        <v>1</v>
      </c>
      <c r="AE118" s="24">
        <f>IF($A118="","",Households!N118*Settings!$B$17)</f>
        <v>2</v>
      </c>
      <c r="AF118" s="24">
        <f>IF($A118="","",SUMIFS(Assistance_Log!$F$5:$F$367,Assistance_Log!$C$5:$C$367,$A118,Assistance_Log!$E$5:$E$367,"Menstrual hygiene kits",Assistance_Log!$B$5:$B$367,"&gt;="&amp;Households!F118))</f>
        <v>0</v>
      </c>
      <c r="AG118" s="24">
        <f t="shared" si="45"/>
        <v>2</v>
      </c>
      <c r="AH118" s="25" t="str">
        <f t="shared" si="46"/>
        <v>Yes</v>
      </c>
      <c r="AI118" s="24">
        <f t="shared" si="47"/>
        <v>6</v>
      </c>
    </row>
    <row r="119" spans="1:35" x14ac:dyDescent="0.3">
      <c r="A119" s="24" t="str">
        <f>IF(Households!A119="","",Households!A119)</f>
        <v>HH-115</v>
      </c>
      <c r="B119" s="24" t="str">
        <f>IF($A119="","",Households!B119)</f>
        <v>Site D – Collective Centre</v>
      </c>
      <c r="C119" s="24" t="str">
        <f>IF($A119="","",Households!X119)</f>
        <v>Low</v>
      </c>
      <c r="D119" s="24">
        <f>IF($A119="","",MAX(0,Households!H119*Settings!$B$9-Households!Q119))</f>
        <v>4</v>
      </c>
      <c r="E119" s="24">
        <f>IF($A119="","",SUMIFS(Assistance_Log!$F$5:$F$367,Assistance_Log!$C$5:$C$367,$A119,Assistance_Log!$E$5:$E$367,"Blankets",Assistance_Log!$B$5:$B$367,"&gt;="&amp;Households!F119))</f>
        <v>0</v>
      </c>
      <c r="F119" s="25">
        <f t="shared" si="36"/>
        <v>4</v>
      </c>
      <c r="G119" s="24">
        <f>IF($A119="","",MAX(0,Households!H119*Settings!$B$10-Households!R119))</f>
        <v>2</v>
      </c>
      <c r="H119" s="24">
        <f>IF($A119="","",SUMIFS(Assistance_Log!$F$5:$F$367,Assistance_Log!$C$5:$C$367,$A119,Assistance_Log!$E$5:$E$367,"Mattresses",Assistance_Log!$B$5:$B$367,"&gt;="&amp;Households!F119))</f>
        <v>0</v>
      </c>
      <c r="I119" s="25">
        <f t="shared" si="37"/>
        <v>2</v>
      </c>
      <c r="J119" s="24">
        <f>IF($A119="","",IF(AND(OR(Households!C119="Tent",Households!C119="Makeshift shelter"),Households!D119="Damaged"),Settings!$B$11,0))</f>
        <v>0</v>
      </c>
      <c r="K119" s="24">
        <f>IF($A119="","",SUMIFS(Assistance_Log!$F$5:$F$367,Assistance_Log!$C$5:$C$367,$A119,Assistance_Log!$E$5:$E$367,"Tarpaulins",Assistance_Log!$B$5:$B$367,"&gt;="&amp;Households!F119))</f>
        <v>0</v>
      </c>
      <c r="L119" s="25">
        <f t="shared" si="38"/>
        <v>0</v>
      </c>
      <c r="M119" s="24">
        <f>IF($A119="","",IF(AND(OR(Households!C119="Tent",Households!C119="Makeshift shelter"),Households!D119="Unusable"),Settings!$B$12,0))</f>
        <v>0</v>
      </c>
      <c r="N119" s="24">
        <f>IF($A119="","",SUMIFS(Assistance_Log!$F$5:$F$367,Assistance_Log!$C$5:$C$367,$A119,Assistance_Log!$E$5:$E$367,"Tent replacement",Assistance_Log!$B$5:$B$367,"&gt;="&amp;Households!F119))</f>
        <v>0</v>
      </c>
      <c r="O119" s="25">
        <f t="shared" si="39"/>
        <v>0</v>
      </c>
      <c r="P119" s="24">
        <f>IF($A119="","",IF(Households!D119="Damaged",Settings!$B$13,0))</f>
        <v>0</v>
      </c>
      <c r="Q119" s="24">
        <f>IF($A119="","",SUMIFS(Assistance_Log!$F$5:$F$367,Assistance_Log!$C$5:$C$367,$A119,Assistance_Log!$E$5:$E$367,"Shelter repair kits",Assistance_Log!$B$5:$B$367,"&gt;="&amp;Households!F119))</f>
        <v>0</v>
      </c>
      <c r="R119" s="24">
        <f t="shared" si="40"/>
        <v>0</v>
      </c>
      <c r="S119" s="24">
        <f>IF($A119="","",Households!S119*Settings!$B$14)</f>
        <v>0</v>
      </c>
      <c r="T119" s="24">
        <f>IF($A119="","",SUMIFS(Assistance_Log!$F$5:$F$367,Assistance_Log!$C$5:$C$367,$A119,Assistance_Log!$E$5:$E$367,"Winter clothing – children",Assistance_Log!$B$5:$B$367,"&gt;="&amp;Households!F119))</f>
        <v>0</v>
      </c>
      <c r="U119" s="24">
        <f t="shared" si="41"/>
        <v>0</v>
      </c>
      <c r="V119" s="24">
        <f>IF($A119="","",Households!T119*Settings!$B$14)</f>
        <v>0</v>
      </c>
      <c r="W119" s="24">
        <f>IF($A119="","",SUMIFS(Assistance_Log!$F$5:$F$367,Assistance_Log!$C$5:$C$367,$A119,Assistance_Log!$E$5:$E$367,"Winter clothing – adults",Assistance_Log!$B$5:$B$367,"&gt;="&amp;Households!F119))</f>
        <v>0</v>
      </c>
      <c r="X119" s="24">
        <f t="shared" si="42"/>
        <v>0</v>
      </c>
      <c r="Y119" s="24">
        <f>IF($A119="","",Households!J119*Settings!$B$15)</f>
        <v>0</v>
      </c>
      <c r="Z119" s="24">
        <f>IF($A119="","",SUMIFS(Assistance_Log!$F$5:$F$367,Assistance_Log!$C$5:$C$367,$A119,Assistance_Log!$E$5:$E$367,"Diapers",Assistance_Log!$B$5:$B$367,"&gt;="&amp;Households!F119))</f>
        <v>0</v>
      </c>
      <c r="AA119" s="24">
        <f t="shared" si="43"/>
        <v>0</v>
      </c>
      <c r="AB119" s="24">
        <f>IF($A119="","",Settings!$B$16)</f>
        <v>1</v>
      </c>
      <c r="AC119" s="24">
        <f>IF($A119="","",SUMIFS(Assistance_Log!$F$5:$F$367,Assistance_Log!$C$5:$C$367,$A119,Assistance_Log!$E$5:$E$367,"Family hygiene kits",Assistance_Log!$B$5:$B$367,"&gt;="&amp;Households!F119))</f>
        <v>1</v>
      </c>
      <c r="AD119" s="24">
        <f t="shared" si="44"/>
        <v>0</v>
      </c>
      <c r="AE119" s="24">
        <f>IF($A119="","",Households!N119*Settings!$B$17)</f>
        <v>2</v>
      </c>
      <c r="AF119" s="24">
        <f>IF($A119="","",SUMIFS(Assistance_Log!$F$5:$F$367,Assistance_Log!$C$5:$C$367,$A119,Assistance_Log!$E$5:$E$367,"Menstrual hygiene kits",Assistance_Log!$B$5:$B$367,"&gt;="&amp;Households!F119))</f>
        <v>0</v>
      </c>
      <c r="AG119" s="24">
        <f t="shared" si="45"/>
        <v>2</v>
      </c>
      <c r="AH119" s="25" t="str">
        <f t="shared" si="46"/>
        <v>Yes</v>
      </c>
      <c r="AI119" s="24">
        <f t="shared" si="47"/>
        <v>3</v>
      </c>
    </row>
    <row r="120" spans="1:35" x14ac:dyDescent="0.3">
      <c r="A120" s="24" t="str">
        <f>IF(Households!A120="","",Households!A120)</f>
        <v>HH-116</v>
      </c>
      <c r="B120" s="24" t="str">
        <f>IF($A120="","",Households!B120)</f>
        <v>Site D – Collective Centre</v>
      </c>
      <c r="C120" s="24" t="str">
        <f>IF($A120="","",Households!X120)</f>
        <v>Low</v>
      </c>
      <c r="D120" s="24">
        <f>IF($A120="","",MAX(0,Households!H120*Settings!$B$9-Households!Q120))</f>
        <v>10</v>
      </c>
      <c r="E120" s="24">
        <f>IF($A120="","",SUMIFS(Assistance_Log!$F$5:$F$367,Assistance_Log!$C$5:$C$367,$A120,Assistance_Log!$E$5:$E$367,"Blankets",Assistance_Log!$B$5:$B$367,"&gt;="&amp;Households!F120))</f>
        <v>10</v>
      </c>
      <c r="F120" s="25">
        <f t="shared" si="36"/>
        <v>0</v>
      </c>
      <c r="G120" s="24">
        <f>IF($A120="","",MAX(0,Households!H120*Settings!$B$10-Households!R120))</f>
        <v>0</v>
      </c>
      <c r="H120" s="24">
        <f>IF($A120="","",SUMIFS(Assistance_Log!$F$5:$F$367,Assistance_Log!$C$5:$C$367,$A120,Assistance_Log!$E$5:$E$367,"Mattresses",Assistance_Log!$B$5:$B$367,"&gt;="&amp;Households!F120))</f>
        <v>0</v>
      </c>
      <c r="I120" s="25">
        <f t="shared" si="37"/>
        <v>0</v>
      </c>
      <c r="J120" s="24">
        <f>IF($A120="","",IF(AND(OR(Households!C120="Tent",Households!C120="Makeshift shelter"),Households!D120="Damaged"),Settings!$B$11,0))</f>
        <v>0</v>
      </c>
      <c r="K120" s="24">
        <f>IF($A120="","",SUMIFS(Assistance_Log!$F$5:$F$367,Assistance_Log!$C$5:$C$367,$A120,Assistance_Log!$E$5:$E$367,"Tarpaulins",Assistance_Log!$B$5:$B$367,"&gt;="&amp;Households!F120))</f>
        <v>0</v>
      </c>
      <c r="L120" s="25">
        <f t="shared" si="38"/>
        <v>0</v>
      </c>
      <c r="M120" s="24">
        <f>IF($A120="","",IF(AND(OR(Households!C120="Tent",Households!C120="Makeshift shelter"),Households!D120="Unusable"),Settings!$B$12,0))</f>
        <v>0</v>
      </c>
      <c r="N120" s="24">
        <f>IF($A120="","",SUMIFS(Assistance_Log!$F$5:$F$367,Assistance_Log!$C$5:$C$367,$A120,Assistance_Log!$E$5:$E$367,"Tent replacement",Assistance_Log!$B$5:$B$367,"&gt;="&amp;Households!F120))</f>
        <v>0</v>
      </c>
      <c r="O120" s="25">
        <f t="shared" si="39"/>
        <v>0</v>
      </c>
      <c r="P120" s="24">
        <f>IF($A120="","",IF(Households!D120="Damaged",Settings!$B$13,0))</f>
        <v>0</v>
      </c>
      <c r="Q120" s="24">
        <f>IF($A120="","",SUMIFS(Assistance_Log!$F$5:$F$367,Assistance_Log!$C$5:$C$367,$A120,Assistance_Log!$E$5:$E$367,"Shelter repair kits",Assistance_Log!$B$5:$B$367,"&gt;="&amp;Households!F120))</f>
        <v>0</v>
      </c>
      <c r="R120" s="24">
        <f t="shared" si="40"/>
        <v>0</v>
      </c>
      <c r="S120" s="24">
        <f>IF($A120="","",Households!S120*Settings!$B$14)</f>
        <v>0</v>
      </c>
      <c r="T120" s="24">
        <f>IF($A120="","",SUMIFS(Assistance_Log!$F$5:$F$367,Assistance_Log!$C$5:$C$367,$A120,Assistance_Log!$E$5:$E$367,"Winter clothing – children",Assistance_Log!$B$5:$B$367,"&gt;="&amp;Households!F120))</f>
        <v>0</v>
      </c>
      <c r="U120" s="24">
        <f t="shared" si="41"/>
        <v>0</v>
      </c>
      <c r="V120" s="24">
        <f>IF($A120="","",Households!T120*Settings!$B$14)</f>
        <v>0</v>
      </c>
      <c r="W120" s="24">
        <f>IF($A120="","",SUMIFS(Assistance_Log!$F$5:$F$367,Assistance_Log!$C$5:$C$367,$A120,Assistance_Log!$E$5:$E$367,"Winter clothing – adults",Assistance_Log!$B$5:$B$367,"&gt;="&amp;Households!F120))</f>
        <v>0</v>
      </c>
      <c r="X120" s="24">
        <f t="shared" si="42"/>
        <v>0</v>
      </c>
      <c r="Y120" s="24">
        <f>IF($A120="","",Households!J120*Settings!$B$15)</f>
        <v>0</v>
      </c>
      <c r="Z120" s="24">
        <f>IF($A120="","",SUMIFS(Assistance_Log!$F$5:$F$367,Assistance_Log!$C$5:$C$367,$A120,Assistance_Log!$E$5:$E$367,"Diapers",Assistance_Log!$B$5:$B$367,"&gt;="&amp;Households!F120))</f>
        <v>0</v>
      </c>
      <c r="AA120" s="24">
        <f t="shared" si="43"/>
        <v>0</v>
      </c>
      <c r="AB120" s="24">
        <f>IF($A120="","",Settings!$B$16)</f>
        <v>1</v>
      </c>
      <c r="AC120" s="24">
        <f>IF($A120="","",SUMIFS(Assistance_Log!$F$5:$F$367,Assistance_Log!$C$5:$C$367,$A120,Assistance_Log!$E$5:$E$367,"Family hygiene kits",Assistance_Log!$B$5:$B$367,"&gt;="&amp;Households!F120))</f>
        <v>1</v>
      </c>
      <c r="AD120" s="24">
        <f t="shared" si="44"/>
        <v>0</v>
      </c>
      <c r="AE120" s="24">
        <f>IF($A120="","",Households!N120*Settings!$B$17)</f>
        <v>2</v>
      </c>
      <c r="AF120" s="24">
        <f>IF($A120="","",SUMIFS(Assistance_Log!$F$5:$F$367,Assistance_Log!$C$5:$C$367,$A120,Assistance_Log!$E$5:$E$367,"Menstrual hygiene kits",Assistance_Log!$B$5:$B$367,"&gt;="&amp;Households!F120))</f>
        <v>2</v>
      </c>
      <c r="AG120" s="24">
        <f t="shared" si="45"/>
        <v>0</v>
      </c>
      <c r="AH120" s="25" t="str">
        <f t="shared" si="46"/>
        <v>No</v>
      </c>
      <c r="AI120" s="24">
        <f t="shared" si="47"/>
        <v>0</v>
      </c>
    </row>
    <row r="121" spans="1:35" x14ac:dyDescent="0.3">
      <c r="A121" s="24" t="str">
        <f>IF(Households!A121="","",Households!A121)</f>
        <v>HH-117</v>
      </c>
      <c r="B121" s="24" t="str">
        <f>IF($A121="","",Households!B121)</f>
        <v>Site D – Collective Centre</v>
      </c>
      <c r="C121" s="24" t="str">
        <f>IF($A121="","",Households!X121)</f>
        <v>Low</v>
      </c>
      <c r="D121" s="24">
        <f>IF($A121="","",MAX(0,Households!H121*Settings!$B$9-Households!Q121))</f>
        <v>3</v>
      </c>
      <c r="E121" s="24">
        <f>IF($A121="","",SUMIFS(Assistance_Log!$F$5:$F$367,Assistance_Log!$C$5:$C$367,$A121,Assistance_Log!$E$5:$E$367,"Blankets",Assistance_Log!$B$5:$B$367,"&gt;="&amp;Households!F121))</f>
        <v>0</v>
      </c>
      <c r="F121" s="25">
        <f t="shared" si="36"/>
        <v>3</v>
      </c>
      <c r="G121" s="24">
        <f>IF($A121="","",MAX(0,Households!H121*Settings!$B$10-Households!R121))</f>
        <v>2</v>
      </c>
      <c r="H121" s="24">
        <f>IF($A121="","",SUMIFS(Assistance_Log!$F$5:$F$367,Assistance_Log!$C$5:$C$367,$A121,Assistance_Log!$E$5:$E$367,"Mattresses",Assistance_Log!$B$5:$B$367,"&gt;="&amp;Households!F121))</f>
        <v>0</v>
      </c>
      <c r="I121" s="25">
        <f t="shared" si="37"/>
        <v>2</v>
      </c>
      <c r="J121" s="24">
        <f>IF($A121="","",IF(AND(OR(Households!C121="Tent",Households!C121="Makeshift shelter"),Households!D121="Damaged"),Settings!$B$11,0))</f>
        <v>0</v>
      </c>
      <c r="K121" s="24">
        <f>IF($A121="","",SUMIFS(Assistance_Log!$F$5:$F$367,Assistance_Log!$C$5:$C$367,$A121,Assistance_Log!$E$5:$E$367,"Tarpaulins",Assistance_Log!$B$5:$B$367,"&gt;="&amp;Households!F121))</f>
        <v>0</v>
      </c>
      <c r="L121" s="25">
        <f t="shared" si="38"/>
        <v>0</v>
      </c>
      <c r="M121" s="24">
        <f>IF($A121="","",IF(AND(OR(Households!C121="Tent",Households!C121="Makeshift shelter"),Households!D121="Unusable"),Settings!$B$12,0))</f>
        <v>0</v>
      </c>
      <c r="N121" s="24">
        <f>IF($A121="","",SUMIFS(Assistance_Log!$F$5:$F$367,Assistance_Log!$C$5:$C$367,$A121,Assistance_Log!$E$5:$E$367,"Tent replacement",Assistance_Log!$B$5:$B$367,"&gt;="&amp;Households!F121))</f>
        <v>0</v>
      </c>
      <c r="O121" s="25">
        <f t="shared" si="39"/>
        <v>0</v>
      </c>
      <c r="P121" s="24">
        <f>IF($A121="","",IF(Households!D121="Damaged",Settings!$B$13,0))</f>
        <v>0</v>
      </c>
      <c r="Q121" s="24">
        <f>IF($A121="","",SUMIFS(Assistance_Log!$F$5:$F$367,Assistance_Log!$C$5:$C$367,$A121,Assistance_Log!$E$5:$E$367,"Shelter repair kits",Assistance_Log!$B$5:$B$367,"&gt;="&amp;Households!F121))</f>
        <v>0</v>
      </c>
      <c r="R121" s="24">
        <f t="shared" si="40"/>
        <v>0</v>
      </c>
      <c r="S121" s="24">
        <f>IF($A121="","",Households!S121*Settings!$B$14)</f>
        <v>2</v>
      </c>
      <c r="T121" s="24">
        <f>IF($A121="","",SUMIFS(Assistance_Log!$F$5:$F$367,Assistance_Log!$C$5:$C$367,$A121,Assistance_Log!$E$5:$E$367,"Winter clothing – children",Assistance_Log!$B$5:$B$367,"&gt;="&amp;Households!F121))</f>
        <v>0</v>
      </c>
      <c r="U121" s="24">
        <f t="shared" si="41"/>
        <v>2</v>
      </c>
      <c r="V121" s="24">
        <f>IF($A121="","",Households!T121*Settings!$B$14)</f>
        <v>1</v>
      </c>
      <c r="W121" s="24">
        <f>IF($A121="","",SUMIFS(Assistance_Log!$F$5:$F$367,Assistance_Log!$C$5:$C$367,$A121,Assistance_Log!$E$5:$E$367,"Winter clothing – adults",Assistance_Log!$B$5:$B$367,"&gt;="&amp;Households!F121))</f>
        <v>1</v>
      </c>
      <c r="X121" s="24">
        <f t="shared" si="42"/>
        <v>0</v>
      </c>
      <c r="Y121" s="24">
        <f>IF($A121="","",Households!J121*Settings!$B$15)</f>
        <v>0</v>
      </c>
      <c r="Z121" s="24">
        <f>IF($A121="","",SUMIFS(Assistance_Log!$F$5:$F$367,Assistance_Log!$C$5:$C$367,$A121,Assistance_Log!$E$5:$E$367,"Diapers",Assistance_Log!$B$5:$B$367,"&gt;="&amp;Households!F121))</f>
        <v>0</v>
      </c>
      <c r="AA121" s="24">
        <f t="shared" si="43"/>
        <v>0</v>
      </c>
      <c r="AB121" s="24">
        <f>IF($A121="","",Settings!$B$16)</f>
        <v>1</v>
      </c>
      <c r="AC121" s="24">
        <f>IF($A121="","",SUMIFS(Assistance_Log!$F$5:$F$367,Assistance_Log!$C$5:$C$367,$A121,Assistance_Log!$E$5:$E$367,"Family hygiene kits",Assistance_Log!$B$5:$B$367,"&gt;="&amp;Households!F121))</f>
        <v>1</v>
      </c>
      <c r="AD121" s="24">
        <f t="shared" si="44"/>
        <v>0</v>
      </c>
      <c r="AE121" s="24">
        <f>IF($A121="","",Households!N121*Settings!$B$17)</f>
        <v>2</v>
      </c>
      <c r="AF121" s="24">
        <f>IF($A121="","",SUMIFS(Assistance_Log!$F$5:$F$367,Assistance_Log!$C$5:$C$367,$A121,Assistance_Log!$E$5:$E$367,"Menstrual hygiene kits",Assistance_Log!$B$5:$B$367,"&gt;="&amp;Households!F121))</f>
        <v>0</v>
      </c>
      <c r="AG121" s="24">
        <f t="shared" si="45"/>
        <v>2</v>
      </c>
      <c r="AH121" s="25" t="str">
        <f t="shared" si="46"/>
        <v>Yes</v>
      </c>
      <c r="AI121" s="24">
        <f t="shared" si="47"/>
        <v>4</v>
      </c>
    </row>
    <row r="122" spans="1:35" x14ac:dyDescent="0.3">
      <c r="A122" s="24" t="str">
        <f>IF(Households!A122="","",Households!A122)</f>
        <v>HH-118</v>
      </c>
      <c r="B122" s="24" t="str">
        <f>IF($A122="","",Households!B122)</f>
        <v>Site D – Collective Centre</v>
      </c>
      <c r="C122" s="24" t="str">
        <f>IF($A122="","",Households!X122)</f>
        <v>Medium</v>
      </c>
      <c r="D122" s="24">
        <f>IF($A122="","",MAX(0,Households!H122*Settings!$B$9-Households!Q122))</f>
        <v>5</v>
      </c>
      <c r="E122" s="24">
        <f>IF($A122="","",SUMIFS(Assistance_Log!$F$5:$F$367,Assistance_Log!$C$5:$C$367,$A122,Assistance_Log!$E$5:$E$367,"Blankets",Assistance_Log!$B$5:$B$367,"&gt;="&amp;Households!F122))</f>
        <v>0</v>
      </c>
      <c r="F122" s="25">
        <f t="shared" si="36"/>
        <v>5</v>
      </c>
      <c r="G122" s="24">
        <f>IF($A122="","",MAX(0,Households!H122*Settings!$B$10-Households!R122))</f>
        <v>1</v>
      </c>
      <c r="H122" s="24">
        <f>IF($A122="","",SUMIFS(Assistance_Log!$F$5:$F$367,Assistance_Log!$C$5:$C$367,$A122,Assistance_Log!$E$5:$E$367,"Mattresses",Assistance_Log!$B$5:$B$367,"&gt;="&amp;Households!F122))</f>
        <v>0</v>
      </c>
      <c r="I122" s="25">
        <f t="shared" si="37"/>
        <v>1</v>
      </c>
      <c r="J122" s="24">
        <f>IF($A122="","",IF(AND(OR(Households!C122="Tent",Households!C122="Makeshift shelter"),Households!D122="Damaged"),Settings!$B$11,0))</f>
        <v>0</v>
      </c>
      <c r="K122" s="24">
        <f>IF($A122="","",SUMIFS(Assistance_Log!$F$5:$F$367,Assistance_Log!$C$5:$C$367,$A122,Assistance_Log!$E$5:$E$367,"Tarpaulins",Assistance_Log!$B$5:$B$367,"&gt;="&amp;Households!F122))</f>
        <v>0</v>
      </c>
      <c r="L122" s="25">
        <f t="shared" si="38"/>
        <v>0</v>
      </c>
      <c r="M122" s="24">
        <f>IF($A122="","",IF(AND(OR(Households!C122="Tent",Households!C122="Makeshift shelter"),Households!D122="Unusable"),Settings!$B$12,0))</f>
        <v>0</v>
      </c>
      <c r="N122" s="24">
        <f>IF($A122="","",SUMIFS(Assistance_Log!$F$5:$F$367,Assistance_Log!$C$5:$C$367,$A122,Assistance_Log!$E$5:$E$367,"Tent replacement",Assistance_Log!$B$5:$B$367,"&gt;="&amp;Households!F122))</f>
        <v>0</v>
      </c>
      <c r="O122" s="25">
        <f t="shared" si="39"/>
        <v>0</v>
      </c>
      <c r="P122" s="24">
        <f>IF($A122="","",IF(Households!D122="Damaged",Settings!$B$13,0))</f>
        <v>0</v>
      </c>
      <c r="Q122" s="24">
        <f>IF($A122="","",SUMIFS(Assistance_Log!$F$5:$F$367,Assistance_Log!$C$5:$C$367,$A122,Assistance_Log!$E$5:$E$367,"Shelter repair kits",Assistance_Log!$B$5:$B$367,"&gt;="&amp;Households!F122))</f>
        <v>0</v>
      </c>
      <c r="R122" s="24">
        <f t="shared" si="40"/>
        <v>0</v>
      </c>
      <c r="S122" s="24">
        <f>IF($A122="","",Households!S122*Settings!$B$14)</f>
        <v>5</v>
      </c>
      <c r="T122" s="24">
        <f>IF($A122="","",SUMIFS(Assistance_Log!$F$5:$F$367,Assistance_Log!$C$5:$C$367,$A122,Assistance_Log!$E$5:$E$367,"Winter clothing – children",Assistance_Log!$B$5:$B$367,"&gt;="&amp;Households!F122))</f>
        <v>0</v>
      </c>
      <c r="U122" s="24">
        <f t="shared" si="41"/>
        <v>5</v>
      </c>
      <c r="V122" s="24">
        <f>IF($A122="","",Households!T122*Settings!$B$14)</f>
        <v>2</v>
      </c>
      <c r="W122" s="24">
        <f>IF($A122="","",SUMIFS(Assistance_Log!$F$5:$F$367,Assistance_Log!$C$5:$C$367,$A122,Assistance_Log!$E$5:$E$367,"Winter clothing – adults",Assistance_Log!$B$5:$B$367,"&gt;="&amp;Households!F122))</f>
        <v>0</v>
      </c>
      <c r="X122" s="24">
        <f t="shared" si="42"/>
        <v>2</v>
      </c>
      <c r="Y122" s="24">
        <f>IF($A122="","",Households!J122*Settings!$B$15)</f>
        <v>4</v>
      </c>
      <c r="Z122" s="24">
        <f>IF($A122="","",SUMIFS(Assistance_Log!$F$5:$F$367,Assistance_Log!$C$5:$C$367,$A122,Assistance_Log!$E$5:$E$367,"Diapers",Assistance_Log!$B$5:$B$367,"&gt;="&amp;Households!F122))</f>
        <v>0</v>
      </c>
      <c r="AA122" s="24">
        <f t="shared" si="43"/>
        <v>4</v>
      </c>
      <c r="AB122" s="24">
        <f>IF($A122="","",Settings!$B$16)</f>
        <v>1</v>
      </c>
      <c r="AC122" s="24">
        <f>IF($A122="","",SUMIFS(Assistance_Log!$F$5:$F$367,Assistance_Log!$C$5:$C$367,$A122,Assistance_Log!$E$5:$E$367,"Family hygiene kits",Assistance_Log!$B$5:$B$367,"&gt;="&amp;Households!F122))</f>
        <v>0</v>
      </c>
      <c r="AD122" s="24">
        <f t="shared" si="44"/>
        <v>1</v>
      </c>
      <c r="AE122" s="24">
        <f>IF($A122="","",Households!N122*Settings!$B$17)</f>
        <v>2</v>
      </c>
      <c r="AF122" s="24">
        <f>IF($A122="","",SUMIFS(Assistance_Log!$F$5:$F$367,Assistance_Log!$C$5:$C$367,$A122,Assistance_Log!$E$5:$E$367,"Menstrual hygiene kits",Assistance_Log!$B$5:$B$367,"&gt;="&amp;Households!F122))</f>
        <v>0</v>
      </c>
      <c r="AG122" s="24">
        <f t="shared" si="45"/>
        <v>2</v>
      </c>
      <c r="AH122" s="25" t="str">
        <f t="shared" si="46"/>
        <v>Yes</v>
      </c>
      <c r="AI122" s="24">
        <f t="shared" si="47"/>
        <v>7</v>
      </c>
    </row>
    <row r="123" spans="1:35" x14ac:dyDescent="0.3">
      <c r="A123" s="24" t="str">
        <f>IF(Households!A123="","",Households!A123)</f>
        <v>HH-119</v>
      </c>
      <c r="B123" s="24" t="str">
        <f>IF($A123="","",Households!B123)</f>
        <v>Site D – Collective Centre</v>
      </c>
      <c r="C123" s="24" t="str">
        <f>IF($A123="","",Households!X123)</f>
        <v>Medium</v>
      </c>
      <c r="D123" s="24">
        <f>IF($A123="","",MAX(0,Households!H123*Settings!$B$9-Households!Q123))</f>
        <v>4</v>
      </c>
      <c r="E123" s="24">
        <f>IF($A123="","",SUMIFS(Assistance_Log!$F$5:$F$367,Assistance_Log!$C$5:$C$367,$A123,Assistance_Log!$E$5:$E$367,"Blankets",Assistance_Log!$B$5:$B$367,"&gt;="&amp;Households!F123))</f>
        <v>0</v>
      </c>
      <c r="F123" s="25">
        <f t="shared" si="36"/>
        <v>4</v>
      </c>
      <c r="G123" s="24">
        <f>IF($A123="","",MAX(0,Households!H123*Settings!$B$10-Households!R123))</f>
        <v>3</v>
      </c>
      <c r="H123" s="24">
        <f>IF($A123="","",SUMIFS(Assistance_Log!$F$5:$F$367,Assistance_Log!$C$5:$C$367,$A123,Assistance_Log!$E$5:$E$367,"Mattresses",Assistance_Log!$B$5:$B$367,"&gt;="&amp;Households!F123))</f>
        <v>1</v>
      </c>
      <c r="I123" s="25">
        <f t="shared" si="37"/>
        <v>2</v>
      </c>
      <c r="J123" s="24">
        <f>IF($A123="","",IF(AND(OR(Households!C123="Tent",Households!C123="Makeshift shelter"),Households!D123="Damaged"),Settings!$B$11,0))</f>
        <v>0</v>
      </c>
      <c r="K123" s="24">
        <f>IF($A123="","",SUMIFS(Assistance_Log!$F$5:$F$367,Assistance_Log!$C$5:$C$367,$A123,Assistance_Log!$E$5:$E$367,"Tarpaulins",Assistance_Log!$B$5:$B$367,"&gt;="&amp;Households!F123))</f>
        <v>0</v>
      </c>
      <c r="L123" s="25">
        <f t="shared" si="38"/>
        <v>0</v>
      </c>
      <c r="M123" s="24">
        <f>IF($A123="","",IF(AND(OR(Households!C123="Tent",Households!C123="Makeshift shelter"),Households!D123="Unusable"),Settings!$B$12,0))</f>
        <v>0</v>
      </c>
      <c r="N123" s="24">
        <f>IF($A123="","",SUMIFS(Assistance_Log!$F$5:$F$367,Assistance_Log!$C$5:$C$367,$A123,Assistance_Log!$E$5:$E$367,"Tent replacement",Assistance_Log!$B$5:$B$367,"&gt;="&amp;Households!F123))</f>
        <v>0</v>
      </c>
      <c r="O123" s="25">
        <f t="shared" si="39"/>
        <v>0</v>
      </c>
      <c r="P123" s="24">
        <f>IF($A123="","",IF(Households!D123="Damaged",Settings!$B$13,0))</f>
        <v>0</v>
      </c>
      <c r="Q123" s="24">
        <f>IF($A123="","",SUMIFS(Assistance_Log!$F$5:$F$367,Assistance_Log!$C$5:$C$367,$A123,Assistance_Log!$E$5:$E$367,"Shelter repair kits",Assistance_Log!$B$5:$B$367,"&gt;="&amp;Households!F123))</f>
        <v>0</v>
      </c>
      <c r="R123" s="24">
        <f t="shared" si="40"/>
        <v>0</v>
      </c>
      <c r="S123" s="24">
        <f>IF($A123="","",Households!S123*Settings!$B$14)</f>
        <v>0</v>
      </c>
      <c r="T123" s="24">
        <f>IF($A123="","",SUMIFS(Assistance_Log!$F$5:$F$367,Assistance_Log!$C$5:$C$367,$A123,Assistance_Log!$E$5:$E$367,"Winter clothing – children",Assistance_Log!$B$5:$B$367,"&gt;="&amp;Households!F123))</f>
        <v>0</v>
      </c>
      <c r="U123" s="24">
        <f t="shared" si="41"/>
        <v>0</v>
      </c>
      <c r="V123" s="24">
        <f>IF($A123="","",Households!T123*Settings!$B$14)</f>
        <v>2</v>
      </c>
      <c r="W123" s="24">
        <f>IF($A123="","",SUMIFS(Assistance_Log!$F$5:$F$367,Assistance_Log!$C$5:$C$367,$A123,Assistance_Log!$E$5:$E$367,"Winter clothing – adults",Assistance_Log!$B$5:$B$367,"&gt;="&amp;Households!F123))</f>
        <v>0</v>
      </c>
      <c r="X123" s="24">
        <f t="shared" si="42"/>
        <v>2</v>
      </c>
      <c r="Y123" s="24">
        <f>IF($A123="","",Households!J123*Settings!$B$15)</f>
        <v>4</v>
      </c>
      <c r="Z123" s="24">
        <f>IF($A123="","",SUMIFS(Assistance_Log!$F$5:$F$367,Assistance_Log!$C$5:$C$367,$A123,Assistance_Log!$E$5:$E$367,"Diapers",Assistance_Log!$B$5:$B$367,"&gt;="&amp;Households!F123))</f>
        <v>4</v>
      </c>
      <c r="AA123" s="24">
        <f t="shared" si="43"/>
        <v>0</v>
      </c>
      <c r="AB123" s="24">
        <f>IF($A123="","",Settings!$B$16)</f>
        <v>1</v>
      </c>
      <c r="AC123" s="24">
        <f>IF($A123="","",SUMIFS(Assistance_Log!$F$5:$F$367,Assistance_Log!$C$5:$C$367,$A123,Assistance_Log!$E$5:$E$367,"Family hygiene kits",Assistance_Log!$B$5:$B$367,"&gt;="&amp;Households!F123))</f>
        <v>1</v>
      </c>
      <c r="AD123" s="24">
        <f t="shared" si="44"/>
        <v>0</v>
      </c>
      <c r="AE123" s="24">
        <f>IF($A123="","",Households!N123*Settings!$B$17)</f>
        <v>1</v>
      </c>
      <c r="AF123" s="24">
        <f>IF($A123="","",SUMIFS(Assistance_Log!$F$5:$F$367,Assistance_Log!$C$5:$C$367,$A123,Assistance_Log!$E$5:$E$367,"Menstrual hygiene kits",Assistance_Log!$B$5:$B$367,"&gt;="&amp;Households!F123))</f>
        <v>0</v>
      </c>
      <c r="AG123" s="24">
        <f t="shared" si="45"/>
        <v>1</v>
      </c>
      <c r="AH123" s="25" t="str">
        <f t="shared" si="46"/>
        <v>Yes</v>
      </c>
      <c r="AI123" s="24">
        <f t="shared" si="47"/>
        <v>4</v>
      </c>
    </row>
    <row r="124" spans="1:35" x14ac:dyDescent="0.3">
      <c r="A124" s="24" t="str">
        <f>IF(Households!A124="","",Households!A124)</f>
        <v>HH-120</v>
      </c>
      <c r="B124" s="24" t="str">
        <f>IF($A124="","",Households!B124)</f>
        <v>Site D – Collective Centre</v>
      </c>
      <c r="C124" s="24" t="str">
        <f>IF($A124="","",Households!X124)</f>
        <v>Low</v>
      </c>
      <c r="D124" s="24">
        <f>IF($A124="","",MAX(0,Households!H124*Settings!$B$9-Households!Q124))</f>
        <v>8</v>
      </c>
      <c r="E124" s="24">
        <f>IF($A124="","",SUMIFS(Assistance_Log!$F$5:$F$367,Assistance_Log!$C$5:$C$367,$A124,Assistance_Log!$E$5:$E$367,"Blankets",Assistance_Log!$B$5:$B$367,"&gt;="&amp;Households!F124))</f>
        <v>8</v>
      </c>
      <c r="F124" s="25">
        <f t="shared" si="36"/>
        <v>0</v>
      </c>
      <c r="G124" s="24">
        <f>IF($A124="","",MAX(0,Households!H124*Settings!$B$10-Households!R124))</f>
        <v>6</v>
      </c>
      <c r="H124" s="24">
        <f>IF($A124="","",SUMIFS(Assistance_Log!$F$5:$F$367,Assistance_Log!$C$5:$C$367,$A124,Assistance_Log!$E$5:$E$367,"Mattresses",Assistance_Log!$B$5:$B$367,"&gt;="&amp;Households!F124))</f>
        <v>0</v>
      </c>
      <c r="I124" s="25">
        <f t="shared" si="37"/>
        <v>6</v>
      </c>
      <c r="J124" s="24">
        <f>IF($A124="","",IF(AND(OR(Households!C124="Tent",Households!C124="Makeshift shelter"),Households!D124="Damaged"),Settings!$B$11,0))</f>
        <v>0</v>
      </c>
      <c r="K124" s="24">
        <f>IF($A124="","",SUMIFS(Assistance_Log!$F$5:$F$367,Assistance_Log!$C$5:$C$367,$A124,Assistance_Log!$E$5:$E$367,"Tarpaulins",Assistance_Log!$B$5:$B$367,"&gt;="&amp;Households!F124))</f>
        <v>0</v>
      </c>
      <c r="L124" s="25">
        <f t="shared" si="38"/>
        <v>0</v>
      </c>
      <c r="M124" s="24">
        <f>IF($A124="","",IF(AND(OR(Households!C124="Tent",Households!C124="Makeshift shelter"),Households!D124="Unusable"),Settings!$B$12,0))</f>
        <v>0</v>
      </c>
      <c r="N124" s="24">
        <f>IF($A124="","",SUMIFS(Assistance_Log!$F$5:$F$367,Assistance_Log!$C$5:$C$367,$A124,Assistance_Log!$E$5:$E$367,"Tent replacement",Assistance_Log!$B$5:$B$367,"&gt;="&amp;Households!F124))</f>
        <v>0</v>
      </c>
      <c r="O124" s="25">
        <f t="shared" si="39"/>
        <v>0</v>
      </c>
      <c r="P124" s="24">
        <f>IF($A124="","",IF(Households!D124="Damaged",Settings!$B$13,0))</f>
        <v>0</v>
      </c>
      <c r="Q124" s="24">
        <f>IF($A124="","",SUMIFS(Assistance_Log!$F$5:$F$367,Assistance_Log!$C$5:$C$367,$A124,Assistance_Log!$E$5:$E$367,"Shelter repair kits",Assistance_Log!$B$5:$B$367,"&gt;="&amp;Households!F124))</f>
        <v>0</v>
      </c>
      <c r="R124" s="24">
        <f t="shared" si="40"/>
        <v>0</v>
      </c>
      <c r="S124" s="24">
        <f>IF($A124="","",Households!S124*Settings!$B$14)</f>
        <v>1</v>
      </c>
      <c r="T124" s="24">
        <f>IF($A124="","",SUMIFS(Assistance_Log!$F$5:$F$367,Assistance_Log!$C$5:$C$367,$A124,Assistance_Log!$E$5:$E$367,"Winter clothing – children",Assistance_Log!$B$5:$B$367,"&gt;="&amp;Households!F124))</f>
        <v>0</v>
      </c>
      <c r="U124" s="24">
        <f t="shared" si="41"/>
        <v>1</v>
      </c>
      <c r="V124" s="24">
        <f>IF($A124="","",Households!T124*Settings!$B$14)</f>
        <v>1</v>
      </c>
      <c r="W124" s="24">
        <f>IF($A124="","",SUMIFS(Assistance_Log!$F$5:$F$367,Assistance_Log!$C$5:$C$367,$A124,Assistance_Log!$E$5:$E$367,"Winter clothing – adults",Assistance_Log!$B$5:$B$367,"&gt;="&amp;Households!F124))</f>
        <v>0</v>
      </c>
      <c r="X124" s="24">
        <f t="shared" si="42"/>
        <v>1</v>
      </c>
      <c r="Y124" s="24">
        <f>IF($A124="","",Households!J124*Settings!$B$15)</f>
        <v>0</v>
      </c>
      <c r="Z124" s="24">
        <f>IF($A124="","",SUMIFS(Assistance_Log!$F$5:$F$367,Assistance_Log!$C$5:$C$367,$A124,Assistance_Log!$E$5:$E$367,"Diapers",Assistance_Log!$B$5:$B$367,"&gt;="&amp;Households!F124))</f>
        <v>0</v>
      </c>
      <c r="AA124" s="24">
        <f t="shared" si="43"/>
        <v>0</v>
      </c>
      <c r="AB124" s="24">
        <f>IF($A124="","",Settings!$B$16)</f>
        <v>1</v>
      </c>
      <c r="AC124" s="24">
        <f>IF($A124="","",SUMIFS(Assistance_Log!$F$5:$F$367,Assistance_Log!$C$5:$C$367,$A124,Assistance_Log!$E$5:$E$367,"Family hygiene kits",Assistance_Log!$B$5:$B$367,"&gt;="&amp;Households!F124))</f>
        <v>1</v>
      </c>
      <c r="AD124" s="24">
        <f t="shared" si="44"/>
        <v>0</v>
      </c>
      <c r="AE124" s="24">
        <f>IF($A124="","",Households!N124*Settings!$B$17)</f>
        <v>2</v>
      </c>
      <c r="AF124" s="24">
        <f>IF($A124="","",SUMIFS(Assistance_Log!$F$5:$F$367,Assistance_Log!$C$5:$C$367,$A124,Assistance_Log!$E$5:$E$367,"Menstrual hygiene kits",Assistance_Log!$B$5:$B$367,"&gt;="&amp;Households!F124))</f>
        <v>1</v>
      </c>
      <c r="AG124" s="24">
        <f t="shared" si="45"/>
        <v>1</v>
      </c>
      <c r="AH124" s="25" t="str">
        <f t="shared" si="46"/>
        <v>Yes</v>
      </c>
      <c r="AI124" s="24">
        <f t="shared" si="47"/>
        <v>4</v>
      </c>
    </row>
    <row r="125" spans="1:35" x14ac:dyDescent="0.3">
      <c r="A125" s="24" t="str">
        <f>IF(Households!A125="","",Households!A125)</f>
        <v/>
      </c>
      <c r="B125" s="24" t="str">
        <f>IF($A125="","",Households!B125)</f>
        <v/>
      </c>
      <c r="C125" s="24" t="str">
        <f>IF($A125="","",Households!X125)</f>
        <v/>
      </c>
      <c r="D125" s="24" t="str">
        <f>IF($A125="","",MAX(0,Households!H125*Settings!$B$9-Households!Q125))</f>
        <v/>
      </c>
      <c r="E125" s="24" t="str">
        <f>IF($A125="","",SUMIFS(Assistance_Log!$F$5:$F$367,Assistance_Log!$C$5:$C$367,$A125,Assistance_Log!$E$5:$E$367,"Blankets",Assistance_Log!$B$5:$B$367,"&gt;="&amp;Households!F125))</f>
        <v/>
      </c>
      <c r="F125" s="25" t="str">
        <f t="shared" si="36"/>
        <v/>
      </c>
      <c r="G125" s="24" t="str">
        <f>IF($A125="","",MAX(0,Households!H125*Settings!$B$10-Households!R125))</f>
        <v/>
      </c>
      <c r="H125" s="24" t="str">
        <f>IF($A125="","",SUMIFS(Assistance_Log!$F$5:$F$367,Assistance_Log!$C$5:$C$367,$A125,Assistance_Log!$E$5:$E$367,"Mattresses",Assistance_Log!$B$5:$B$367,"&gt;="&amp;Households!F125))</f>
        <v/>
      </c>
      <c r="I125" s="25" t="str">
        <f t="shared" si="37"/>
        <v/>
      </c>
      <c r="J125" s="24" t="str">
        <f>IF($A125="","",IF(AND(OR(Households!C125="Tent",Households!C125="Makeshift shelter"),Households!D125="Damaged"),Settings!$B$11,0))</f>
        <v/>
      </c>
      <c r="K125" s="24" t="str">
        <f>IF($A125="","",SUMIFS(Assistance_Log!$F$5:$F$367,Assistance_Log!$C$5:$C$367,$A125,Assistance_Log!$E$5:$E$367,"Tarpaulins",Assistance_Log!$B$5:$B$367,"&gt;="&amp;Households!F125))</f>
        <v/>
      </c>
      <c r="L125" s="25" t="str">
        <f t="shared" si="38"/>
        <v/>
      </c>
      <c r="M125" s="24" t="str">
        <f>IF($A125="","",IF(AND(OR(Households!C125="Tent",Households!C125="Makeshift shelter"),Households!D125="Unusable"),Settings!$B$12,0))</f>
        <v/>
      </c>
      <c r="N125" s="24" t="str">
        <f>IF($A125="","",SUMIFS(Assistance_Log!$F$5:$F$367,Assistance_Log!$C$5:$C$367,$A125,Assistance_Log!$E$5:$E$367,"Tent replacement",Assistance_Log!$B$5:$B$367,"&gt;="&amp;Households!F125))</f>
        <v/>
      </c>
      <c r="O125" s="25" t="str">
        <f t="shared" si="39"/>
        <v/>
      </c>
      <c r="P125" s="24" t="str">
        <f>IF($A125="","",IF(Households!D125="Damaged",Settings!$B$13,0))</f>
        <v/>
      </c>
      <c r="Q125" s="24" t="str">
        <f>IF($A125="","",SUMIFS(Assistance_Log!$F$5:$F$367,Assistance_Log!$C$5:$C$367,$A125,Assistance_Log!$E$5:$E$367,"Shelter repair kits",Assistance_Log!$B$5:$B$367,"&gt;="&amp;Households!F125))</f>
        <v/>
      </c>
      <c r="R125" s="24" t="str">
        <f t="shared" si="40"/>
        <v/>
      </c>
      <c r="S125" s="24" t="str">
        <f>IF($A125="","",Households!S125*Settings!$B$14)</f>
        <v/>
      </c>
      <c r="T125" s="24" t="str">
        <f>IF($A125="","",SUMIFS(Assistance_Log!$F$5:$F$367,Assistance_Log!$C$5:$C$367,$A125,Assistance_Log!$E$5:$E$367,"Winter clothing – children",Assistance_Log!$B$5:$B$367,"&gt;="&amp;Households!F125))</f>
        <v/>
      </c>
      <c r="U125" s="24" t="str">
        <f t="shared" si="41"/>
        <v/>
      </c>
      <c r="V125" s="24" t="str">
        <f>IF($A125="","",Households!T125*Settings!$B$14)</f>
        <v/>
      </c>
      <c r="W125" s="24" t="str">
        <f>IF($A125="","",SUMIFS(Assistance_Log!$F$5:$F$367,Assistance_Log!$C$5:$C$367,$A125,Assistance_Log!$E$5:$E$367,"Winter clothing – adults",Assistance_Log!$B$5:$B$367,"&gt;="&amp;Households!F125))</f>
        <v/>
      </c>
      <c r="X125" s="24" t="str">
        <f t="shared" si="42"/>
        <v/>
      </c>
      <c r="Y125" s="24" t="str">
        <f>IF($A125="","",Households!J125*Settings!$B$15)</f>
        <v/>
      </c>
      <c r="Z125" s="24" t="str">
        <f>IF($A125="","",SUMIFS(Assistance_Log!$F$5:$F$367,Assistance_Log!$C$5:$C$367,$A125,Assistance_Log!$E$5:$E$367,"Diapers",Assistance_Log!$B$5:$B$367,"&gt;="&amp;Households!F125))</f>
        <v/>
      </c>
      <c r="AA125" s="24" t="str">
        <f t="shared" si="43"/>
        <v/>
      </c>
      <c r="AB125" s="24" t="str">
        <f>IF($A125="","",Settings!$B$16)</f>
        <v/>
      </c>
      <c r="AC125" s="24" t="str">
        <f>IF($A125="","",SUMIFS(Assistance_Log!$F$5:$F$367,Assistance_Log!$C$5:$C$367,$A125,Assistance_Log!$E$5:$E$367,"Family hygiene kits",Assistance_Log!$B$5:$B$367,"&gt;="&amp;Households!F125))</f>
        <v/>
      </c>
      <c r="AD125" s="24" t="str">
        <f t="shared" si="44"/>
        <v/>
      </c>
      <c r="AE125" s="24" t="str">
        <f>IF($A125="","",Households!N125*Settings!$B$17)</f>
        <v/>
      </c>
      <c r="AF125" s="24" t="str">
        <f>IF($A125="","",SUMIFS(Assistance_Log!$F$5:$F$367,Assistance_Log!$C$5:$C$367,$A125,Assistance_Log!$E$5:$E$367,"Menstrual hygiene kits",Assistance_Log!$B$5:$B$367,"&gt;="&amp;Households!F125))</f>
        <v/>
      </c>
      <c r="AG125" s="24" t="str">
        <f t="shared" si="45"/>
        <v/>
      </c>
      <c r="AH125" s="25" t="str">
        <f t="shared" si="46"/>
        <v/>
      </c>
      <c r="AI125" s="24" t="str">
        <f t="shared" si="47"/>
        <v/>
      </c>
    </row>
    <row r="126" spans="1:35" x14ac:dyDescent="0.3">
      <c r="A126" s="24" t="str">
        <f>IF(Households!A126="","",Households!A126)</f>
        <v/>
      </c>
      <c r="B126" s="24" t="str">
        <f>IF($A126="","",Households!B126)</f>
        <v/>
      </c>
      <c r="C126" s="24" t="str">
        <f>IF($A126="","",Households!X126)</f>
        <v/>
      </c>
      <c r="D126" s="24" t="str">
        <f>IF($A126="","",MAX(0,Households!H126*Settings!$B$9-Households!Q126))</f>
        <v/>
      </c>
      <c r="E126" s="24" t="str">
        <f>IF($A126="","",SUMIFS(Assistance_Log!$F$5:$F$367,Assistance_Log!$C$5:$C$367,$A126,Assistance_Log!$E$5:$E$367,"Blankets",Assistance_Log!$B$5:$B$367,"&gt;="&amp;Households!F126))</f>
        <v/>
      </c>
      <c r="F126" s="25" t="str">
        <f t="shared" si="36"/>
        <v/>
      </c>
      <c r="G126" s="24" t="str">
        <f>IF($A126="","",MAX(0,Households!H126*Settings!$B$10-Households!R126))</f>
        <v/>
      </c>
      <c r="H126" s="24" t="str">
        <f>IF($A126="","",SUMIFS(Assistance_Log!$F$5:$F$367,Assistance_Log!$C$5:$C$367,$A126,Assistance_Log!$E$5:$E$367,"Mattresses",Assistance_Log!$B$5:$B$367,"&gt;="&amp;Households!F126))</f>
        <v/>
      </c>
      <c r="I126" s="25" t="str">
        <f t="shared" si="37"/>
        <v/>
      </c>
      <c r="J126" s="24" t="str">
        <f>IF($A126="","",IF(AND(OR(Households!C126="Tent",Households!C126="Makeshift shelter"),Households!D126="Damaged"),Settings!$B$11,0))</f>
        <v/>
      </c>
      <c r="K126" s="24" t="str">
        <f>IF($A126="","",SUMIFS(Assistance_Log!$F$5:$F$367,Assistance_Log!$C$5:$C$367,$A126,Assistance_Log!$E$5:$E$367,"Tarpaulins",Assistance_Log!$B$5:$B$367,"&gt;="&amp;Households!F126))</f>
        <v/>
      </c>
      <c r="L126" s="25" t="str">
        <f t="shared" si="38"/>
        <v/>
      </c>
      <c r="M126" s="24" t="str">
        <f>IF($A126="","",IF(AND(OR(Households!C126="Tent",Households!C126="Makeshift shelter"),Households!D126="Unusable"),Settings!$B$12,0))</f>
        <v/>
      </c>
      <c r="N126" s="24" t="str">
        <f>IF($A126="","",SUMIFS(Assistance_Log!$F$5:$F$367,Assistance_Log!$C$5:$C$367,$A126,Assistance_Log!$E$5:$E$367,"Tent replacement",Assistance_Log!$B$5:$B$367,"&gt;="&amp;Households!F126))</f>
        <v/>
      </c>
      <c r="O126" s="25" t="str">
        <f t="shared" si="39"/>
        <v/>
      </c>
      <c r="P126" s="24" t="str">
        <f>IF($A126="","",IF(Households!D126="Damaged",Settings!$B$13,0))</f>
        <v/>
      </c>
      <c r="Q126" s="24" t="str">
        <f>IF($A126="","",SUMIFS(Assistance_Log!$F$5:$F$367,Assistance_Log!$C$5:$C$367,$A126,Assistance_Log!$E$5:$E$367,"Shelter repair kits",Assistance_Log!$B$5:$B$367,"&gt;="&amp;Households!F126))</f>
        <v/>
      </c>
      <c r="R126" s="24" t="str">
        <f t="shared" si="40"/>
        <v/>
      </c>
      <c r="S126" s="24" t="str">
        <f>IF($A126="","",Households!S126*Settings!$B$14)</f>
        <v/>
      </c>
      <c r="T126" s="24" t="str">
        <f>IF($A126="","",SUMIFS(Assistance_Log!$F$5:$F$367,Assistance_Log!$C$5:$C$367,$A126,Assistance_Log!$E$5:$E$367,"Winter clothing – children",Assistance_Log!$B$5:$B$367,"&gt;="&amp;Households!F126))</f>
        <v/>
      </c>
      <c r="U126" s="24" t="str">
        <f t="shared" si="41"/>
        <v/>
      </c>
      <c r="V126" s="24" t="str">
        <f>IF($A126="","",Households!T126*Settings!$B$14)</f>
        <v/>
      </c>
      <c r="W126" s="24" t="str">
        <f>IF($A126="","",SUMIFS(Assistance_Log!$F$5:$F$367,Assistance_Log!$C$5:$C$367,$A126,Assistance_Log!$E$5:$E$367,"Winter clothing – adults",Assistance_Log!$B$5:$B$367,"&gt;="&amp;Households!F126))</f>
        <v/>
      </c>
      <c r="X126" s="24" t="str">
        <f t="shared" si="42"/>
        <v/>
      </c>
      <c r="Y126" s="24" t="str">
        <f>IF($A126="","",Households!J126*Settings!$B$15)</f>
        <v/>
      </c>
      <c r="Z126" s="24" t="str">
        <f>IF($A126="","",SUMIFS(Assistance_Log!$F$5:$F$367,Assistance_Log!$C$5:$C$367,$A126,Assistance_Log!$E$5:$E$367,"Diapers",Assistance_Log!$B$5:$B$367,"&gt;="&amp;Households!F126))</f>
        <v/>
      </c>
      <c r="AA126" s="24" t="str">
        <f t="shared" si="43"/>
        <v/>
      </c>
      <c r="AB126" s="24" t="str">
        <f>IF($A126="","",Settings!$B$16)</f>
        <v/>
      </c>
      <c r="AC126" s="24" t="str">
        <f>IF($A126="","",SUMIFS(Assistance_Log!$F$5:$F$367,Assistance_Log!$C$5:$C$367,$A126,Assistance_Log!$E$5:$E$367,"Family hygiene kits",Assistance_Log!$B$5:$B$367,"&gt;="&amp;Households!F126))</f>
        <v/>
      </c>
      <c r="AD126" s="24" t="str">
        <f t="shared" si="44"/>
        <v/>
      </c>
      <c r="AE126" s="24" t="str">
        <f>IF($A126="","",Households!N126*Settings!$B$17)</f>
        <v/>
      </c>
      <c r="AF126" s="24" t="str">
        <f>IF($A126="","",SUMIFS(Assistance_Log!$F$5:$F$367,Assistance_Log!$C$5:$C$367,$A126,Assistance_Log!$E$5:$E$367,"Menstrual hygiene kits",Assistance_Log!$B$5:$B$367,"&gt;="&amp;Households!F126))</f>
        <v/>
      </c>
      <c r="AG126" s="24" t="str">
        <f t="shared" si="45"/>
        <v/>
      </c>
      <c r="AH126" s="25" t="str">
        <f t="shared" si="46"/>
        <v/>
      </c>
      <c r="AI126" s="24" t="str">
        <f t="shared" si="47"/>
        <v/>
      </c>
    </row>
    <row r="127" spans="1:35" x14ac:dyDescent="0.3">
      <c r="A127" s="24" t="str">
        <f>IF(Households!A127="","",Households!A127)</f>
        <v/>
      </c>
      <c r="B127" s="24" t="str">
        <f>IF($A127="","",Households!B127)</f>
        <v/>
      </c>
      <c r="C127" s="24" t="str">
        <f>IF($A127="","",Households!X127)</f>
        <v/>
      </c>
      <c r="D127" s="24" t="str">
        <f>IF($A127="","",MAX(0,Households!H127*Settings!$B$9-Households!Q127))</f>
        <v/>
      </c>
      <c r="E127" s="24" t="str">
        <f>IF($A127="","",SUMIFS(Assistance_Log!$F$5:$F$367,Assistance_Log!$C$5:$C$367,$A127,Assistance_Log!$E$5:$E$367,"Blankets",Assistance_Log!$B$5:$B$367,"&gt;="&amp;Households!F127))</f>
        <v/>
      </c>
      <c r="F127" s="25" t="str">
        <f t="shared" si="36"/>
        <v/>
      </c>
      <c r="G127" s="24" t="str">
        <f>IF($A127="","",MAX(0,Households!H127*Settings!$B$10-Households!R127))</f>
        <v/>
      </c>
      <c r="H127" s="24" t="str">
        <f>IF($A127="","",SUMIFS(Assistance_Log!$F$5:$F$367,Assistance_Log!$C$5:$C$367,$A127,Assistance_Log!$E$5:$E$367,"Mattresses",Assistance_Log!$B$5:$B$367,"&gt;="&amp;Households!F127))</f>
        <v/>
      </c>
      <c r="I127" s="25" t="str">
        <f t="shared" si="37"/>
        <v/>
      </c>
      <c r="J127" s="24" t="str">
        <f>IF($A127="","",IF(AND(OR(Households!C127="Tent",Households!C127="Makeshift shelter"),Households!D127="Damaged"),Settings!$B$11,0))</f>
        <v/>
      </c>
      <c r="K127" s="24" t="str">
        <f>IF($A127="","",SUMIFS(Assistance_Log!$F$5:$F$367,Assistance_Log!$C$5:$C$367,$A127,Assistance_Log!$E$5:$E$367,"Tarpaulins",Assistance_Log!$B$5:$B$367,"&gt;="&amp;Households!F127))</f>
        <v/>
      </c>
      <c r="L127" s="25" t="str">
        <f t="shared" si="38"/>
        <v/>
      </c>
      <c r="M127" s="24" t="str">
        <f>IF($A127="","",IF(AND(OR(Households!C127="Tent",Households!C127="Makeshift shelter"),Households!D127="Unusable"),Settings!$B$12,0))</f>
        <v/>
      </c>
      <c r="N127" s="24" t="str">
        <f>IF($A127="","",SUMIFS(Assistance_Log!$F$5:$F$367,Assistance_Log!$C$5:$C$367,$A127,Assistance_Log!$E$5:$E$367,"Tent replacement",Assistance_Log!$B$5:$B$367,"&gt;="&amp;Households!F127))</f>
        <v/>
      </c>
      <c r="O127" s="25" t="str">
        <f t="shared" si="39"/>
        <v/>
      </c>
      <c r="P127" s="24" t="str">
        <f>IF($A127="","",IF(Households!D127="Damaged",Settings!$B$13,0))</f>
        <v/>
      </c>
      <c r="Q127" s="24" t="str">
        <f>IF($A127="","",SUMIFS(Assistance_Log!$F$5:$F$367,Assistance_Log!$C$5:$C$367,$A127,Assistance_Log!$E$5:$E$367,"Shelter repair kits",Assistance_Log!$B$5:$B$367,"&gt;="&amp;Households!F127))</f>
        <v/>
      </c>
      <c r="R127" s="24" t="str">
        <f t="shared" si="40"/>
        <v/>
      </c>
      <c r="S127" s="24" t="str">
        <f>IF($A127="","",Households!S127*Settings!$B$14)</f>
        <v/>
      </c>
      <c r="T127" s="24" t="str">
        <f>IF($A127="","",SUMIFS(Assistance_Log!$F$5:$F$367,Assistance_Log!$C$5:$C$367,$A127,Assistance_Log!$E$5:$E$367,"Winter clothing – children",Assistance_Log!$B$5:$B$367,"&gt;="&amp;Households!F127))</f>
        <v/>
      </c>
      <c r="U127" s="24" t="str">
        <f t="shared" si="41"/>
        <v/>
      </c>
      <c r="V127" s="24" t="str">
        <f>IF($A127="","",Households!T127*Settings!$B$14)</f>
        <v/>
      </c>
      <c r="W127" s="24" t="str">
        <f>IF($A127="","",SUMIFS(Assistance_Log!$F$5:$F$367,Assistance_Log!$C$5:$C$367,$A127,Assistance_Log!$E$5:$E$367,"Winter clothing – adults",Assistance_Log!$B$5:$B$367,"&gt;="&amp;Households!F127))</f>
        <v/>
      </c>
      <c r="X127" s="24" t="str">
        <f t="shared" si="42"/>
        <v/>
      </c>
      <c r="Y127" s="24" t="str">
        <f>IF($A127="","",Households!J127*Settings!$B$15)</f>
        <v/>
      </c>
      <c r="Z127" s="24" t="str">
        <f>IF($A127="","",SUMIFS(Assistance_Log!$F$5:$F$367,Assistance_Log!$C$5:$C$367,$A127,Assistance_Log!$E$5:$E$367,"Diapers",Assistance_Log!$B$5:$B$367,"&gt;="&amp;Households!F127))</f>
        <v/>
      </c>
      <c r="AA127" s="24" t="str">
        <f t="shared" si="43"/>
        <v/>
      </c>
      <c r="AB127" s="24" t="str">
        <f>IF($A127="","",Settings!$B$16)</f>
        <v/>
      </c>
      <c r="AC127" s="24" t="str">
        <f>IF($A127="","",SUMIFS(Assistance_Log!$F$5:$F$367,Assistance_Log!$C$5:$C$367,$A127,Assistance_Log!$E$5:$E$367,"Family hygiene kits",Assistance_Log!$B$5:$B$367,"&gt;="&amp;Households!F127))</f>
        <v/>
      </c>
      <c r="AD127" s="24" t="str">
        <f t="shared" si="44"/>
        <v/>
      </c>
      <c r="AE127" s="24" t="str">
        <f>IF($A127="","",Households!N127*Settings!$B$17)</f>
        <v/>
      </c>
      <c r="AF127" s="24" t="str">
        <f>IF($A127="","",SUMIFS(Assistance_Log!$F$5:$F$367,Assistance_Log!$C$5:$C$367,$A127,Assistance_Log!$E$5:$E$367,"Menstrual hygiene kits",Assistance_Log!$B$5:$B$367,"&gt;="&amp;Households!F127))</f>
        <v/>
      </c>
      <c r="AG127" s="24" t="str">
        <f t="shared" si="45"/>
        <v/>
      </c>
      <c r="AH127" s="25" t="str">
        <f t="shared" si="46"/>
        <v/>
      </c>
      <c r="AI127" s="24" t="str">
        <f t="shared" si="47"/>
        <v/>
      </c>
    </row>
    <row r="128" spans="1:35" x14ac:dyDescent="0.3">
      <c r="A128" s="24" t="str">
        <f>IF(Households!A128="","",Households!A128)</f>
        <v/>
      </c>
      <c r="B128" s="24" t="str">
        <f>IF($A128="","",Households!B128)</f>
        <v/>
      </c>
      <c r="C128" s="24" t="str">
        <f>IF($A128="","",Households!X128)</f>
        <v/>
      </c>
      <c r="D128" s="24" t="str">
        <f>IF($A128="","",MAX(0,Households!H128*Settings!$B$9-Households!Q128))</f>
        <v/>
      </c>
      <c r="E128" s="24" t="str">
        <f>IF($A128="","",SUMIFS(Assistance_Log!$F$5:$F$367,Assistance_Log!$C$5:$C$367,$A128,Assistance_Log!$E$5:$E$367,"Blankets",Assistance_Log!$B$5:$B$367,"&gt;="&amp;Households!F128))</f>
        <v/>
      </c>
      <c r="F128" s="25" t="str">
        <f t="shared" si="36"/>
        <v/>
      </c>
      <c r="G128" s="24" t="str">
        <f>IF($A128="","",MAX(0,Households!H128*Settings!$B$10-Households!R128))</f>
        <v/>
      </c>
      <c r="H128" s="24" t="str">
        <f>IF($A128="","",SUMIFS(Assistance_Log!$F$5:$F$367,Assistance_Log!$C$5:$C$367,$A128,Assistance_Log!$E$5:$E$367,"Mattresses",Assistance_Log!$B$5:$B$367,"&gt;="&amp;Households!F128))</f>
        <v/>
      </c>
      <c r="I128" s="25" t="str">
        <f t="shared" si="37"/>
        <v/>
      </c>
      <c r="J128" s="24" t="str">
        <f>IF($A128="","",IF(AND(OR(Households!C128="Tent",Households!C128="Makeshift shelter"),Households!D128="Damaged"),Settings!$B$11,0))</f>
        <v/>
      </c>
      <c r="K128" s="24" t="str">
        <f>IF($A128="","",SUMIFS(Assistance_Log!$F$5:$F$367,Assistance_Log!$C$5:$C$367,$A128,Assistance_Log!$E$5:$E$367,"Tarpaulins",Assistance_Log!$B$5:$B$367,"&gt;="&amp;Households!F128))</f>
        <v/>
      </c>
      <c r="L128" s="25" t="str">
        <f t="shared" si="38"/>
        <v/>
      </c>
      <c r="M128" s="24" t="str">
        <f>IF($A128="","",IF(AND(OR(Households!C128="Tent",Households!C128="Makeshift shelter"),Households!D128="Unusable"),Settings!$B$12,0))</f>
        <v/>
      </c>
      <c r="N128" s="24" t="str">
        <f>IF($A128="","",SUMIFS(Assistance_Log!$F$5:$F$367,Assistance_Log!$C$5:$C$367,$A128,Assistance_Log!$E$5:$E$367,"Tent replacement",Assistance_Log!$B$5:$B$367,"&gt;="&amp;Households!F128))</f>
        <v/>
      </c>
      <c r="O128" s="25" t="str">
        <f t="shared" si="39"/>
        <v/>
      </c>
      <c r="P128" s="24" t="str">
        <f>IF($A128="","",IF(Households!D128="Damaged",Settings!$B$13,0))</f>
        <v/>
      </c>
      <c r="Q128" s="24" t="str">
        <f>IF($A128="","",SUMIFS(Assistance_Log!$F$5:$F$367,Assistance_Log!$C$5:$C$367,$A128,Assistance_Log!$E$5:$E$367,"Shelter repair kits",Assistance_Log!$B$5:$B$367,"&gt;="&amp;Households!F128))</f>
        <v/>
      </c>
      <c r="R128" s="24" t="str">
        <f t="shared" si="40"/>
        <v/>
      </c>
      <c r="S128" s="24" t="str">
        <f>IF($A128="","",Households!S128*Settings!$B$14)</f>
        <v/>
      </c>
      <c r="T128" s="24" t="str">
        <f>IF($A128="","",SUMIFS(Assistance_Log!$F$5:$F$367,Assistance_Log!$C$5:$C$367,$A128,Assistance_Log!$E$5:$E$367,"Winter clothing – children",Assistance_Log!$B$5:$B$367,"&gt;="&amp;Households!F128))</f>
        <v/>
      </c>
      <c r="U128" s="24" t="str">
        <f t="shared" si="41"/>
        <v/>
      </c>
      <c r="V128" s="24" t="str">
        <f>IF($A128="","",Households!T128*Settings!$B$14)</f>
        <v/>
      </c>
      <c r="W128" s="24" t="str">
        <f>IF($A128="","",SUMIFS(Assistance_Log!$F$5:$F$367,Assistance_Log!$C$5:$C$367,$A128,Assistance_Log!$E$5:$E$367,"Winter clothing – adults",Assistance_Log!$B$5:$B$367,"&gt;="&amp;Households!F128))</f>
        <v/>
      </c>
      <c r="X128" s="24" t="str">
        <f t="shared" si="42"/>
        <v/>
      </c>
      <c r="Y128" s="24" t="str">
        <f>IF($A128="","",Households!J128*Settings!$B$15)</f>
        <v/>
      </c>
      <c r="Z128" s="24" t="str">
        <f>IF($A128="","",SUMIFS(Assistance_Log!$F$5:$F$367,Assistance_Log!$C$5:$C$367,$A128,Assistance_Log!$E$5:$E$367,"Diapers",Assistance_Log!$B$5:$B$367,"&gt;="&amp;Households!F128))</f>
        <v/>
      </c>
      <c r="AA128" s="24" t="str">
        <f t="shared" si="43"/>
        <v/>
      </c>
      <c r="AB128" s="24" t="str">
        <f>IF($A128="","",Settings!$B$16)</f>
        <v/>
      </c>
      <c r="AC128" s="24" t="str">
        <f>IF($A128="","",SUMIFS(Assistance_Log!$F$5:$F$367,Assistance_Log!$C$5:$C$367,$A128,Assistance_Log!$E$5:$E$367,"Family hygiene kits",Assistance_Log!$B$5:$B$367,"&gt;="&amp;Households!F128))</f>
        <v/>
      </c>
      <c r="AD128" s="24" t="str">
        <f t="shared" si="44"/>
        <v/>
      </c>
      <c r="AE128" s="24" t="str">
        <f>IF($A128="","",Households!N128*Settings!$B$17)</f>
        <v/>
      </c>
      <c r="AF128" s="24" t="str">
        <f>IF($A128="","",SUMIFS(Assistance_Log!$F$5:$F$367,Assistance_Log!$C$5:$C$367,$A128,Assistance_Log!$E$5:$E$367,"Menstrual hygiene kits",Assistance_Log!$B$5:$B$367,"&gt;="&amp;Households!F128))</f>
        <v/>
      </c>
      <c r="AG128" s="24" t="str">
        <f t="shared" si="45"/>
        <v/>
      </c>
      <c r="AH128" s="25" t="str">
        <f t="shared" si="46"/>
        <v/>
      </c>
      <c r="AI128" s="24" t="str">
        <f t="shared" si="47"/>
        <v/>
      </c>
    </row>
    <row r="129" spans="1:35" x14ac:dyDescent="0.3">
      <c r="A129" s="24" t="str">
        <f>IF(Households!A129="","",Households!A129)</f>
        <v/>
      </c>
      <c r="B129" s="24" t="str">
        <f>IF($A129="","",Households!B129)</f>
        <v/>
      </c>
      <c r="C129" s="24" t="str">
        <f>IF($A129="","",Households!X129)</f>
        <v/>
      </c>
      <c r="D129" s="24" t="str">
        <f>IF($A129="","",MAX(0,Households!H129*Settings!$B$9-Households!Q129))</f>
        <v/>
      </c>
      <c r="E129" s="24" t="str">
        <f>IF($A129="","",SUMIFS(Assistance_Log!$F$5:$F$367,Assistance_Log!$C$5:$C$367,$A129,Assistance_Log!$E$5:$E$367,"Blankets",Assistance_Log!$B$5:$B$367,"&gt;="&amp;Households!F129))</f>
        <v/>
      </c>
      <c r="F129" s="25" t="str">
        <f t="shared" si="36"/>
        <v/>
      </c>
      <c r="G129" s="24" t="str">
        <f>IF($A129="","",MAX(0,Households!H129*Settings!$B$10-Households!R129))</f>
        <v/>
      </c>
      <c r="H129" s="24" t="str">
        <f>IF($A129="","",SUMIFS(Assistance_Log!$F$5:$F$367,Assistance_Log!$C$5:$C$367,$A129,Assistance_Log!$E$5:$E$367,"Mattresses",Assistance_Log!$B$5:$B$367,"&gt;="&amp;Households!F129))</f>
        <v/>
      </c>
      <c r="I129" s="25" t="str">
        <f t="shared" si="37"/>
        <v/>
      </c>
      <c r="J129" s="24" t="str">
        <f>IF($A129="","",IF(AND(OR(Households!C129="Tent",Households!C129="Makeshift shelter"),Households!D129="Damaged"),Settings!$B$11,0))</f>
        <v/>
      </c>
      <c r="K129" s="24" t="str">
        <f>IF($A129="","",SUMIFS(Assistance_Log!$F$5:$F$367,Assistance_Log!$C$5:$C$367,$A129,Assistance_Log!$E$5:$E$367,"Tarpaulins",Assistance_Log!$B$5:$B$367,"&gt;="&amp;Households!F129))</f>
        <v/>
      </c>
      <c r="L129" s="25" t="str">
        <f t="shared" si="38"/>
        <v/>
      </c>
      <c r="M129" s="24" t="str">
        <f>IF($A129="","",IF(AND(OR(Households!C129="Tent",Households!C129="Makeshift shelter"),Households!D129="Unusable"),Settings!$B$12,0))</f>
        <v/>
      </c>
      <c r="N129" s="24" t="str">
        <f>IF($A129="","",SUMIFS(Assistance_Log!$F$5:$F$367,Assistance_Log!$C$5:$C$367,$A129,Assistance_Log!$E$5:$E$367,"Tent replacement",Assistance_Log!$B$5:$B$367,"&gt;="&amp;Households!F129))</f>
        <v/>
      </c>
      <c r="O129" s="25" t="str">
        <f t="shared" si="39"/>
        <v/>
      </c>
      <c r="P129" s="24" t="str">
        <f>IF($A129="","",IF(Households!D129="Damaged",Settings!$B$13,0))</f>
        <v/>
      </c>
      <c r="Q129" s="24" t="str">
        <f>IF($A129="","",SUMIFS(Assistance_Log!$F$5:$F$367,Assistance_Log!$C$5:$C$367,$A129,Assistance_Log!$E$5:$E$367,"Shelter repair kits",Assistance_Log!$B$5:$B$367,"&gt;="&amp;Households!F129))</f>
        <v/>
      </c>
      <c r="R129" s="24" t="str">
        <f t="shared" si="40"/>
        <v/>
      </c>
      <c r="S129" s="24" t="str">
        <f>IF($A129="","",Households!S129*Settings!$B$14)</f>
        <v/>
      </c>
      <c r="T129" s="24" t="str">
        <f>IF($A129="","",SUMIFS(Assistance_Log!$F$5:$F$367,Assistance_Log!$C$5:$C$367,$A129,Assistance_Log!$E$5:$E$367,"Winter clothing – children",Assistance_Log!$B$5:$B$367,"&gt;="&amp;Households!F129))</f>
        <v/>
      </c>
      <c r="U129" s="24" t="str">
        <f t="shared" si="41"/>
        <v/>
      </c>
      <c r="V129" s="24" t="str">
        <f>IF($A129="","",Households!T129*Settings!$B$14)</f>
        <v/>
      </c>
      <c r="W129" s="24" t="str">
        <f>IF($A129="","",SUMIFS(Assistance_Log!$F$5:$F$367,Assistance_Log!$C$5:$C$367,$A129,Assistance_Log!$E$5:$E$367,"Winter clothing – adults",Assistance_Log!$B$5:$B$367,"&gt;="&amp;Households!F129))</f>
        <v/>
      </c>
      <c r="X129" s="24" t="str">
        <f t="shared" si="42"/>
        <v/>
      </c>
      <c r="Y129" s="24" t="str">
        <f>IF($A129="","",Households!J129*Settings!$B$15)</f>
        <v/>
      </c>
      <c r="Z129" s="24" t="str">
        <f>IF($A129="","",SUMIFS(Assistance_Log!$F$5:$F$367,Assistance_Log!$C$5:$C$367,$A129,Assistance_Log!$E$5:$E$367,"Diapers",Assistance_Log!$B$5:$B$367,"&gt;="&amp;Households!F129))</f>
        <v/>
      </c>
      <c r="AA129" s="24" t="str">
        <f t="shared" si="43"/>
        <v/>
      </c>
      <c r="AB129" s="24" t="str">
        <f>IF($A129="","",Settings!$B$16)</f>
        <v/>
      </c>
      <c r="AC129" s="24" t="str">
        <f>IF($A129="","",SUMIFS(Assistance_Log!$F$5:$F$367,Assistance_Log!$C$5:$C$367,$A129,Assistance_Log!$E$5:$E$367,"Family hygiene kits",Assistance_Log!$B$5:$B$367,"&gt;="&amp;Households!F129))</f>
        <v/>
      </c>
      <c r="AD129" s="24" t="str">
        <f t="shared" si="44"/>
        <v/>
      </c>
      <c r="AE129" s="24" t="str">
        <f>IF($A129="","",Households!N129*Settings!$B$17)</f>
        <v/>
      </c>
      <c r="AF129" s="24" t="str">
        <f>IF($A129="","",SUMIFS(Assistance_Log!$F$5:$F$367,Assistance_Log!$C$5:$C$367,$A129,Assistance_Log!$E$5:$E$367,"Menstrual hygiene kits",Assistance_Log!$B$5:$B$367,"&gt;="&amp;Households!F129))</f>
        <v/>
      </c>
      <c r="AG129" s="24" t="str">
        <f t="shared" si="45"/>
        <v/>
      </c>
      <c r="AH129" s="25" t="str">
        <f t="shared" si="46"/>
        <v/>
      </c>
      <c r="AI129" s="24" t="str">
        <f t="shared" si="47"/>
        <v/>
      </c>
    </row>
    <row r="130" spans="1:35" x14ac:dyDescent="0.3">
      <c r="A130" s="24" t="str">
        <f>IF(Households!A130="","",Households!A130)</f>
        <v/>
      </c>
      <c r="B130" s="24" t="str">
        <f>IF($A130="","",Households!B130)</f>
        <v/>
      </c>
      <c r="C130" s="24" t="str">
        <f>IF($A130="","",Households!X130)</f>
        <v/>
      </c>
      <c r="D130" s="24" t="str">
        <f>IF($A130="","",MAX(0,Households!H130*Settings!$B$9-Households!Q130))</f>
        <v/>
      </c>
      <c r="E130" s="24" t="str">
        <f>IF($A130="","",SUMIFS(Assistance_Log!$F$5:$F$367,Assistance_Log!$C$5:$C$367,$A130,Assistance_Log!$E$5:$E$367,"Blankets",Assistance_Log!$B$5:$B$367,"&gt;="&amp;Households!F130))</f>
        <v/>
      </c>
      <c r="F130" s="25" t="str">
        <f t="shared" si="36"/>
        <v/>
      </c>
      <c r="G130" s="24" t="str">
        <f>IF($A130="","",MAX(0,Households!H130*Settings!$B$10-Households!R130))</f>
        <v/>
      </c>
      <c r="H130" s="24" t="str">
        <f>IF($A130="","",SUMIFS(Assistance_Log!$F$5:$F$367,Assistance_Log!$C$5:$C$367,$A130,Assistance_Log!$E$5:$E$367,"Mattresses",Assistance_Log!$B$5:$B$367,"&gt;="&amp;Households!F130))</f>
        <v/>
      </c>
      <c r="I130" s="25" t="str">
        <f t="shared" si="37"/>
        <v/>
      </c>
      <c r="J130" s="24" t="str">
        <f>IF($A130="","",IF(AND(OR(Households!C130="Tent",Households!C130="Makeshift shelter"),Households!D130="Damaged"),Settings!$B$11,0))</f>
        <v/>
      </c>
      <c r="K130" s="24" t="str">
        <f>IF($A130="","",SUMIFS(Assistance_Log!$F$5:$F$367,Assistance_Log!$C$5:$C$367,$A130,Assistance_Log!$E$5:$E$367,"Tarpaulins",Assistance_Log!$B$5:$B$367,"&gt;="&amp;Households!F130))</f>
        <v/>
      </c>
      <c r="L130" s="25" t="str">
        <f t="shared" si="38"/>
        <v/>
      </c>
      <c r="M130" s="24" t="str">
        <f>IF($A130="","",IF(AND(OR(Households!C130="Tent",Households!C130="Makeshift shelter"),Households!D130="Unusable"),Settings!$B$12,0))</f>
        <v/>
      </c>
      <c r="N130" s="24" t="str">
        <f>IF($A130="","",SUMIFS(Assistance_Log!$F$5:$F$367,Assistance_Log!$C$5:$C$367,$A130,Assistance_Log!$E$5:$E$367,"Tent replacement",Assistance_Log!$B$5:$B$367,"&gt;="&amp;Households!F130))</f>
        <v/>
      </c>
      <c r="O130" s="25" t="str">
        <f t="shared" si="39"/>
        <v/>
      </c>
      <c r="P130" s="24" t="str">
        <f>IF($A130="","",IF(Households!D130="Damaged",Settings!$B$13,0))</f>
        <v/>
      </c>
      <c r="Q130" s="24" t="str">
        <f>IF($A130="","",SUMIFS(Assistance_Log!$F$5:$F$367,Assistance_Log!$C$5:$C$367,$A130,Assistance_Log!$E$5:$E$367,"Shelter repair kits",Assistance_Log!$B$5:$B$367,"&gt;="&amp;Households!F130))</f>
        <v/>
      </c>
      <c r="R130" s="24" t="str">
        <f t="shared" si="40"/>
        <v/>
      </c>
      <c r="S130" s="24" t="str">
        <f>IF($A130="","",Households!S130*Settings!$B$14)</f>
        <v/>
      </c>
      <c r="T130" s="24" t="str">
        <f>IF($A130="","",SUMIFS(Assistance_Log!$F$5:$F$367,Assistance_Log!$C$5:$C$367,$A130,Assistance_Log!$E$5:$E$367,"Winter clothing – children",Assistance_Log!$B$5:$B$367,"&gt;="&amp;Households!F130))</f>
        <v/>
      </c>
      <c r="U130" s="24" t="str">
        <f t="shared" si="41"/>
        <v/>
      </c>
      <c r="V130" s="24" t="str">
        <f>IF($A130="","",Households!T130*Settings!$B$14)</f>
        <v/>
      </c>
      <c r="W130" s="24" t="str">
        <f>IF($A130="","",SUMIFS(Assistance_Log!$F$5:$F$367,Assistance_Log!$C$5:$C$367,$A130,Assistance_Log!$E$5:$E$367,"Winter clothing – adults",Assistance_Log!$B$5:$B$367,"&gt;="&amp;Households!F130))</f>
        <v/>
      </c>
      <c r="X130" s="24" t="str">
        <f t="shared" si="42"/>
        <v/>
      </c>
      <c r="Y130" s="24" t="str">
        <f>IF($A130="","",Households!J130*Settings!$B$15)</f>
        <v/>
      </c>
      <c r="Z130" s="24" t="str">
        <f>IF($A130="","",SUMIFS(Assistance_Log!$F$5:$F$367,Assistance_Log!$C$5:$C$367,$A130,Assistance_Log!$E$5:$E$367,"Diapers",Assistance_Log!$B$5:$B$367,"&gt;="&amp;Households!F130))</f>
        <v/>
      </c>
      <c r="AA130" s="24" t="str">
        <f t="shared" si="43"/>
        <v/>
      </c>
      <c r="AB130" s="24" t="str">
        <f>IF($A130="","",Settings!$B$16)</f>
        <v/>
      </c>
      <c r="AC130" s="24" t="str">
        <f>IF($A130="","",SUMIFS(Assistance_Log!$F$5:$F$367,Assistance_Log!$C$5:$C$367,$A130,Assistance_Log!$E$5:$E$367,"Family hygiene kits",Assistance_Log!$B$5:$B$367,"&gt;="&amp;Households!F130))</f>
        <v/>
      </c>
      <c r="AD130" s="24" t="str">
        <f t="shared" si="44"/>
        <v/>
      </c>
      <c r="AE130" s="24" t="str">
        <f>IF($A130="","",Households!N130*Settings!$B$17)</f>
        <v/>
      </c>
      <c r="AF130" s="24" t="str">
        <f>IF($A130="","",SUMIFS(Assistance_Log!$F$5:$F$367,Assistance_Log!$C$5:$C$367,$A130,Assistance_Log!$E$5:$E$367,"Menstrual hygiene kits",Assistance_Log!$B$5:$B$367,"&gt;="&amp;Households!F130))</f>
        <v/>
      </c>
      <c r="AG130" s="24" t="str">
        <f t="shared" si="45"/>
        <v/>
      </c>
      <c r="AH130" s="25" t="str">
        <f t="shared" si="46"/>
        <v/>
      </c>
      <c r="AI130" s="24" t="str">
        <f t="shared" si="47"/>
        <v/>
      </c>
    </row>
    <row r="131" spans="1:35" x14ac:dyDescent="0.3">
      <c r="A131" s="24" t="str">
        <f>IF(Households!A131="","",Households!A131)</f>
        <v/>
      </c>
      <c r="B131" s="24" t="str">
        <f>IF($A131="","",Households!B131)</f>
        <v/>
      </c>
      <c r="C131" s="24" t="str">
        <f>IF($A131="","",Households!X131)</f>
        <v/>
      </c>
      <c r="D131" s="24" t="str">
        <f>IF($A131="","",MAX(0,Households!H131*Settings!$B$9-Households!Q131))</f>
        <v/>
      </c>
      <c r="E131" s="24" t="str">
        <f>IF($A131="","",SUMIFS(Assistance_Log!$F$5:$F$367,Assistance_Log!$C$5:$C$367,$A131,Assistance_Log!$E$5:$E$367,"Blankets",Assistance_Log!$B$5:$B$367,"&gt;="&amp;Households!F131))</f>
        <v/>
      </c>
      <c r="F131" s="25" t="str">
        <f t="shared" si="36"/>
        <v/>
      </c>
      <c r="G131" s="24" t="str">
        <f>IF($A131="","",MAX(0,Households!H131*Settings!$B$10-Households!R131))</f>
        <v/>
      </c>
      <c r="H131" s="24" t="str">
        <f>IF($A131="","",SUMIFS(Assistance_Log!$F$5:$F$367,Assistance_Log!$C$5:$C$367,$A131,Assistance_Log!$E$5:$E$367,"Mattresses",Assistance_Log!$B$5:$B$367,"&gt;="&amp;Households!F131))</f>
        <v/>
      </c>
      <c r="I131" s="25" t="str">
        <f t="shared" si="37"/>
        <v/>
      </c>
      <c r="J131" s="24" t="str">
        <f>IF($A131="","",IF(AND(OR(Households!C131="Tent",Households!C131="Makeshift shelter"),Households!D131="Damaged"),Settings!$B$11,0))</f>
        <v/>
      </c>
      <c r="K131" s="24" t="str">
        <f>IF($A131="","",SUMIFS(Assistance_Log!$F$5:$F$367,Assistance_Log!$C$5:$C$367,$A131,Assistance_Log!$E$5:$E$367,"Tarpaulins",Assistance_Log!$B$5:$B$367,"&gt;="&amp;Households!F131))</f>
        <v/>
      </c>
      <c r="L131" s="25" t="str">
        <f t="shared" si="38"/>
        <v/>
      </c>
      <c r="M131" s="24" t="str">
        <f>IF($A131="","",IF(AND(OR(Households!C131="Tent",Households!C131="Makeshift shelter"),Households!D131="Unusable"),Settings!$B$12,0))</f>
        <v/>
      </c>
      <c r="N131" s="24" t="str">
        <f>IF($A131="","",SUMIFS(Assistance_Log!$F$5:$F$367,Assistance_Log!$C$5:$C$367,$A131,Assistance_Log!$E$5:$E$367,"Tent replacement",Assistance_Log!$B$5:$B$367,"&gt;="&amp;Households!F131))</f>
        <v/>
      </c>
      <c r="O131" s="25" t="str">
        <f t="shared" si="39"/>
        <v/>
      </c>
      <c r="P131" s="24" t="str">
        <f>IF($A131="","",IF(Households!D131="Damaged",Settings!$B$13,0))</f>
        <v/>
      </c>
      <c r="Q131" s="24" t="str">
        <f>IF($A131="","",SUMIFS(Assistance_Log!$F$5:$F$367,Assistance_Log!$C$5:$C$367,$A131,Assistance_Log!$E$5:$E$367,"Shelter repair kits",Assistance_Log!$B$5:$B$367,"&gt;="&amp;Households!F131))</f>
        <v/>
      </c>
      <c r="R131" s="24" t="str">
        <f t="shared" si="40"/>
        <v/>
      </c>
      <c r="S131" s="24" t="str">
        <f>IF($A131="","",Households!S131*Settings!$B$14)</f>
        <v/>
      </c>
      <c r="T131" s="24" t="str">
        <f>IF($A131="","",SUMIFS(Assistance_Log!$F$5:$F$367,Assistance_Log!$C$5:$C$367,$A131,Assistance_Log!$E$5:$E$367,"Winter clothing – children",Assistance_Log!$B$5:$B$367,"&gt;="&amp;Households!F131))</f>
        <v/>
      </c>
      <c r="U131" s="24" t="str">
        <f t="shared" si="41"/>
        <v/>
      </c>
      <c r="V131" s="24" t="str">
        <f>IF($A131="","",Households!T131*Settings!$B$14)</f>
        <v/>
      </c>
      <c r="W131" s="24" t="str">
        <f>IF($A131="","",SUMIFS(Assistance_Log!$F$5:$F$367,Assistance_Log!$C$5:$C$367,$A131,Assistance_Log!$E$5:$E$367,"Winter clothing – adults",Assistance_Log!$B$5:$B$367,"&gt;="&amp;Households!F131))</f>
        <v/>
      </c>
      <c r="X131" s="24" t="str">
        <f t="shared" si="42"/>
        <v/>
      </c>
      <c r="Y131" s="24" t="str">
        <f>IF($A131="","",Households!J131*Settings!$B$15)</f>
        <v/>
      </c>
      <c r="Z131" s="24" t="str">
        <f>IF($A131="","",SUMIFS(Assistance_Log!$F$5:$F$367,Assistance_Log!$C$5:$C$367,$A131,Assistance_Log!$E$5:$E$367,"Diapers",Assistance_Log!$B$5:$B$367,"&gt;="&amp;Households!F131))</f>
        <v/>
      </c>
      <c r="AA131" s="24" t="str">
        <f t="shared" si="43"/>
        <v/>
      </c>
      <c r="AB131" s="24" t="str">
        <f>IF($A131="","",Settings!$B$16)</f>
        <v/>
      </c>
      <c r="AC131" s="24" t="str">
        <f>IF($A131="","",SUMIFS(Assistance_Log!$F$5:$F$367,Assistance_Log!$C$5:$C$367,$A131,Assistance_Log!$E$5:$E$367,"Family hygiene kits",Assistance_Log!$B$5:$B$367,"&gt;="&amp;Households!F131))</f>
        <v/>
      </c>
      <c r="AD131" s="24" t="str">
        <f t="shared" si="44"/>
        <v/>
      </c>
      <c r="AE131" s="24" t="str">
        <f>IF($A131="","",Households!N131*Settings!$B$17)</f>
        <v/>
      </c>
      <c r="AF131" s="24" t="str">
        <f>IF($A131="","",SUMIFS(Assistance_Log!$F$5:$F$367,Assistance_Log!$C$5:$C$367,$A131,Assistance_Log!$E$5:$E$367,"Menstrual hygiene kits",Assistance_Log!$B$5:$B$367,"&gt;="&amp;Households!F131))</f>
        <v/>
      </c>
      <c r="AG131" s="24" t="str">
        <f t="shared" si="45"/>
        <v/>
      </c>
      <c r="AH131" s="25" t="str">
        <f t="shared" si="46"/>
        <v/>
      </c>
      <c r="AI131" s="24" t="str">
        <f t="shared" si="47"/>
        <v/>
      </c>
    </row>
    <row r="132" spans="1:35" x14ac:dyDescent="0.3">
      <c r="A132" s="24" t="str">
        <f>IF(Households!A132="","",Households!A132)</f>
        <v/>
      </c>
      <c r="B132" s="24" t="str">
        <f>IF($A132="","",Households!B132)</f>
        <v/>
      </c>
      <c r="C132" s="24" t="str">
        <f>IF($A132="","",Households!X132)</f>
        <v/>
      </c>
      <c r="D132" s="24" t="str">
        <f>IF($A132="","",MAX(0,Households!H132*Settings!$B$9-Households!Q132))</f>
        <v/>
      </c>
      <c r="E132" s="24" t="str">
        <f>IF($A132="","",SUMIFS(Assistance_Log!$F$5:$F$367,Assistance_Log!$C$5:$C$367,$A132,Assistance_Log!$E$5:$E$367,"Blankets",Assistance_Log!$B$5:$B$367,"&gt;="&amp;Households!F132))</f>
        <v/>
      </c>
      <c r="F132" s="25" t="str">
        <f t="shared" si="36"/>
        <v/>
      </c>
      <c r="G132" s="24" t="str">
        <f>IF($A132="","",MAX(0,Households!H132*Settings!$B$10-Households!R132))</f>
        <v/>
      </c>
      <c r="H132" s="24" t="str">
        <f>IF($A132="","",SUMIFS(Assistance_Log!$F$5:$F$367,Assistance_Log!$C$5:$C$367,$A132,Assistance_Log!$E$5:$E$367,"Mattresses",Assistance_Log!$B$5:$B$367,"&gt;="&amp;Households!F132))</f>
        <v/>
      </c>
      <c r="I132" s="25" t="str">
        <f t="shared" si="37"/>
        <v/>
      </c>
      <c r="J132" s="24" t="str">
        <f>IF($A132="","",IF(AND(OR(Households!C132="Tent",Households!C132="Makeshift shelter"),Households!D132="Damaged"),Settings!$B$11,0))</f>
        <v/>
      </c>
      <c r="K132" s="24" t="str">
        <f>IF($A132="","",SUMIFS(Assistance_Log!$F$5:$F$367,Assistance_Log!$C$5:$C$367,$A132,Assistance_Log!$E$5:$E$367,"Tarpaulins",Assistance_Log!$B$5:$B$367,"&gt;="&amp;Households!F132))</f>
        <v/>
      </c>
      <c r="L132" s="25" t="str">
        <f t="shared" si="38"/>
        <v/>
      </c>
      <c r="M132" s="24" t="str">
        <f>IF($A132="","",IF(AND(OR(Households!C132="Tent",Households!C132="Makeshift shelter"),Households!D132="Unusable"),Settings!$B$12,0))</f>
        <v/>
      </c>
      <c r="N132" s="24" t="str">
        <f>IF($A132="","",SUMIFS(Assistance_Log!$F$5:$F$367,Assistance_Log!$C$5:$C$367,$A132,Assistance_Log!$E$5:$E$367,"Tent replacement",Assistance_Log!$B$5:$B$367,"&gt;="&amp;Households!F132))</f>
        <v/>
      </c>
      <c r="O132" s="25" t="str">
        <f t="shared" si="39"/>
        <v/>
      </c>
      <c r="P132" s="24" t="str">
        <f>IF($A132="","",IF(Households!D132="Damaged",Settings!$B$13,0))</f>
        <v/>
      </c>
      <c r="Q132" s="24" t="str">
        <f>IF($A132="","",SUMIFS(Assistance_Log!$F$5:$F$367,Assistance_Log!$C$5:$C$367,$A132,Assistance_Log!$E$5:$E$367,"Shelter repair kits",Assistance_Log!$B$5:$B$367,"&gt;="&amp;Households!F132))</f>
        <v/>
      </c>
      <c r="R132" s="24" t="str">
        <f t="shared" si="40"/>
        <v/>
      </c>
      <c r="S132" s="24" t="str">
        <f>IF($A132="","",Households!S132*Settings!$B$14)</f>
        <v/>
      </c>
      <c r="T132" s="24" t="str">
        <f>IF($A132="","",SUMIFS(Assistance_Log!$F$5:$F$367,Assistance_Log!$C$5:$C$367,$A132,Assistance_Log!$E$5:$E$367,"Winter clothing – children",Assistance_Log!$B$5:$B$367,"&gt;="&amp;Households!F132))</f>
        <v/>
      </c>
      <c r="U132" s="24" t="str">
        <f t="shared" si="41"/>
        <v/>
      </c>
      <c r="V132" s="24" t="str">
        <f>IF($A132="","",Households!T132*Settings!$B$14)</f>
        <v/>
      </c>
      <c r="W132" s="24" t="str">
        <f>IF($A132="","",SUMIFS(Assistance_Log!$F$5:$F$367,Assistance_Log!$C$5:$C$367,$A132,Assistance_Log!$E$5:$E$367,"Winter clothing – adults",Assistance_Log!$B$5:$B$367,"&gt;="&amp;Households!F132))</f>
        <v/>
      </c>
      <c r="X132" s="24" t="str">
        <f t="shared" si="42"/>
        <v/>
      </c>
      <c r="Y132" s="24" t="str">
        <f>IF($A132="","",Households!J132*Settings!$B$15)</f>
        <v/>
      </c>
      <c r="Z132" s="24" t="str">
        <f>IF($A132="","",SUMIFS(Assistance_Log!$F$5:$F$367,Assistance_Log!$C$5:$C$367,$A132,Assistance_Log!$E$5:$E$367,"Diapers",Assistance_Log!$B$5:$B$367,"&gt;="&amp;Households!F132))</f>
        <v/>
      </c>
      <c r="AA132" s="24" t="str">
        <f t="shared" si="43"/>
        <v/>
      </c>
      <c r="AB132" s="24" t="str">
        <f>IF($A132="","",Settings!$B$16)</f>
        <v/>
      </c>
      <c r="AC132" s="24" t="str">
        <f>IF($A132="","",SUMIFS(Assistance_Log!$F$5:$F$367,Assistance_Log!$C$5:$C$367,$A132,Assistance_Log!$E$5:$E$367,"Family hygiene kits",Assistance_Log!$B$5:$B$367,"&gt;="&amp;Households!F132))</f>
        <v/>
      </c>
      <c r="AD132" s="24" t="str">
        <f t="shared" si="44"/>
        <v/>
      </c>
      <c r="AE132" s="24" t="str">
        <f>IF($A132="","",Households!N132*Settings!$B$17)</f>
        <v/>
      </c>
      <c r="AF132" s="24" t="str">
        <f>IF($A132="","",SUMIFS(Assistance_Log!$F$5:$F$367,Assistance_Log!$C$5:$C$367,$A132,Assistance_Log!$E$5:$E$367,"Menstrual hygiene kits",Assistance_Log!$B$5:$B$367,"&gt;="&amp;Households!F132))</f>
        <v/>
      </c>
      <c r="AG132" s="24" t="str">
        <f t="shared" si="45"/>
        <v/>
      </c>
      <c r="AH132" s="25" t="str">
        <f t="shared" si="46"/>
        <v/>
      </c>
      <c r="AI132" s="24" t="str">
        <f t="shared" si="47"/>
        <v/>
      </c>
    </row>
    <row r="133" spans="1:35" x14ac:dyDescent="0.3">
      <c r="A133" s="24" t="str">
        <f>IF(Households!A133="","",Households!A133)</f>
        <v/>
      </c>
      <c r="B133" s="24" t="str">
        <f>IF($A133="","",Households!B133)</f>
        <v/>
      </c>
      <c r="C133" s="24" t="str">
        <f>IF($A133="","",Households!X133)</f>
        <v/>
      </c>
      <c r="D133" s="24" t="str">
        <f>IF($A133="","",MAX(0,Households!H133*Settings!$B$9-Households!Q133))</f>
        <v/>
      </c>
      <c r="E133" s="24" t="str">
        <f>IF($A133="","",SUMIFS(Assistance_Log!$F$5:$F$367,Assistance_Log!$C$5:$C$367,$A133,Assistance_Log!$E$5:$E$367,"Blankets",Assistance_Log!$B$5:$B$367,"&gt;="&amp;Households!F133))</f>
        <v/>
      </c>
      <c r="F133" s="25" t="str">
        <f t="shared" ref="F133:F164" si="48">IF($A133="","",MAX(0,D133-E133))</f>
        <v/>
      </c>
      <c r="G133" s="24" t="str">
        <f>IF($A133="","",MAX(0,Households!H133*Settings!$B$10-Households!R133))</f>
        <v/>
      </c>
      <c r="H133" s="24" t="str">
        <f>IF($A133="","",SUMIFS(Assistance_Log!$F$5:$F$367,Assistance_Log!$C$5:$C$367,$A133,Assistance_Log!$E$5:$E$367,"Mattresses",Assistance_Log!$B$5:$B$367,"&gt;="&amp;Households!F133))</f>
        <v/>
      </c>
      <c r="I133" s="25" t="str">
        <f t="shared" ref="I133:I164" si="49">IF($A133="","",MAX(0,G133-H133))</f>
        <v/>
      </c>
      <c r="J133" s="24" t="str">
        <f>IF($A133="","",IF(AND(OR(Households!C133="Tent",Households!C133="Makeshift shelter"),Households!D133="Damaged"),Settings!$B$11,0))</f>
        <v/>
      </c>
      <c r="K133" s="24" t="str">
        <f>IF($A133="","",SUMIFS(Assistance_Log!$F$5:$F$367,Assistance_Log!$C$5:$C$367,$A133,Assistance_Log!$E$5:$E$367,"Tarpaulins",Assistance_Log!$B$5:$B$367,"&gt;="&amp;Households!F133))</f>
        <v/>
      </c>
      <c r="L133" s="25" t="str">
        <f t="shared" ref="L133:L164" si="50">IF($A133="","",MAX(0,J133-K133))</f>
        <v/>
      </c>
      <c r="M133" s="24" t="str">
        <f>IF($A133="","",IF(AND(OR(Households!C133="Tent",Households!C133="Makeshift shelter"),Households!D133="Unusable"),Settings!$B$12,0))</f>
        <v/>
      </c>
      <c r="N133" s="24" t="str">
        <f>IF($A133="","",SUMIFS(Assistance_Log!$F$5:$F$367,Assistance_Log!$C$5:$C$367,$A133,Assistance_Log!$E$5:$E$367,"Tent replacement",Assistance_Log!$B$5:$B$367,"&gt;="&amp;Households!F133))</f>
        <v/>
      </c>
      <c r="O133" s="25" t="str">
        <f t="shared" ref="O133:O164" si="51">IF($A133="","",MAX(0,M133-N133))</f>
        <v/>
      </c>
      <c r="P133" s="24" t="str">
        <f>IF($A133="","",IF(Households!D133="Damaged",Settings!$B$13,0))</f>
        <v/>
      </c>
      <c r="Q133" s="24" t="str">
        <f>IF($A133="","",SUMIFS(Assistance_Log!$F$5:$F$367,Assistance_Log!$C$5:$C$367,$A133,Assistance_Log!$E$5:$E$367,"Shelter repair kits",Assistance_Log!$B$5:$B$367,"&gt;="&amp;Households!F133))</f>
        <v/>
      </c>
      <c r="R133" s="24" t="str">
        <f t="shared" ref="R133:R164" si="52">IF($A133="","",MAX(0,P133-Q133))</f>
        <v/>
      </c>
      <c r="S133" s="24" t="str">
        <f>IF($A133="","",Households!S133*Settings!$B$14)</f>
        <v/>
      </c>
      <c r="T133" s="24" t="str">
        <f>IF($A133="","",SUMIFS(Assistance_Log!$F$5:$F$367,Assistance_Log!$C$5:$C$367,$A133,Assistance_Log!$E$5:$E$367,"Winter clothing – children",Assistance_Log!$B$5:$B$367,"&gt;="&amp;Households!F133))</f>
        <v/>
      </c>
      <c r="U133" s="24" t="str">
        <f t="shared" ref="U133:U164" si="53">IF($A133="","",MAX(0,S133-T133))</f>
        <v/>
      </c>
      <c r="V133" s="24" t="str">
        <f>IF($A133="","",Households!T133*Settings!$B$14)</f>
        <v/>
      </c>
      <c r="W133" s="24" t="str">
        <f>IF($A133="","",SUMIFS(Assistance_Log!$F$5:$F$367,Assistance_Log!$C$5:$C$367,$A133,Assistance_Log!$E$5:$E$367,"Winter clothing – adults",Assistance_Log!$B$5:$B$367,"&gt;="&amp;Households!F133))</f>
        <v/>
      </c>
      <c r="X133" s="24" t="str">
        <f t="shared" ref="X133:X164" si="54">IF($A133="","",MAX(0,V133-W133))</f>
        <v/>
      </c>
      <c r="Y133" s="24" t="str">
        <f>IF($A133="","",Households!J133*Settings!$B$15)</f>
        <v/>
      </c>
      <c r="Z133" s="24" t="str">
        <f>IF($A133="","",SUMIFS(Assistance_Log!$F$5:$F$367,Assistance_Log!$C$5:$C$367,$A133,Assistance_Log!$E$5:$E$367,"Diapers",Assistance_Log!$B$5:$B$367,"&gt;="&amp;Households!F133))</f>
        <v/>
      </c>
      <c r="AA133" s="24" t="str">
        <f t="shared" ref="AA133:AA164" si="55">IF($A133="","",MAX(0,Y133-Z133))</f>
        <v/>
      </c>
      <c r="AB133" s="24" t="str">
        <f>IF($A133="","",Settings!$B$16)</f>
        <v/>
      </c>
      <c r="AC133" s="24" t="str">
        <f>IF($A133="","",SUMIFS(Assistance_Log!$F$5:$F$367,Assistance_Log!$C$5:$C$367,$A133,Assistance_Log!$E$5:$E$367,"Family hygiene kits",Assistance_Log!$B$5:$B$367,"&gt;="&amp;Households!F133))</f>
        <v/>
      </c>
      <c r="AD133" s="24" t="str">
        <f t="shared" ref="AD133:AD164" si="56">IF($A133="","",MAX(0,AB133-AC133))</f>
        <v/>
      </c>
      <c r="AE133" s="24" t="str">
        <f>IF($A133="","",Households!N133*Settings!$B$17)</f>
        <v/>
      </c>
      <c r="AF133" s="24" t="str">
        <f>IF($A133="","",SUMIFS(Assistance_Log!$F$5:$F$367,Assistance_Log!$C$5:$C$367,$A133,Assistance_Log!$E$5:$E$367,"Menstrual hygiene kits",Assistance_Log!$B$5:$B$367,"&gt;="&amp;Households!F133))</f>
        <v/>
      </c>
      <c r="AG133" s="24" t="str">
        <f t="shared" ref="AG133:AG164" si="57">IF($A133="","",MAX(0,AE133-AF133))</f>
        <v/>
      </c>
      <c r="AH133" s="25" t="str">
        <f t="shared" ref="AH133:AH164" si="58">IF($A133="","",IF(F133+I133+L133+O133+R133+U133+X133+AA133+AD133+AG133&gt;0,"Yes","No"))</f>
        <v/>
      </c>
      <c r="AI133" s="24" t="str">
        <f t="shared" ref="AI133:AI154" si="59">IF($A133="","",(F133&gt;0)+(I133&gt;0)+(L133&gt;0)+(O133&gt;0)+(R133&gt;0)+(U133&gt;0)+(X133&gt;0)+(AA133&gt;0)+(AD133&gt;0)+(AG133&gt;0))</f>
        <v/>
      </c>
    </row>
    <row r="134" spans="1:35" x14ac:dyDescent="0.3">
      <c r="A134" s="24" t="str">
        <f>IF(Households!A134="","",Households!A134)</f>
        <v/>
      </c>
      <c r="B134" s="24" t="str">
        <f>IF($A134="","",Households!B134)</f>
        <v/>
      </c>
      <c r="C134" s="24" t="str">
        <f>IF($A134="","",Households!X134)</f>
        <v/>
      </c>
      <c r="D134" s="24" t="str">
        <f>IF($A134="","",MAX(0,Households!H134*Settings!$B$9-Households!Q134))</f>
        <v/>
      </c>
      <c r="E134" s="24" t="str">
        <f>IF($A134="","",SUMIFS(Assistance_Log!$F$5:$F$367,Assistance_Log!$C$5:$C$367,$A134,Assistance_Log!$E$5:$E$367,"Blankets",Assistance_Log!$B$5:$B$367,"&gt;="&amp;Households!F134))</f>
        <v/>
      </c>
      <c r="F134" s="25" t="str">
        <f t="shared" si="48"/>
        <v/>
      </c>
      <c r="G134" s="24" t="str">
        <f>IF($A134="","",MAX(0,Households!H134*Settings!$B$10-Households!R134))</f>
        <v/>
      </c>
      <c r="H134" s="24" t="str">
        <f>IF($A134="","",SUMIFS(Assistance_Log!$F$5:$F$367,Assistance_Log!$C$5:$C$367,$A134,Assistance_Log!$E$5:$E$367,"Mattresses",Assistance_Log!$B$5:$B$367,"&gt;="&amp;Households!F134))</f>
        <v/>
      </c>
      <c r="I134" s="25" t="str">
        <f t="shared" si="49"/>
        <v/>
      </c>
      <c r="J134" s="24" t="str">
        <f>IF($A134="","",IF(AND(OR(Households!C134="Tent",Households!C134="Makeshift shelter"),Households!D134="Damaged"),Settings!$B$11,0))</f>
        <v/>
      </c>
      <c r="K134" s="24" t="str">
        <f>IF($A134="","",SUMIFS(Assistance_Log!$F$5:$F$367,Assistance_Log!$C$5:$C$367,$A134,Assistance_Log!$E$5:$E$367,"Tarpaulins",Assistance_Log!$B$5:$B$367,"&gt;="&amp;Households!F134))</f>
        <v/>
      </c>
      <c r="L134" s="25" t="str">
        <f t="shared" si="50"/>
        <v/>
      </c>
      <c r="M134" s="24" t="str">
        <f>IF($A134="","",IF(AND(OR(Households!C134="Tent",Households!C134="Makeshift shelter"),Households!D134="Unusable"),Settings!$B$12,0))</f>
        <v/>
      </c>
      <c r="N134" s="24" t="str">
        <f>IF($A134="","",SUMIFS(Assistance_Log!$F$5:$F$367,Assistance_Log!$C$5:$C$367,$A134,Assistance_Log!$E$5:$E$367,"Tent replacement",Assistance_Log!$B$5:$B$367,"&gt;="&amp;Households!F134))</f>
        <v/>
      </c>
      <c r="O134" s="25" t="str">
        <f t="shared" si="51"/>
        <v/>
      </c>
      <c r="P134" s="24" t="str">
        <f>IF($A134="","",IF(Households!D134="Damaged",Settings!$B$13,0))</f>
        <v/>
      </c>
      <c r="Q134" s="24" t="str">
        <f>IF($A134="","",SUMIFS(Assistance_Log!$F$5:$F$367,Assistance_Log!$C$5:$C$367,$A134,Assistance_Log!$E$5:$E$367,"Shelter repair kits",Assistance_Log!$B$5:$B$367,"&gt;="&amp;Households!F134))</f>
        <v/>
      </c>
      <c r="R134" s="24" t="str">
        <f t="shared" si="52"/>
        <v/>
      </c>
      <c r="S134" s="24" t="str">
        <f>IF($A134="","",Households!S134*Settings!$B$14)</f>
        <v/>
      </c>
      <c r="T134" s="24" t="str">
        <f>IF($A134="","",SUMIFS(Assistance_Log!$F$5:$F$367,Assistance_Log!$C$5:$C$367,$A134,Assistance_Log!$E$5:$E$367,"Winter clothing – children",Assistance_Log!$B$5:$B$367,"&gt;="&amp;Households!F134))</f>
        <v/>
      </c>
      <c r="U134" s="24" t="str">
        <f t="shared" si="53"/>
        <v/>
      </c>
      <c r="V134" s="24" t="str">
        <f>IF($A134="","",Households!T134*Settings!$B$14)</f>
        <v/>
      </c>
      <c r="W134" s="24" t="str">
        <f>IF($A134="","",SUMIFS(Assistance_Log!$F$5:$F$367,Assistance_Log!$C$5:$C$367,$A134,Assistance_Log!$E$5:$E$367,"Winter clothing – adults",Assistance_Log!$B$5:$B$367,"&gt;="&amp;Households!F134))</f>
        <v/>
      </c>
      <c r="X134" s="24" t="str">
        <f t="shared" si="54"/>
        <v/>
      </c>
      <c r="Y134" s="24" t="str">
        <f>IF($A134="","",Households!J134*Settings!$B$15)</f>
        <v/>
      </c>
      <c r="Z134" s="24" t="str">
        <f>IF($A134="","",SUMIFS(Assistance_Log!$F$5:$F$367,Assistance_Log!$C$5:$C$367,$A134,Assistance_Log!$E$5:$E$367,"Diapers",Assistance_Log!$B$5:$B$367,"&gt;="&amp;Households!F134))</f>
        <v/>
      </c>
      <c r="AA134" s="24" t="str">
        <f t="shared" si="55"/>
        <v/>
      </c>
      <c r="AB134" s="24" t="str">
        <f>IF($A134="","",Settings!$B$16)</f>
        <v/>
      </c>
      <c r="AC134" s="24" t="str">
        <f>IF($A134="","",SUMIFS(Assistance_Log!$F$5:$F$367,Assistance_Log!$C$5:$C$367,$A134,Assistance_Log!$E$5:$E$367,"Family hygiene kits",Assistance_Log!$B$5:$B$367,"&gt;="&amp;Households!F134))</f>
        <v/>
      </c>
      <c r="AD134" s="24" t="str">
        <f t="shared" si="56"/>
        <v/>
      </c>
      <c r="AE134" s="24" t="str">
        <f>IF($A134="","",Households!N134*Settings!$B$17)</f>
        <v/>
      </c>
      <c r="AF134" s="24" t="str">
        <f>IF($A134="","",SUMIFS(Assistance_Log!$F$5:$F$367,Assistance_Log!$C$5:$C$367,$A134,Assistance_Log!$E$5:$E$367,"Menstrual hygiene kits",Assistance_Log!$B$5:$B$367,"&gt;="&amp;Households!F134))</f>
        <v/>
      </c>
      <c r="AG134" s="24" t="str">
        <f t="shared" si="57"/>
        <v/>
      </c>
      <c r="AH134" s="25" t="str">
        <f t="shared" si="58"/>
        <v/>
      </c>
      <c r="AI134" s="24" t="str">
        <f t="shared" si="59"/>
        <v/>
      </c>
    </row>
    <row r="135" spans="1:35" x14ac:dyDescent="0.3">
      <c r="A135" s="24" t="str">
        <f>IF(Households!A135="","",Households!A135)</f>
        <v/>
      </c>
      <c r="B135" s="24" t="str">
        <f>IF($A135="","",Households!B135)</f>
        <v/>
      </c>
      <c r="C135" s="24" t="str">
        <f>IF($A135="","",Households!X135)</f>
        <v/>
      </c>
      <c r="D135" s="24" t="str">
        <f>IF($A135="","",MAX(0,Households!H135*Settings!$B$9-Households!Q135))</f>
        <v/>
      </c>
      <c r="E135" s="24" t="str">
        <f>IF($A135="","",SUMIFS(Assistance_Log!$F$5:$F$367,Assistance_Log!$C$5:$C$367,$A135,Assistance_Log!$E$5:$E$367,"Blankets",Assistance_Log!$B$5:$B$367,"&gt;="&amp;Households!F135))</f>
        <v/>
      </c>
      <c r="F135" s="25" t="str">
        <f t="shared" si="48"/>
        <v/>
      </c>
      <c r="G135" s="24" t="str">
        <f>IF($A135="","",MAX(0,Households!H135*Settings!$B$10-Households!R135))</f>
        <v/>
      </c>
      <c r="H135" s="24" t="str">
        <f>IF($A135="","",SUMIFS(Assistance_Log!$F$5:$F$367,Assistance_Log!$C$5:$C$367,$A135,Assistance_Log!$E$5:$E$367,"Mattresses",Assistance_Log!$B$5:$B$367,"&gt;="&amp;Households!F135))</f>
        <v/>
      </c>
      <c r="I135" s="25" t="str">
        <f t="shared" si="49"/>
        <v/>
      </c>
      <c r="J135" s="24" t="str">
        <f>IF($A135="","",IF(AND(OR(Households!C135="Tent",Households!C135="Makeshift shelter"),Households!D135="Damaged"),Settings!$B$11,0))</f>
        <v/>
      </c>
      <c r="K135" s="24" t="str">
        <f>IF($A135="","",SUMIFS(Assistance_Log!$F$5:$F$367,Assistance_Log!$C$5:$C$367,$A135,Assistance_Log!$E$5:$E$367,"Tarpaulins",Assistance_Log!$B$5:$B$367,"&gt;="&amp;Households!F135))</f>
        <v/>
      </c>
      <c r="L135" s="25" t="str">
        <f t="shared" si="50"/>
        <v/>
      </c>
      <c r="M135" s="24" t="str">
        <f>IF($A135="","",IF(AND(OR(Households!C135="Tent",Households!C135="Makeshift shelter"),Households!D135="Unusable"),Settings!$B$12,0))</f>
        <v/>
      </c>
      <c r="N135" s="24" t="str">
        <f>IF($A135="","",SUMIFS(Assistance_Log!$F$5:$F$367,Assistance_Log!$C$5:$C$367,$A135,Assistance_Log!$E$5:$E$367,"Tent replacement",Assistance_Log!$B$5:$B$367,"&gt;="&amp;Households!F135))</f>
        <v/>
      </c>
      <c r="O135" s="25" t="str">
        <f t="shared" si="51"/>
        <v/>
      </c>
      <c r="P135" s="24" t="str">
        <f>IF($A135="","",IF(Households!D135="Damaged",Settings!$B$13,0))</f>
        <v/>
      </c>
      <c r="Q135" s="24" t="str">
        <f>IF($A135="","",SUMIFS(Assistance_Log!$F$5:$F$367,Assistance_Log!$C$5:$C$367,$A135,Assistance_Log!$E$5:$E$367,"Shelter repair kits",Assistance_Log!$B$5:$B$367,"&gt;="&amp;Households!F135))</f>
        <v/>
      </c>
      <c r="R135" s="24" t="str">
        <f t="shared" si="52"/>
        <v/>
      </c>
      <c r="S135" s="24" t="str">
        <f>IF($A135="","",Households!S135*Settings!$B$14)</f>
        <v/>
      </c>
      <c r="T135" s="24" t="str">
        <f>IF($A135="","",SUMIFS(Assistance_Log!$F$5:$F$367,Assistance_Log!$C$5:$C$367,$A135,Assistance_Log!$E$5:$E$367,"Winter clothing – children",Assistance_Log!$B$5:$B$367,"&gt;="&amp;Households!F135))</f>
        <v/>
      </c>
      <c r="U135" s="24" t="str">
        <f t="shared" si="53"/>
        <v/>
      </c>
      <c r="V135" s="24" t="str">
        <f>IF($A135="","",Households!T135*Settings!$B$14)</f>
        <v/>
      </c>
      <c r="W135" s="24" t="str">
        <f>IF($A135="","",SUMIFS(Assistance_Log!$F$5:$F$367,Assistance_Log!$C$5:$C$367,$A135,Assistance_Log!$E$5:$E$367,"Winter clothing – adults",Assistance_Log!$B$5:$B$367,"&gt;="&amp;Households!F135))</f>
        <v/>
      </c>
      <c r="X135" s="24" t="str">
        <f t="shared" si="54"/>
        <v/>
      </c>
      <c r="Y135" s="24" t="str">
        <f>IF($A135="","",Households!J135*Settings!$B$15)</f>
        <v/>
      </c>
      <c r="Z135" s="24" t="str">
        <f>IF($A135="","",SUMIFS(Assistance_Log!$F$5:$F$367,Assistance_Log!$C$5:$C$367,$A135,Assistance_Log!$E$5:$E$367,"Diapers",Assistance_Log!$B$5:$B$367,"&gt;="&amp;Households!F135))</f>
        <v/>
      </c>
      <c r="AA135" s="24" t="str">
        <f t="shared" si="55"/>
        <v/>
      </c>
      <c r="AB135" s="24" t="str">
        <f>IF($A135="","",Settings!$B$16)</f>
        <v/>
      </c>
      <c r="AC135" s="24" t="str">
        <f>IF($A135="","",SUMIFS(Assistance_Log!$F$5:$F$367,Assistance_Log!$C$5:$C$367,$A135,Assistance_Log!$E$5:$E$367,"Family hygiene kits",Assistance_Log!$B$5:$B$367,"&gt;="&amp;Households!F135))</f>
        <v/>
      </c>
      <c r="AD135" s="24" t="str">
        <f t="shared" si="56"/>
        <v/>
      </c>
      <c r="AE135" s="24" t="str">
        <f>IF($A135="","",Households!N135*Settings!$B$17)</f>
        <v/>
      </c>
      <c r="AF135" s="24" t="str">
        <f>IF($A135="","",SUMIFS(Assistance_Log!$F$5:$F$367,Assistance_Log!$C$5:$C$367,$A135,Assistance_Log!$E$5:$E$367,"Menstrual hygiene kits",Assistance_Log!$B$5:$B$367,"&gt;="&amp;Households!F135))</f>
        <v/>
      </c>
      <c r="AG135" s="24" t="str">
        <f t="shared" si="57"/>
        <v/>
      </c>
      <c r="AH135" s="25" t="str">
        <f t="shared" si="58"/>
        <v/>
      </c>
      <c r="AI135" s="24" t="str">
        <f t="shared" si="59"/>
        <v/>
      </c>
    </row>
    <row r="136" spans="1:35" x14ac:dyDescent="0.3">
      <c r="A136" s="24" t="str">
        <f>IF(Households!A136="","",Households!A136)</f>
        <v/>
      </c>
      <c r="B136" s="24" t="str">
        <f>IF($A136="","",Households!B136)</f>
        <v/>
      </c>
      <c r="C136" s="24" t="str">
        <f>IF($A136="","",Households!X136)</f>
        <v/>
      </c>
      <c r="D136" s="24" t="str">
        <f>IF($A136="","",MAX(0,Households!H136*Settings!$B$9-Households!Q136))</f>
        <v/>
      </c>
      <c r="E136" s="24" t="str">
        <f>IF($A136="","",SUMIFS(Assistance_Log!$F$5:$F$367,Assistance_Log!$C$5:$C$367,$A136,Assistance_Log!$E$5:$E$367,"Blankets",Assistance_Log!$B$5:$B$367,"&gt;="&amp;Households!F136))</f>
        <v/>
      </c>
      <c r="F136" s="25" t="str">
        <f t="shared" si="48"/>
        <v/>
      </c>
      <c r="G136" s="24" t="str">
        <f>IF($A136="","",MAX(0,Households!H136*Settings!$B$10-Households!R136))</f>
        <v/>
      </c>
      <c r="H136" s="24" t="str">
        <f>IF($A136="","",SUMIFS(Assistance_Log!$F$5:$F$367,Assistance_Log!$C$5:$C$367,$A136,Assistance_Log!$E$5:$E$367,"Mattresses",Assistance_Log!$B$5:$B$367,"&gt;="&amp;Households!F136))</f>
        <v/>
      </c>
      <c r="I136" s="25" t="str">
        <f t="shared" si="49"/>
        <v/>
      </c>
      <c r="J136" s="24" t="str">
        <f>IF($A136="","",IF(AND(OR(Households!C136="Tent",Households!C136="Makeshift shelter"),Households!D136="Damaged"),Settings!$B$11,0))</f>
        <v/>
      </c>
      <c r="K136" s="24" t="str">
        <f>IF($A136="","",SUMIFS(Assistance_Log!$F$5:$F$367,Assistance_Log!$C$5:$C$367,$A136,Assistance_Log!$E$5:$E$367,"Tarpaulins",Assistance_Log!$B$5:$B$367,"&gt;="&amp;Households!F136))</f>
        <v/>
      </c>
      <c r="L136" s="25" t="str">
        <f t="shared" si="50"/>
        <v/>
      </c>
      <c r="M136" s="24" t="str">
        <f>IF($A136="","",IF(AND(OR(Households!C136="Tent",Households!C136="Makeshift shelter"),Households!D136="Unusable"),Settings!$B$12,0))</f>
        <v/>
      </c>
      <c r="N136" s="24" t="str">
        <f>IF($A136="","",SUMIFS(Assistance_Log!$F$5:$F$367,Assistance_Log!$C$5:$C$367,$A136,Assistance_Log!$E$5:$E$367,"Tent replacement",Assistance_Log!$B$5:$B$367,"&gt;="&amp;Households!F136))</f>
        <v/>
      </c>
      <c r="O136" s="25" t="str">
        <f t="shared" si="51"/>
        <v/>
      </c>
      <c r="P136" s="24" t="str">
        <f>IF($A136="","",IF(Households!D136="Damaged",Settings!$B$13,0))</f>
        <v/>
      </c>
      <c r="Q136" s="24" t="str">
        <f>IF($A136="","",SUMIFS(Assistance_Log!$F$5:$F$367,Assistance_Log!$C$5:$C$367,$A136,Assistance_Log!$E$5:$E$367,"Shelter repair kits",Assistance_Log!$B$5:$B$367,"&gt;="&amp;Households!F136))</f>
        <v/>
      </c>
      <c r="R136" s="24" t="str">
        <f t="shared" si="52"/>
        <v/>
      </c>
      <c r="S136" s="24" t="str">
        <f>IF($A136="","",Households!S136*Settings!$B$14)</f>
        <v/>
      </c>
      <c r="T136" s="24" t="str">
        <f>IF($A136="","",SUMIFS(Assistance_Log!$F$5:$F$367,Assistance_Log!$C$5:$C$367,$A136,Assistance_Log!$E$5:$E$367,"Winter clothing – children",Assistance_Log!$B$5:$B$367,"&gt;="&amp;Households!F136))</f>
        <v/>
      </c>
      <c r="U136" s="24" t="str">
        <f t="shared" si="53"/>
        <v/>
      </c>
      <c r="V136" s="24" t="str">
        <f>IF($A136="","",Households!T136*Settings!$B$14)</f>
        <v/>
      </c>
      <c r="W136" s="24" t="str">
        <f>IF($A136="","",SUMIFS(Assistance_Log!$F$5:$F$367,Assistance_Log!$C$5:$C$367,$A136,Assistance_Log!$E$5:$E$367,"Winter clothing – adults",Assistance_Log!$B$5:$B$367,"&gt;="&amp;Households!F136))</f>
        <v/>
      </c>
      <c r="X136" s="24" t="str">
        <f t="shared" si="54"/>
        <v/>
      </c>
      <c r="Y136" s="24" t="str">
        <f>IF($A136="","",Households!J136*Settings!$B$15)</f>
        <v/>
      </c>
      <c r="Z136" s="24" t="str">
        <f>IF($A136="","",SUMIFS(Assistance_Log!$F$5:$F$367,Assistance_Log!$C$5:$C$367,$A136,Assistance_Log!$E$5:$E$367,"Diapers",Assistance_Log!$B$5:$B$367,"&gt;="&amp;Households!F136))</f>
        <v/>
      </c>
      <c r="AA136" s="24" t="str">
        <f t="shared" si="55"/>
        <v/>
      </c>
      <c r="AB136" s="24" t="str">
        <f>IF($A136="","",Settings!$B$16)</f>
        <v/>
      </c>
      <c r="AC136" s="24" t="str">
        <f>IF($A136="","",SUMIFS(Assistance_Log!$F$5:$F$367,Assistance_Log!$C$5:$C$367,$A136,Assistance_Log!$E$5:$E$367,"Family hygiene kits",Assistance_Log!$B$5:$B$367,"&gt;="&amp;Households!F136))</f>
        <v/>
      </c>
      <c r="AD136" s="24" t="str">
        <f t="shared" si="56"/>
        <v/>
      </c>
      <c r="AE136" s="24" t="str">
        <f>IF($A136="","",Households!N136*Settings!$B$17)</f>
        <v/>
      </c>
      <c r="AF136" s="24" t="str">
        <f>IF($A136="","",SUMIFS(Assistance_Log!$F$5:$F$367,Assistance_Log!$C$5:$C$367,$A136,Assistance_Log!$E$5:$E$367,"Menstrual hygiene kits",Assistance_Log!$B$5:$B$367,"&gt;="&amp;Households!F136))</f>
        <v/>
      </c>
      <c r="AG136" s="24" t="str">
        <f t="shared" si="57"/>
        <v/>
      </c>
      <c r="AH136" s="25" t="str">
        <f t="shared" si="58"/>
        <v/>
      </c>
      <c r="AI136" s="24" t="str">
        <f t="shared" si="59"/>
        <v/>
      </c>
    </row>
    <row r="137" spans="1:35" x14ac:dyDescent="0.3">
      <c r="A137" s="24" t="str">
        <f>IF(Households!A137="","",Households!A137)</f>
        <v/>
      </c>
      <c r="B137" s="24" t="str">
        <f>IF($A137="","",Households!B137)</f>
        <v/>
      </c>
      <c r="C137" s="24" t="str">
        <f>IF($A137="","",Households!X137)</f>
        <v/>
      </c>
      <c r="D137" s="24" t="str">
        <f>IF($A137="","",MAX(0,Households!H137*Settings!$B$9-Households!Q137))</f>
        <v/>
      </c>
      <c r="E137" s="24" t="str">
        <f>IF($A137="","",SUMIFS(Assistance_Log!$F$5:$F$367,Assistance_Log!$C$5:$C$367,$A137,Assistance_Log!$E$5:$E$367,"Blankets",Assistance_Log!$B$5:$B$367,"&gt;="&amp;Households!F137))</f>
        <v/>
      </c>
      <c r="F137" s="25" t="str">
        <f t="shared" si="48"/>
        <v/>
      </c>
      <c r="G137" s="24" t="str">
        <f>IF($A137="","",MAX(0,Households!H137*Settings!$B$10-Households!R137))</f>
        <v/>
      </c>
      <c r="H137" s="24" t="str">
        <f>IF($A137="","",SUMIFS(Assistance_Log!$F$5:$F$367,Assistance_Log!$C$5:$C$367,$A137,Assistance_Log!$E$5:$E$367,"Mattresses",Assistance_Log!$B$5:$B$367,"&gt;="&amp;Households!F137))</f>
        <v/>
      </c>
      <c r="I137" s="25" t="str">
        <f t="shared" si="49"/>
        <v/>
      </c>
      <c r="J137" s="24" t="str">
        <f>IF($A137="","",IF(AND(OR(Households!C137="Tent",Households!C137="Makeshift shelter"),Households!D137="Damaged"),Settings!$B$11,0))</f>
        <v/>
      </c>
      <c r="K137" s="24" t="str">
        <f>IF($A137="","",SUMIFS(Assistance_Log!$F$5:$F$367,Assistance_Log!$C$5:$C$367,$A137,Assistance_Log!$E$5:$E$367,"Tarpaulins",Assistance_Log!$B$5:$B$367,"&gt;="&amp;Households!F137))</f>
        <v/>
      </c>
      <c r="L137" s="25" t="str">
        <f t="shared" si="50"/>
        <v/>
      </c>
      <c r="M137" s="24" t="str">
        <f>IF($A137="","",IF(AND(OR(Households!C137="Tent",Households!C137="Makeshift shelter"),Households!D137="Unusable"),Settings!$B$12,0))</f>
        <v/>
      </c>
      <c r="N137" s="24" t="str">
        <f>IF($A137="","",SUMIFS(Assistance_Log!$F$5:$F$367,Assistance_Log!$C$5:$C$367,$A137,Assistance_Log!$E$5:$E$367,"Tent replacement",Assistance_Log!$B$5:$B$367,"&gt;="&amp;Households!F137))</f>
        <v/>
      </c>
      <c r="O137" s="25" t="str">
        <f t="shared" si="51"/>
        <v/>
      </c>
      <c r="P137" s="24" t="str">
        <f>IF($A137="","",IF(Households!D137="Damaged",Settings!$B$13,0))</f>
        <v/>
      </c>
      <c r="Q137" s="24" t="str">
        <f>IF($A137="","",SUMIFS(Assistance_Log!$F$5:$F$367,Assistance_Log!$C$5:$C$367,$A137,Assistance_Log!$E$5:$E$367,"Shelter repair kits",Assistance_Log!$B$5:$B$367,"&gt;="&amp;Households!F137))</f>
        <v/>
      </c>
      <c r="R137" s="24" t="str">
        <f t="shared" si="52"/>
        <v/>
      </c>
      <c r="S137" s="24" t="str">
        <f>IF($A137="","",Households!S137*Settings!$B$14)</f>
        <v/>
      </c>
      <c r="T137" s="24" t="str">
        <f>IF($A137="","",SUMIFS(Assistance_Log!$F$5:$F$367,Assistance_Log!$C$5:$C$367,$A137,Assistance_Log!$E$5:$E$367,"Winter clothing – children",Assistance_Log!$B$5:$B$367,"&gt;="&amp;Households!F137))</f>
        <v/>
      </c>
      <c r="U137" s="24" t="str">
        <f t="shared" si="53"/>
        <v/>
      </c>
      <c r="V137" s="24" t="str">
        <f>IF($A137="","",Households!T137*Settings!$B$14)</f>
        <v/>
      </c>
      <c r="W137" s="24" t="str">
        <f>IF($A137="","",SUMIFS(Assistance_Log!$F$5:$F$367,Assistance_Log!$C$5:$C$367,$A137,Assistance_Log!$E$5:$E$367,"Winter clothing – adults",Assistance_Log!$B$5:$B$367,"&gt;="&amp;Households!F137))</f>
        <v/>
      </c>
      <c r="X137" s="24" t="str">
        <f t="shared" si="54"/>
        <v/>
      </c>
      <c r="Y137" s="24" t="str">
        <f>IF($A137="","",Households!J137*Settings!$B$15)</f>
        <v/>
      </c>
      <c r="Z137" s="24" t="str">
        <f>IF($A137="","",SUMIFS(Assistance_Log!$F$5:$F$367,Assistance_Log!$C$5:$C$367,$A137,Assistance_Log!$E$5:$E$367,"Diapers",Assistance_Log!$B$5:$B$367,"&gt;="&amp;Households!F137))</f>
        <v/>
      </c>
      <c r="AA137" s="24" t="str">
        <f t="shared" si="55"/>
        <v/>
      </c>
      <c r="AB137" s="24" t="str">
        <f>IF($A137="","",Settings!$B$16)</f>
        <v/>
      </c>
      <c r="AC137" s="24" t="str">
        <f>IF($A137="","",SUMIFS(Assistance_Log!$F$5:$F$367,Assistance_Log!$C$5:$C$367,$A137,Assistance_Log!$E$5:$E$367,"Family hygiene kits",Assistance_Log!$B$5:$B$367,"&gt;="&amp;Households!F137))</f>
        <v/>
      </c>
      <c r="AD137" s="24" t="str">
        <f t="shared" si="56"/>
        <v/>
      </c>
      <c r="AE137" s="24" t="str">
        <f>IF($A137="","",Households!N137*Settings!$B$17)</f>
        <v/>
      </c>
      <c r="AF137" s="24" t="str">
        <f>IF($A137="","",SUMIFS(Assistance_Log!$F$5:$F$367,Assistance_Log!$C$5:$C$367,$A137,Assistance_Log!$E$5:$E$367,"Menstrual hygiene kits",Assistance_Log!$B$5:$B$367,"&gt;="&amp;Households!F137))</f>
        <v/>
      </c>
      <c r="AG137" s="24" t="str">
        <f t="shared" si="57"/>
        <v/>
      </c>
      <c r="AH137" s="25" t="str">
        <f t="shared" si="58"/>
        <v/>
      </c>
      <c r="AI137" s="24" t="str">
        <f t="shared" si="59"/>
        <v/>
      </c>
    </row>
    <row r="138" spans="1:35" x14ac:dyDescent="0.3">
      <c r="A138" s="24" t="str">
        <f>IF(Households!A138="","",Households!A138)</f>
        <v/>
      </c>
      <c r="B138" s="24" t="str">
        <f>IF($A138="","",Households!B138)</f>
        <v/>
      </c>
      <c r="C138" s="24" t="str">
        <f>IF($A138="","",Households!X138)</f>
        <v/>
      </c>
      <c r="D138" s="24" t="str">
        <f>IF($A138="","",MAX(0,Households!H138*Settings!$B$9-Households!Q138))</f>
        <v/>
      </c>
      <c r="E138" s="24" t="str">
        <f>IF($A138="","",SUMIFS(Assistance_Log!$F$5:$F$367,Assistance_Log!$C$5:$C$367,$A138,Assistance_Log!$E$5:$E$367,"Blankets",Assistance_Log!$B$5:$B$367,"&gt;="&amp;Households!F138))</f>
        <v/>
      </c>
      <c r="F138" s="25" t="str">
        <f t="shared" si="48"/>
        <v/>
      </c>
      <c r="G138" s="24" t="str">
        <f>IF($A138="","",MAX(0,Households!H138*Settings!$B$10-Households!R138))</f>
        <v/>
      </c>
      <c r="H138" s="24" t="str">
        <f>IF($A138="","",SUMIFS(Assistance_Log!$F$5:$F$367,Assistance_Log!$C$5:$C$367,$A138,Assistance_Log!$E$5:$E$367,"Mattresses",Assistance_Log!$B$5:$B$367,"&gt;="&amp;Households!F138))</f>
        <v/>
      </c>
      <c r="I138" s="25" t="str">
        <f t="shared" si="49"/>
        <v/>
      </c>
      <c r="J138" s="24" t="str">
        <f>IF($A138="","",IF(AND(OR(Households!C138="Tent",Households!C138="Makeshift shelter"),Households!D138="Damaged"),Settings!$B$11,0))</f>
        <v/>
      </c>
      <c r="K138" s="24" t="str">
        <f>IF($A138="","",SUMIFS(Assistance_Log!$F$5:$F$367,Assistance_Log!$C$5:$C$367,$A138,Assistance_Log!$E$5:$E$367,"Tarpaulins",Assistance_Log!$B$5:$B$367,"&gt;="&amp;Households!F138))</f>
        <v/>
      </c>
      <c r="L138" s="25" t="str">
        <f t="shared" si="50"/>
        <v/>
      </c>
      <c r="M138" s="24" t="str">
        <f>IF($A138="","",IF(AND(OR(Households!C138="Tent",Households!C138="Makeshift shelter"),Households!D138="Unusable"),Settings!$B$12,0))</f>
        <v/>
      </c>
      <c r="N138" s="24" t="str">
        <f>IF($A138="","",SUMIFS(Assistance_Log!$F$5:$F$367,Assistance_Log!$C$5:$C$367,$A138,Assistance_Log!$E$5:$E$367,"Tent replacement",Assistance_Log!$B$5:$B$367,"&gt;="&amp;Households!F138))</f>
        <v/>
      </c>
      <c r="O138" s="25" t="str">
        <f t="shared" si="51"/>
        <v/>
      </c>
      <c r="P138" s="24" t="str">
        <f>IF($A138="","",IF(Households!D138="Damaged",Settings!$B$13,0))</f>
        <v/>
      </c>
      <c r="Q138" s="24" t="str">
        <f>IF($A138="","",SUMIFS(Assistance_Log!$F$5:$F$367,Assistance_Log!$C$5:$C$367,$A138,Assistance_Log!$E$5:$E$367,"Shelter repair kits",Assistance_Log!$B$5:$B$367,"&gt;="&amp;Households!F138))</f>
        <v/>
      </c>
      <c r="R138" s="24" t="str">
        <f t="shared" si="52"/>
        <v/>
      </c>
      <c r="S138" s="24" t="str">
        <f>IF($A138="","",Households!S138*Settings!$B$14)</f>
        <v/>
      </c>
      <c r="T138" s="24" t="str">
        <f>IF($A138="","",SUMIFS(Assistance_Log!$F$5:$F$367,Assistance_Log!$C$5:$C$367,$A138,Assistance_Log!$E$5:$E$367,"Winter clothing – children",Assistance_Log!$B$5:$B$367,"&gt;="&amp;Households!F138))</f>
        <v/>
      </c>
      <c r="U138" s="24" t="str">
        <f t="shared" si="53"/>
        <v/>
      </c>
      <c r="V138" s="24" t="str">
        <f>IF($A138="","",Households!T138*Settings!$B$14)</f>
        <v/>
      </c>
      <c r="W138" s="24" t="str">
        <f>IF($A138="","",SUMIFS(Assistance_Log!$F$5:$F$367,Assistance_Log!$C$5:$C$367,$A138,Assistance_Log!$E$5:$E$367,"Winter clothing – adults",Assistance_Log!$B$5:$B$367,"&gt;="&amp;Households!F138))</f>
        <v/>
      </c>
      <c r="X138" s="24" t="str">
        <f t="shared" si="54"/>
        <v/>
      </c>
      <c r="Y138" s="24" t="str">
        <f>IF($A138="","",Households!J138*Settings!$B$15)</f>
        <v/>
      </c>
      <c r="Z138" s="24" t="str">
        <f>IF($A138="","",SUMIFS(Assistance_Log!$F$5:$F$367,Assistance_Log!$C$5:$C$367,$A138,Assistance_Log!$E$5:$E$367,"Diapers",Assistance_Log!$B$5:$B$367,"&gt;="&amp;Households!F138))</f>
        <v/>
      </c>
      <c r="AA138" s="24" t="str">
        <f t="shared" si="55"/>
        <v/>
      </c>
      <c r="AB138" s="24" t="str">
        <f>IF($A138="","",Settings!$B$16)</f>
        <v/>
      </c>
      <c r="AC138" s="24" t="str">
        <f>IF($A138="","",SUMIFS(Assistance_Log!$F$5:$F$367,Assistance_Log!$C$5:$C$367,$A138,Assistance_Log!$E$5:$E$367,"Family hygiene kits",Assistance_Log!$B$5:$B$367,"&gt;="&amp;Households!F138))</f>
        <v/>
      </c>
      <c r="AD138" s="24" t="str">
        <f t="shared" si="56"/>
        <v/>
      </c>
      <c r="AE138" s="24" t="str">
        <f>IF($A138="","",Households!N138*Settings!$B$17)</f>
        <v/>
      </c>
      <c r="AF138" s="24" t="str">
        <f>IF($A138="","",SUMIFS(Assistance_Log!$F$5:$F$367,Assistance_Log!$C$5:$C$367,$A138,Assistance_Log!$E$5:$E$367,"Menstrual hygiene kits",Assistance_Log!$B$5:$B$367,"&gt;="&amp;Households!F138))</f>
        <v/>
      </c>
      <c r="AG138" s="24" t="str">
        <f t="shared" si="57"/>
        <v/>
      </c>
      <c r="AH138" s="25" t="str">
        <f t="shared" si="58"/>
        <v/>
      </c>
      <c r="AI138" s="24" t="str">
        <f t="shared" si="59"/>
        <v/>
      </c>
    </row>
    <row r="139" spans="1:35" x14ac:dyDescent="0.3">
      <c r="A139" s="24" t="str">
        <f>IF(Households!A139="","",Households!A139)</f>
        <v/>
      </c>
      <c r="B139" s="24" t="str">
        <f>IF($A139="","",Households!B139)</f>
        <v/>
      </c>
      <c r="C139" s="24" t="str">
        <f>IF($A139="","",Households!X139)</f>
        <v/>
      </c>
      <c r="D139" s="24" t="str">
        <f>IF($A139="","",MAX(0,Households!H139*Settings!$B$9-Households!Q139))</f>
        <v/>
      </c>
      <c r="E139" s="24" t="str">
        <f>IF($A139="","",SUMIFS(Assistance_Log!$F$5:$F$367,Assistance_Log!$C$5:$C$367,$A139,Assistance_Log!$E$5:$E$367,"Blankets",Assistance_Log!$B$5:$B$367,"&gt;="&amp;Households!F139))</f>
        <v/>
      </c>
      <c r="F139" s="25" t="str">
        <f t="shared" si="48"/>
        <v/>
      </c>
      <c r="G139" s="24" t="str">
        <f>IF($A139="","",MAX(0,Households!H139*Settings!$B$10-Households!R139))</f>
        <v/>
      </c>
      <c r="H139" s="24" t="str">
        <f>IF($A139="","",SUMIFS(Assistance_Log!$F$5:$F$367,Assistance_Log!$C$5:$C$367,$A139,Assistance_Log!$E$5:$E$367,"Mattresses",Assistance_Log!$B$5:$B$367,"&gt;="&amp;Households!F139))</f>
        <v/>
      </c>
      <c r="I139" s="25" t="str">
        <f t="shared" si="49"/>
        <v/>
      </c>
      <c r="J139" s="24" t="str">
        <f>IF($A139="","",IF(AND(OR(Households!C139="Tent",Households!C139="Makeshift shelter"),Households!D139="Damaged"),Settings!$B$11,0))</f>
        <v/>
      </c>
      <c r="K139" s="24" t="str">
        <f>IF($A139="","",SUMIFS(Assistance_Log!$F$5:$F$367,Assistance_Log!$C$5:$C$367,$A139,Assistance_Log!$E$5:$E$367,"Tarpaulins",Assistance_Log!$B$5:$B$367,"&gt;="&amp;Households!F139))</f>
        <v/>
      </c>
      <c r="L139" s="25" t="str">
        <f t="shared" si="50"/>
        <v/>
      </c>
      <c r="M139" s="24" t="str">
        <f>IF($A139="","",IF(AND(OR(Households!C139="Tent",Households!C139="Makeshift shelter"),Households!D139="Unusable"),Settings!$B$12,0))</f>
        <v/>
      </c>
      <c r="N139" s="24" t="str">
        <f>IF($A139="","",SUMIFS(Assistance_Log!$F$5:$F$367,Assistance_Log!$C$5:$C$367,$A139,Assistance_Log!$E$5:$E$367,"Tent replacement",Assistance_Log!$B$5:$B$367,"&gt;="&amp;Households!F139))</f>
        <v/>
      </c>
      <c r="O139" s="25" t="str">
        <f t="shared" si="51"/>
        <v/>
      </c>
      <c r="P139" s="24" t="str">
        <f>IF($A139="","",IF(Households!D139="Damaged",Settings!$B$13,0))</f>
        <v/>
      </c>
      <c r="Q139" s="24" t="str">
        <f>IF($A139="","",SUMIFS(Assistance_Log!$F$5:$F$367,Assistance_Log!$C$5:$C$367,$A139,Assistance_Log!$E$5:$E$367,"Shelter repair kits",Assistance_Log!$B$5:$B$367,"&gt;="&amp;Households!F139))</f>
        <v/>
      </c>
      <c r="R139" s="24" t="str">
        <f t="shared" si="52"/>
        <v/>
      </c>
      <c r="S139" s="24" t="str">
        <f>IF($A139="","",Households!S139*Settings!$B$14)</f>
        <v/>
      </c>
      <c r="T139" s="24" t="str">
        <f>IF($A139="","",SUMIFS(Assistance_Log!$F$5:$F$367,Assistance_Log!$C$5:$C$367,$A139,Assistance_Log!$E$5:$E$367,"Winter clothing – children",Assistance_Log!$B$5:$B$367,"&gt;="&amp;Households!F139))</f>
        <v/>
      </c>
      <c r="U139" s="24" t="str">
        <f t="shared" si="53"/>
        <v/>
      </c>
      <c r="V139" s="24" t="str">
        <f>IF($A139="","",Households!T139*Settings!$B$14)</f>
        <v/>
      </c>
      <c r="W139" s="24" t="str">
        <f>IF($A139="","",SUMIFS(Assistance_Log!$F$5:$F$367,Assistance_Log!$C$5:$C$367,$A139,Assistance_Log!$E$5:$E$367,"Winter clothing – adults",Assistance_Log!$B$5:$B$367,"&gt;="&amp;Households!F139))</f>
        <v/>
      </c>
      <c r="X139" s="24" t="str">
        <f t="shared" si="54"/>
        <v/>
      </c>
      <c r="Y139" s="24" t="str">
        <f>IF($A139="","",Households!J139*Settings!$B$15)</f>
        <v/>
      </c>
      <c r="Z139" s="24" t="str">
        <f>IF($A139="","",SUMIFS(Assistance_Log!$F$5:$F$367,Assistance_Log!$C$5:$C$367,$A139,Assistance_Log!$E$5:$E$367,"Diapers",Assistance_Log!$B$5:$B$367,"&gt;="&amp;Households!F139))</f>
        <v/>
      </c>
      <c r="AA139" s="24" t="str">
        <f t="shared" si="55"/>
        <v/>
      </c>
      <c r="AB139" s="24" t="str">
        <f>IF($A139="","",Settings!$B$16)</f>
        <v/>
      </c>
      <c r="AC139" s="24" t="str">
        <f>IF($A139="","",SUMIFS(Assistance_Log!$F$5:$F$367,Assistance_Log!$C$5:$C$367,$A139,Assistance_Log!$E$5:$E$367,"Family hygiene kits",Assistance_Log!$B$5:$B$367,"&gt;="&amp;Households!F139))</f>
        <v/>
      </c>
      <c r="AD139" s="24" t="str">
        <f t="shared" si="56"/>
        <v/>
      </c>
      <c r="AE139" s="24" t="str">
        <f>IF($A139="","",Households!N139*Settings!$B$17)</f>
        <v/>
      </c>
      <c r="AF139" s="24" t="str">
        <f>IF($A139="","",SUMIFS(Assistance_Log!$F$5:$F$367,Assistance_Log!$C$5:$C$367,$A139,Assistance_Log!$E$5:$E$367,"Menstrual hygiene kits",Assistance_Log!$B$5:$B$367,"&gt;="&amp;Households!F139))</f>
        <v/>
      </c>
      <c r="AG139" s="24" t="str">
        <f t="shared" si="57"/>
        <v/>
      </c>
      <c r="AH139" s="25" t="str">
        <f t="shared" si="58"/>
        <v/>
      </c>
      <c r="AI139" s="24" t="str">
        <f t="shared" si="59"/>
        <v/>
      </c>
    </row>
    <row r="140" spans="1:35" x14ac:dyDescent="0.3">
      <c r="A140" s="24" t="str">
        <f>IF(Households!A140="","",Households!A140)</f>
        <v/>
      </c>
      <c r="B140" s="24" t="str">
        <f>IF($A140="","",Households!B140)</f>
        <v/>
      </c>
      <c r="C140" s="24" t="str">
        <f>IF($A140="","",Households!X140)</f>
        <v/>
      </c>
      <c r="D140" s="24" t="str">
        <f>IF($A140="","",MAX(0,Households!H140*Settings!$B$9-Households!Q140))</f>
        <v/>
      </c>
      <c r="E140" s="24" t="str">
        <f>IF($A140="","",SUMIFS(Assistance_Log!$F$5:$F$367,Assistance_Log!$C$5:$C$367,$A140,Assistance_Log!$E$5:$E$367,"Blankets",Assistance_Log!$B$5:$B$367,"&gt;="&amp;Households!F140))</f>
        <v/>
      </c>
      <c r="F140" s="25" t="str">
        <f t="shared" si="48"/>
        <v/>
      </c>
      <c r="G140" s="24" t="str">
        <f>IF($A140="","",MAX(0,Households!H140*Settings!$B$10-Households!R140))</f>
        <v/>
      </c>
      <c r="H140" s="24" t="str">
        <f>IF($A140="","",SUMIFS(Assistance_Log!$F$5:$F$367,Assistance_Log!$C$5:$C$367,$A140,Assistance_Log!$E$5:$E$367,"Mattresses",Assistance_Log!$B$5:$B$367,"&gt;="&amp;Households!F140))</f>
        <v/>
      </c>
      <c r="I140" s="25" t="str">
        <f t="shared" si="49"/>
        <v/>
      </c>
      <c r="J140" s="24" t="str">
        <f>IF($A140="","",IF(AND(OR(Households!C140="Tent",Households!C140="Makeshift shelter"),Households!D140="Damaged"),Settings!$B$11,0))</f>
        <v/>
      </c>
      <c r="K140" s="24" t="str">
        <f>IF($A140="","",SUMIFS(Assistance_Log!$F$5:$F$367,Assistance_Log!$C$5:$C$367,$A140,Assistance_Log!$E$5:$E$367,"Tarpaulins",Assistance_Log!$B$5:$B$367,"&gt;="&amp;Households!F140))</f>
        <v/>
      </c>
      <c r="L140" s="25" t="str">
        <f t="shared" si="50"/>
        <v/>
      </c>
      <c r="M140" s="24" t="str">
        <f>IF($A140="","",IF(AND(OR(Households!C140="Tent",Households!C140="Makeshift shelter"),Households!D140="Unusable"),Settings!$B$12,0))</f>
        <v/>
      </c>
      <c r="N140" s="24" t="str">
        <f>IF($A140="","",SUMIFS(Assistance_Log!$F$5:$F$367,Assistance_Log!$C$5:$C$367,$A140,Assistance_Log!$E$5:$E$367,"Tent replacement",Assistance_Log!$B$5:$B$367,"&gt;="&amp;Households!F140))</f>
        <v/>
      </c>
      <c r="O140" s="25" t="str">
        <f t="shared" si="51"/>
        <v/>
      </c>
      <c r="P140" s="24" t="str">
        <f>IF($A140="","",IF(Households!D140="Damaged",Settings!$B$13,0))</f>
        <v/>
      </c>
      <c r="Q140" s="24" t="str">
        <f>IF($A140="","",SUMIFS(Assistance_Log!$F$5:$F$367,Assistance_Log!$C$5:$C$367,$A140,Assistance_Log!$E$5:$E$367,"Shelter repair kits",Assistance_Log!$B$5:$B$367,"&gt;="&amp;Households!F140))</f>
        <v/>
      </c>
      <c r="R140" s="24" t="str">
        <f t="shared" si="52"/>
        <v/>
      </c>
      <c r="S140" s="24" t="str">
        <f>IF($A140="","",Households!S140*Settings!$B$14)</f>
        <v/>
      </c>
      <c r="T140" s="24" t="str">
        <f>IF($A140="","",SUMIFS(Assistance_Log!$F$5:$F$367,Assistance_Log!$C$5:$C$367,$A140,Assistance_Log!$E$5:$E$367,"Winter clothing – children",Assistance_Log!$B$5:$B$367,"&gt;="&amp;Households!F140))</f>
        <v/>
      </c>
      <c r="U140" s="24" t="str">
        <f t="shared" si="53"/>
        <v/>
      </c>
      <c r="V140" s="24" t="str">
        <f>IF($A140="","",Households!T140*Settings!$B$14)</f>
        <v/>
      </c>
      <c r="W140" s="24" t="str">
        <f>IF($A140="","",SUMIFS(Assistance_Log!$F$5:$F$367,Assistance_Log!$C$5:$C$367,$A140,Assistance_Log!$E$5:$E$367,"Winter clothing – adults",Assistance_Log!$B$5:$B$367,"&gt;="&amp;Households!F140))</f>
        <v/>
      </c>
      <c r="X140" s="24" t="str">
        <f t="shared" si="54"/>
        <v/>
      </c>
      <c r="Y140" s="24" t="str">
        <f>IF($A140="","",Households!J140*Settings!$B$15)</f>
        <v/>
      </c>
      <c r="Z140" s="24" t="str">
        <f>IF($A140="","",SUMIFS(Assistance_Log!$F$5:$F$367,Assistance_Log!$C$5:$C$367,$A140,Assistance_Log!$E$5:$E$367,"Diapers",Assistance_Log!$B$5:$B$367,"&gt;="&amp;Households!F140))</f>
        <v/>
      </c>
      <c r="AA140" s="24" t="str">
        <f t="shared" si="55"/>
        <v/>
      </c>
      <c r="AB140" s="24" t="str">
        <f>IF($A140="","",Settings!$B$16)</f>
        <v/>
      </c>
      <c r="AC140" s="24" t="str">
        <f>IF($A140="","",SUMIFS(Assistance_Log!$F$5:$F$367,Assistance_Log!$C$5:$C$367,$A140,Assistance_Log!$E$5:$E$367,"Family hygiene kits",Assistance_Log!$B$5:$B$367,"&gt;="&amp;Households!F140))</f>
        <v/>
      </c>
      <c r="AD140" s="24" t="str">
        <f t="shared" si="56"/>
        <v/>
      </c>
      <c r="AE140" s="24" t="str">
        <f>IF($A140="","",Households!N140*Settings!$B$17)</f>
        <v/>
      </c>
      <c r="AF140" s="24" t="str">
        <f>IF($A140="","",SUMIFS(Assistance_Log!$F$5:$F$367,Assistance_Log!$C$5:$C$367,$A140,Assistance_Log!$E$5:$E$367,"Menstrual hygiene kits",Assistance_Log!$B$5:$B$367,"&gt;="&amp;Households!F140))</f>
        <v/>
      </c>
      <c r="AG140" s="24" t="str">
        <f t="shared" si="57"/>
        <v/>
      </c>
      <c r="AH140" s="25" t="str">
        <f t="shared" si="58"/>
        <v/>
      </c>
      <c r="AI140" s="24" t="str">
        <f t="shared" si="59"/>
        <v/>
      </c>
    </row>
    <row r="141" spans="1:35" x14ac:dyDescent="0.3">
      <c r="A141" s="24" t="str">
        <f>IF(Households!A141="","",Households!A141)</f>
        <v/>
      </c>
      <c r="B141" s="24" t="str">
        <f>IF($A141="","",Households!B141)</f>
        <v/>
      </c>
      <c r="C141" s="24" t="str">
        <f>IF($A141="","",Households!X141)</f>
        <v/>
      </c>
      <c r="D141" s="24" t="str">
        <f>IF($A141="","",MAX(0,Households!H141*Settings!$B$9-Households!Q141))</f>
        <v/>
      </c>
      <c r="E141" s="24" t="str">
        <f>IF($A141="","",SUMIFS(Assistance_Log!$F$5:$F$367,Assistance_Log!$C$5:$C$367,$A141,Assistance_Log!$E$5:$E$367,"Blankets",Assistance_Log!$B$5:$B$367,"&gt;="&amp;Households!F141))</f>
        <v/>
      </c>
      <c r="F141" s="25" t="str">
        <f t="shared" si="48"/>
        <v/>
      </c>
      <c r="G141" s="24" t="str">
        <f>IF($A141="","",MAX(0,Households!H141*Settings!$B$10-Households!R141))</f>
        <v/>
      </c>
      <c r="H141" s="24" t="str">
        <f>IF($A141="","",SUMIFS(Assistance_Log!$F$5:$F$367,Assistance_Log!$C$5:$C$367,$A141,Assistance_Log!$E$5:$E$367,"Mattresses",Assistance_Log!$B$5:$B$367,"&gt;="&amp;Households!F141))</f>
        <v/>
      </c>
      <c r="I141" s="25" t="str">
        <f t="shared" si="49"/>
        <v/>
      </c>
      <c r="J141" s="24" t="str">
        <f>IF($A141="","",IF(AND(OR(Households!C141="Tent",Households!C141="Makeshift shelter"),Households!D141="Damaged"),Settings!$B$11,0))</f>
        <v/>
      </c>
      <c r="K141" s="24" t="str">
        <f>IF($A141="","",SUMIFS(Assistance_Log!$F$5:$F$367,Assistance_Log!$C$5:$C$367,$A141,Assistance_Log!$E$5:$E$367,"Tarpaulins",Assistance_Log!$B$5:$B$367,"&gt;="&amp;Households!F141))</f>
        <v/>
      </c>
      <c r="L141" s="25" t="str">
        <f t="shared" si="50"/>
        <v/>
      </c>
      <c r="M141" s="24" t="str">
        <f>IF($A141="","",IF(AND(OR(Households!C141="Tent",Households!C141="Makeshift shelter"),Households!D141="Unusable"),Settings!$B$12,0))</f>
        <v/>
      </c>
      <c r="N141" s="24" t="str">
        <f>IF($A141="","",SUMIFS(Assistance_Log!$F$5:$F$367,Assistance_Log!$C$5:$C$367,$A141,Assistance_Log!$E$5:$E$367,"Tent replacement",Assistance_Log!$B$5:$B$367,"&gt;="&amp;Households!F141))</f>
        <v/>
      </c>
      <c r="O141" s="25" t="str">
        <f t="shared" si="51"/>
        <v/>
      </c>
      <c r="P141" s="24" t="str">
        <f>IF($A141="","",IF(Households!D141="Damaged",Settings!$B$13,0))</f>
        <v/>
      </c>
      <c r="Q141" s="24" t="str">
        <f>IF($A141="","",SUMIFS(Assistance_Log!$F$5:$F$367,Assistance_Log!$C$5:$C$367,$A141,Assistance_Log!$E$5:$E$367,"Shelter repair kits",Assistance_Log!$B$5:$B$367,"&gt;="&amp;Households!F141))</f>
        <v/>
      </c>
      <c r="R141" s="24" t="str">
        <f t="shared" si="52"/>
        <v/>
      </c>
      <c r="S141" s="24" t="str">
        <f>IF($A141="","",Households!S141*Settings!$B$14)</f>
        <v/>
      </c>
      <c r="T141" s="24" t="str">
        <f>IF($A141="","",SUMIFS(Assistance_Log!$F$5:$F$367,Assistance_Log!$C$5:$C$367,$A141,Assistance_Log!$E$5:$E$367,"Winter clothing – children",Assistance_Log!$B$5:$B$367,"&gt;="&amp;Households!F141))</f>
        <v/>
      </c>
      <c r="U141" s="24" t="str">
        <f t="shared" si="53"/>
        <v/>
      </c>
      <c r="V141" s="24" t="str">
        <f>IF($A141="","",Households!T141*Settings!$B$14)</f>
        <v/>
      </c>
      <c r="W141" s="24" t="str">
        <f>IF($A141="","",SUMIFS(Assistance_Log!$F$5:$F$367,Assistance_Log!$C$5:$C$367,$A141,Assistance_Log!$E$5:$E$367,"Winter clothing – adults",Assistance_Log!$B$5:$B$367,"&gt;="&amp;Households!F141))</f>
        <v/>
      </c>
      <c r="X141" s="24" t="str">
        <f t="shared" si="54"/>
        <v/>
      </c>
      <c r="Y141" s="24" t="str">
        <f>IF($A141="","",Households!J141*Settings!$B$15)</f>
        <v/>
      </c>
      <c r="Z141" s="24" t="str">
        <f>IF($A141="","",SUMIFS(Assistance_Log!$F$5:$F$367,Assistance_Log!$C$5:$C$367,$A141,Assistance_Log!$E$5:$E$367,"Diapers",Assistance_Log!$B$5:$B$367,"&gt;="&amp;Households!F141))</f>
        <v/>
      </c>
      <c r="AA141" s="24" t="str">
        <f t="shared" si="55"/>
        <v/>
      </c>
      <c r="AB141" s="24" t="str">
        <f>IF($A141="","",Settings!$B$16)</f>
        <v/>
      </c>
      <c r="AC141" s="24" t="str">
        <f>IF($A141="","",SUMIFS(Assistance_Log!$F$5:$F$367,Assistance_Log!$C$5:$C$367,$A141,Assistance_Log!$E$5:$E$367,"Family hygiene kits",Assistance_Log!$B$5:$B$367,"&gt;="&amp;Households!F141))</f>
        <v/>
      </c>
      <c r="AD141" s="24" t="str">
        <f t="shared" si="56"/>
        <v/>
      </c>
      <c r="AE141" s="24" t="str">
        <f>IF($A141="","",Households!N141*Settings!$B$17)</f>
        <v/>
      </c>
      <c r="AF141" s="24" t="str">
        <f>IF($A141="","",SUMIFS(Assistance_Log!$F$5:$F$367,Assistance_Log!$C$5:$C$367,$A141,Assistance_Log!$E$5:$E$367,"Menstrual hygiene kits",Assistance_Log!$B$5:$B$367,"&gt;="&amp;Households!F141))</f>
        <v/>
      </c>
      <c r="AG141" s="24" t="str">
        <f t="shared" si="57"/>
        <v/>
      </c>
      <c r="AH141" s="25" t="str">
        <f t="shared" si="58"/>
        <v/>
      </c>
      <c r="AI141" s="24" t="str">
        <f t="shared" si="59"/>
        <v/>
      </c>
    </row>
    <row r="142" spans="1:35" x14ac:dyDescent="0.3">
      <c r="A142" s="24" t="str">
        <f>IF(Households!A142="","",Households!A142)</f>
        <v/>
      </c>
      <c r="B142" s="24" t="str">
        <f>IF($A142="","",Households!B142)</f>
        <v/>
      </c>
      <c r="C142" s="24" t="str">
        <f>IF($A142="","",Households!X142)</f>
        <v/>
      </c>
      <c r="D142" s="24" t="str">
        <f>IF($A142="","",MAX(0,Households!H142*Settings!$B$9-Households!Q142))</f>
        <v/>
      </c>
      <c r="E142" s="24" t="str">
        <f>IF($A142="","",SUMIFS(Assistance_Log!$F$5:$F$367,Assistance_Log!$C$5:$C$367,$A142,Assistance_Log!$E$5:$E$367,"Blankets",Assistance_Log!$B$5:$B$367,"&gt;="&amp;Households!F142))</f>
        <v/>
      </c>
      <c r="F142" s="25" t="str">
        <f t="shared" si="48"/>
        <v/>
      </c>
      <c r="G142" s="24" t="str">
        <f>IF($A142="","",MAX(0,Households!H142*Settings!$B$10-Households!R142))</f>
        <v/>
      </c>
      <c r="H142" s="24" t="str">
        <f>IF($A142="","",SUMIFS(Assistance_Log!$F$5:$F$367,Assistance_Log!$C$5:$C$367,$A142,Assistance_Log!$E$5:$E$367,"Mattresses",Assistance_Log!$B$5:$B$367,"&gt;="&amp;Households!F142))</f>
        <v/>
      </c>
      <c r="I142" s="25" t="str">
        <f t="shared" si="49"/>
        <v/>
      </c>
      <c r="J142" s="24" t="str">
        <f>IF($A142="","",IF(AND(OR(Households!C142="Tent",Households!C142="Makeshift shelter"),Households!D142="Damaged"),Settings!$B$11,0))</f>
        <v/>
      </c>
      <c r="K142" s="24" t="str">
        <f>IF($A142="","",SUMIFS(Assistance_Log!$F$5:$F$367,Assistance_Log!$C$5:$C$367,$A142,Assistance_Log!$E$5:$E$367,"Tarpaulins",Assistance_Log!$B$5:$B$367,"&gt;="&amp;Households!F142))</f>
        <v/>
      </c>
      <c r="L142" s="25" t="str">
        <f t="shared" si="50"/>
        <v/>
      </c>
      <c r="M142" s="24" t="str">
        <f>IF($A142="","",IF(AND(OR(Households!C142="Tent",Households!C142="Makeshift shelter"),Households!D142="Unusable"),Settings!$B$12,0))</f>
        <v/>
      </c>
      <c r="N142" s="24" t="str">
        <f>IF($A142="","",SUMIFS(Assistance_Log!$F$5:$F$367,Assistance_Log!$C$5:$C$367,$A142,Assistance_Log!$E$5:$E$367,"Tent replacement",Assistance_Log!$B$5:$B$367,"&gt;="&amp;Households!F142))</f>
        <v/>
      </c>
      <c r="O142" s="25" t="str">
        <f t="shared" si="51"/>
        <v/>
      </c>
      <c r="P142" s="24" t="str">
        <f>IF($A142="","",IF(Households!D142="Damaged",Settings!$B$13,0))</f>
        <v/>
      </c>
      <c r="Q142" s="24" t="str">
        <f>IF($A142="","",SUMIFS(Assistance_Log!$F$5:$F$367,Assistance_Log!$C$5:$C$367,$A142,Assistance_Log!$E$5:$E$367,"Shelter repair kits",Assistance_Log!$B$5:$B$367,"&gt;="&amp;Households!F142))</f>
        <v/>
      </c>
      <c r="R142" s="24" t="str">
        <f t="shared" si="52"/>
        <v/>
      </c>
      <c r="S142" s="24" t="str">
        <f>IF($A142="","",Households!S142*Settings!$B$14)</f>
        <v/>
      </c>
      <c r="T142" s="24" t="str">
        <f>IF($A142="","",SUMIFS(Assistance_Log!$F$5:$F$367,Assistance_Log!$C$5:$C$367,$A142,Assistance_Log!$E$5:$E$367,"Winter clothing – children",Assistance_Log!$B$5:$B$367,"&gt;="&amp;Households!F142))</f>
        <v/>
      </c>
      <c r="U142" s="24" t="str">
        <f t="shared" si="53"/>
        <v/>
      </c>
      <c r="V142" s="24" t="str">
        <f>IF($A142="","",Households!T142*Settings!$B$14)</f>
        <v/>
      </c>
      <c r="W142" s="24" t="str">
        <f>IF($A142="","",SUMIFS(Assistance_Log!$F$5:$F$367,Assistance_Log!$C$5:$C$367,$A142,Assistance_Log!$E$5:$E$367,"Winter clothing – adults",Assistance_Log!$B$5:$B$367,"&gt;="&amp;Households!F142))</f>
        <v/>
      </c>
      <c r="X142" s="24" t="str">
        <f t="shared" si="54"/>
        <v/>
      </c>
      <c r="Y142" s="24" t="str">
        <f>IF($A142="","",Households!J142*Settings!$B$15)</f>
        <v/>
      </c>
      <c r="Z142" s="24" t="str">
        <f>IF($A142="","",SUMIFS(Assistance_Log!$F$5:$F$367,Assistance_Log!$C$5:$C$367,$A142,Assistance_Log!$E$5:$E$367,"Diapers",Assistance_Log!$B$5:$B$367,"&gt;="&amp;Households!F142))</f>
        <v/>
      </c>
      <c r="AA142" s="24" t="str">
        <f t="shared" si="55"/>
        <v/>
      </c>
      <c r="AB142" s="24" t="str">
        <f>IF($A142="","",Settings!$B$16)</f>
        <v/>
      </c>
      <c r="AC142" s="24" t="str">
        <f>IF($A142="","",SUMIFS(Assistance_Log!$F$5:$F$367,Assistance_Log!$C$5:$C$367,$A142,Assistance_Log!$E$5:$E$367,"Family hygiene kits",Assistance_Log!$B$5:$B$367,"&gt;="&amp;Households!F142))</f>
        <v/>
      </c>
      <c r="AD142" s="24" t="str">
        <f t="shared" si="56"/>
        <v/>
      </c>
      <c r="AE142" s="24" t="str">
        <f>IF($A142="","",Households!N142*Settings!$B$17)</f>
        <v/>
      </c>
      <c r="AF142" s="24" t="str">
        <f>IF($A142="","",SUMIFS(Assistance_Log!$F$5:$F$367,Assistance_Log!$C$5:$C$367,$A142,Assistance_Log!$E$5:$E$367,"Menstrual hygiene kits",Assistance_Log!$B$5:$B$367,"&gt;="&amp;Households!F142))</f>
        <v/>
      </c>
      <c r="AG142" s="24" t="str">
        <f t="shared" si="57"/>
        <v/>
      </c>
      <c r="AH142" s="25" t="str">
        <f t="shared" si="58"/>
        <v/>
      </c>
      <c r="AI142" s="24" t="str">
        <f t="shared" si="59"/>
        <v/>
      </c>
    </row>
    <row r="143" spans="1:35" x14ac:dyDescent="0.3">
      <c r="A143" s="24" t="str">
        <f>IF(Households!A143="","",Households!A143)</f>
        <v/>
      </c>
      <c r="B143" s="24" t="str">
        <f>IF($A143="","",Households!B143)</f>
        <v/>
      </c>
      <c r="C143" s="24" t="str">
        <f>IF($A143="","",Households!X143)</f>
        <v/>
      </c>
      <c r="D143" s="24" t="str">
        <f>IF($A143="","",MAX(0,Households!H143*Settings!$B$9-Households!Q143))</f>
        <v/>
      </c>
      <c r="E143" s="24" t="str">
        <f>IF($A143="","",SUMIFS(Assistance_Log!$F$5:$F$367,Assistance_Log!$C$5:$C$367,$A143,Assistance_Log!$E$5:$E$367,"Blankets",Assistance_Log!$B$5:$B$367,"&gt;="&amp;Households!F143))</f>
        <v/>
      </c>
      <c r="F143" s="25" t="str">
        <f t="shared" si="48"/>
        <v/>
      </c>
      <c r="G143" s="24" t="str">
        <f>IF($A143="","",MAX(0,Households!H143*Settings!$B$10-Households!R143))</f>
        <v/>
      </c>
      <c r="H143" s="24" t="str">
        <f>IF($A143="","",SUMIFS(Assistance_Log!$F$5:$F$367,Assistance_Log!$C$5:$C$367,$A143,Assistance_Log!$E$5:$E$367,"Mattresses",Assistance_Log!$B$5:$B$367,"&gt;="&amp;Households!F143))</f>
        <v/>
      </c>
      <c r="I143" s="25" t="str">
        <f t="shared" si="49"/>
        <v/>
      </c>
      <c r="J143" s="24" t="str">
        <f>IF($A143="","",IF(AND(OR(Households!C143="Tent",Households!C143="Makeshift shelter"),Households!D143="Damaged"),Settings!$B$11,0))</f>
        <v/>
      </c>
      <c r="K143" s="24" t="str">
        <f>IF($A143="","",SUMIFS(Assistance_Log!$F$5:$F$367,Assistance_Log!$C$5:$C$367,$A143,Assistance_Log!$E$5:$E$367,"Tarpaulins",Assistance_Log!$B$5:$B$367,"&gt;="&amp;Households!F143))</f>
        <v/>
      </c>
      <c r="L143" s="25" t="str">
        <f t="shared" si="50"/>
        <v/>
      </c>
      <c r="M143" s="24" t="str">
        <f>IF($A143="","",IF(AND(OR(Households!C143="Tent",Households!C143="Makeshift shelter"),Households!D143="Unusable"),Settings!$B$12,0))</f>
        <v/>
      </c>
      <c r="N143" s="24" t="str">
        <f>IF($A143="","",SUMIFS(Assistance_Log!$F$5:$F$367,Assistance_Log!$C$5:$C$367,$A143,Assistance_Log!$E$5:$E$367,"Tent replacement",Assistance_Log!$B$5:$B$367,"&gt;="&amp;Households!F143))</f>
        <v/>
      </c>
      <c r="O143" s="25" t="str">
        <f t="shared" si="51"/>
        <v/>
      </c>
      <c r="P143" s="24" t="str">
        <f>IF($A143="","",IF(Households!D143="Damaged",Settings!$B$13,0))</f>
        <v/>
      </c>
      <c r="Q143" s="24" t="str">
        <f>IF($A143="","",SUMIFS(Assistance_Log!$F$5:$F$367,Assistance_Log!$C$5:$C$367,$A143,Assistance_Log!$E$5:$E$367,"Shelter repair kits",Assistance_Log!$B$5:$B$367,"&gt;="&amp;Households!F143))</f>
        <v/>
      </c>
      <c r="R143" s="24" t="str">
        <f t="shared" si="52"/>
        <v/>
      </c>
      <c r="S143" s="24" t="str">
        <f>IF($A143="","",Households!S143*Settings!$B$14)</f>
        <v/>
      </c>
      <c r="T143" s="24" t="str">
        <f>IF($A143="","",SUMIFS(Assistance_Log!$F$5:$F$367,Assistance_Log!$C$5:$C$367,$A143,Assistance_Log!$E$5:$E$367,"Winter clothing – children",Assistance_Log!$B$5:$B$367,"&gt;="&amp;Households!F143))</f>
        <v/>
      </c>
      <c r="U143" s="24" t="str">
        <f t="shared" si="53"/>
        <v/>
      </c>
      <c r="V143" s="24" t="str">
        <f>IF($A143="","",Households!T143*Settings!$B$14)</f>
        <v/>
      </c>
      <c r="W143" s="24" t="str">
        <f>IF($A143="","",SUMIFS(Assistance_Log!$F$5:$F$367,Assistance_Log!$C$5:$C$367,$A143,Assistance_Log!$E$5:$E$367,"Winter clothing – adults",Assistance_Log!$B$5:$B$367,"&gt;="&amp;Households!F143))</f>
        <v/>
      </c>
      <c r="X143" s="24" t="str">
        <f t="shared" si="54"/>
        <v/>
      </c>
      <c r="Y143" s="24" t="str">
        <f>IF($A143="","",Households!J143*Settings!$B$15)</f>
        <v/>
      </c>
      <c r="Z143" s="24" t="str">
        <f>IF($A143="","",SUMIFS(Assistance_Log!$F$5:$F$367,Assistance_Log!$C$5:$C$367,$A143,Assistance_Log!$E$5:$E$367,"Diapers",Assistance_Log!$B$5:$B$367,"&gt;="&amp;Households!F143))</f>
        <v/>
      </c>
      <c r="AA143" s="24" t="str">
        <f t="shared" si="55"/>
        <v/>
      </c>
      <c r="AB143" s="24" t="str">
        <f>IF($A143="","",Settings!$B$16)</f>
        <v/>
      </c>
      <c r="AC143" s="24" t="str">
        <f>IF($A143="","",SUMIFS(Assistance_Log!$F$5:$F$367,Assistance_Log!$C$5:$C$367,$A143,Assistance_Log!$E$5:$E$367,"Family hygiene kits",Assistance_Log!$B$5:$B$367,"&gt;="&amp;Households!F143))</f>
        <v/>
      </c>
      <c r="AD143" s="24" t="str">
        <f t="shared" si="56"/>
        <v/>
      </c>
      <c r="AE143" s="24" t="str">
        <f>IF($A143="","",Households!N143*Settings!$B$17)</f>
        <v/>
      </c>
      <c r="AF143" s="24" t="str">
        <f>IF($A143="","",SUMIFS(Assistance_Log!$F$5:$F$367,Assistance_Log!$C$5:$C$367,$A143,Assistance_Log!$E$5:$E$367,"Menstrual hygiene kits",Assistance_Log!$B$5:$B$367,"&gt;="&amp;Households!F143))</f>
        <v/>
      </c>
      <c r="AG143" s="24" t="str">
        <f t="shared" si="57"/>
        <v/>
      </c>
      <c r="AH143" s="25" t="str">
        <f t="shared" si="58"/>
        <v/>
      </c>
      <c r="AI143" s="24" t="str">
        <f t="shared" si="59"/>
        <v/>
      </c>
    </row>
    <row r="144" spans="1:35" x14ac:dyDescent="0.3">
      <c r="A144" s="24" t="str">
        <f>IF(Households!A144="","",Households!A144)</f>
        <v/>
      </c>
      <c r="B144" s="24" t="str">
        <f>IF($A144="","",Households!B144)</f>
        <v/>
      </c>
      <c r="C144" s="24" t="str">
        <f>IF($A144="","",Households!X144)</f>
        <v/>
      </c>
      <c r="D144" s="24" t="str">
        <f>IF($A144="","",MAX(0,Households!H144*Settings!$B$9-Households!Q144))</f>
        <v/>
      </c>
      <c r="E144" s="24" t="str">
        <f>IF($A144="","",SUMIFS(Assistance_Log!$F$5:$F$367,Assistance_Log!$C$5:$C$367,$A144,Assistance_Log!$E$5:$E$367,"Blankets",Assistance_Log!$B$5:$B$367,"&gt;="&amp;Households!F144))</f>
        <v/>
      </c>
      <c r="F144" s="25" t="str">
        <f t="shared" si="48"/>
        <v/>
      </c>
      <c r="G144" s="24" t="str">
        <f>IF($A144="","",MAX(0,Households!H144*Settings!$B$10-Households!R144))</f>
        <v/>
      </c>
      <c r="H144" s="24" t="str">
        <f>IF($A144="","",SUMIFS(Assistance_Log!$F$5:$F$367,Assistance_Log!$C$5:$C$367,$A144,Assistance_Log!$E$5:$E$367,"Mattresses",Assistance_Log!$B$5:$B$367,"&gt;="&amp;Households!F144))</f>
        <v/>
      </c>
      <c r="I144" s="25" t="str">
        <f t="shared" si="49"/>
        <v/>
      </c>
      <c r="J144" s="24" t="str">
        <f>IF($A144="","",IF(AND(OR(Households!C144="Tent",Households!C144="Makeshift shelter"),Households!D144="Damaged"),Settings!$B$11,0))</f>
        <v/>
      </c>
      <c r="K144" s="24" t="str">
        <f>IF($A144="","",SUMIFS(Assistance_Log!$F$5:$F$367,Assistance_Log!$C$5:$C$367,$A144,Assistance_Log!$E$5:$E$367,"Tarpaulins",Assistance_Log!$B$5:$B$367,"&gt;="&amp;Households!F144))</f>
        <v/>
      </c>
      <c r="L144" s="25" t="str">
        <f t="shared" si="50"/>
        <v/>
      </c>
      <c r="M144" s="24" t="str">
        <f>IF($A144="","",IF(AND(OR(Households!C144="Tent",Households!C144="Makeshift shelter"),Households!D144="Unusable"),Settings!$B$12,0))</f>
        <v/>
      </c>
      <c r="N144" s="24" t="str">
        <f>IF($A144="","",SUMIFS(Assistance_Log!$F$5:$F$367,Assistance_Log!$C$5:$C$367,$A144,Assistance_Log!$E$5:$E$367,"Tent replacement",Assistance_Log!$B$5:$B$367,"&gt;="&amp;Households!F144))</f>
        <v/>
      </c>
      <c r="O144" s="25" t="str">
        <f t="shared" si="51"/>
        <v/>
      </c>
      <c r="P144" s="24" t="str">
        <f>IF($A144="","",IF(Households!D144="Damaged",Settings!$B$13,0))</f>
        <v/>
      </c>
      <c r="Q144" s="24" t="str">
        <f>IF($A144="","",SUMIFS(Assistance_Log!$F$5:$F$367,Assistance_Log!$C$5:$C$367,$A144,Assistance_Log!$E$5:$E$367,"Shelter repair kits",Assistance_Log!$B$5:$B$367,"&gt;="&amp;Households!F144))</f>
        <v/>
      </c>
      <c r="R144" s="24" t="str">
        <f t="shared" si="52"/>
        <v/>
      </c>
      <c r="S144" s="24" t="str">
        <f>IF($A144="","",Households!S144*Settings!$B$14)</f>
        <v/>
      </c>
      <c r="T144" s="24" t="str">
        <f>IF($A144="","",SUMIFS(Assistance_Log!$F$5:$F$367,Assistance_Log!$C$5:$C$367,$A144,Assistance_Log!$E$5:$E$367,"Winter clothing – children",Assistance_Log!$B$5:$B$367,"&gt;="&amp;Households!F144))</f>
        <v/>
      </c>
      <c r="U144" s="24" t="str">
        <f t="shared" si="53"/>
        <v/>
      </c>
      <c r="V144" s="24" t="str">
        <f>IF($A144="","",Households!T144*Settings!$B$14)</f>
        <v/>
      </c>
      <c r="W144" s="24" t="str">
        <f>IF($A144="","",SUMIFS(Assistance_Log!$F$5:$F$367,Assistance_Log!$C$5:$C$367,$A144,Assistance_Log!$E$5:$E$367,"Winter clothing – adults",Assistance_Log!$B$5:$B$367,"&gt;="&amp;Households!F144))</f>
        <v/>
      </c>
      <c r="X144" s="24" t="str">
        <f t="shared" si="54"/>
        <v/>
      </c>
      <c r="Y144" s="24" t="str">
        <f>IF($A144="","",Households!J144*Settings!$B$15)</f>
        <v/>
      </c>
      <c r="Z144" s="24" t="str">
        <f>IF($A144="","",SUMIFS(Assistance_Log!$F$5:$F$367,Assistance_Log!$C$5:$C$367,$A144,Assistance_Log!$E$5:$E$367,"Diapers",Assistance_Log!$B$5:$B$367,"&gt;="&amp;Households!F144))</f>
        <v/>
      </c>
      <c r="AA144" s="24" t="str">
        <f t="shared" si="55"/>
        <v/>
      </c>
      <c r="AB144" s="24" t="str">
        <f>IF($A144="","",Settings!$B$16)</f>
        <v/>
      </c>
      <c r="AC144" s="24" t="str">
        <f>IF($A144="","",SUMIFS(Assistance_Log!$F$5:$F$367,Assistance_Log!$C$5:$C$367,$A144,Assistance_Log!$E$5:$E$367,"Family hygiene kits",Assistance_Log!$B$5:$B$367,"&gt;="&amp;Households!F144))</f>
        <v/>
      </c>
      <c r="AD144" s="24" t="str">
        <f t="shared" si="56"/>
        <v/>
      </c>
      <c r="AE144" s="24" t="str">
        <f>IF($A144="","",Households!N144*Settings!$B$17)</f>
        <v/>
      </c>
      <c r="AF144" s="24" t="str">
        <f>IF($A144="","",SUMIFS(Assistance_Log!$F$5:$F$367,Assistance_Log!$C$5:$C$367,$A144,Assistance_Log!$E$5:$E$367,"Menstrual hygiene kits",Assistance_Log!$B$5:$B$367,"&gt;="&amp;Households!F144))</f>
        <v/>
      </c>
      <c r="AG144" s="24" t="str">
        <f t="shared" si="57"/>
        <v/>
      </c>
      <c r="AH144" s="25" t="str">
        <f t="shared" si="58"/>
        <v/>
      </c>
      <c r="AI144" s="24" t="str">
        <f t="shared" si="59"/>
        <v/>
      </c>
    </row>
    <row r="145" spans="1:35" x14ac:dyDescent="0.3">
      <c r="A145" s="24" t="str">
        <f>IF(Households!A145="","",Households!A145)</f>
        <v/>
      </c>
      <c r="B145" s="24" t="str">
        <f>IF($A145="","",Households!B145)</f>
        <v/>
      </c>
      <c r="C145" s="24" t="str">
        <f>IF($A145="","",Households!X145)</f>
        <v/>
      </c>
      <c r="D145" s="24" t="str">
        <f>IF($A145="","",MAX(0,Households!H145*Settings!$B$9-Households!Q145))</f>
        <v/>
      </c>
      <c r="E145" s="24" t="str">
        <f>IF($A145="","",SUMIFS(Assistance_Log!$F$5:$F$367,Assistance_Log!$C$5:$C$367,$A145,Assistance_Log!$E$5:$E$367,"Blankets",Assistance_Log!$B$5:$B$367,"&gt;="&amp;Households!F145))</f>
        <v/>
      </c>
      <c r="F145" s="25" t="str">
        <f t="shared" si="48"/>
        <v/>
      </c>
      <c r="G145" s="24" t="str">
        <f>IF($A145="","",MAX(0,Households!H145*Settings!$B$10-Households!R145))</f>
        <v/>
      </c>
      <c r="H145" s="24" t="str">
        <f>IF($A145="","",SUMIFS(Assistance_Log!$F$5:$F$367,Assistance_Log!$C$5:$C$367,$A145,Assistance_Log!$E$5:$E$367,"Mattresses",Assistance_Log!$B$5:$B$367,"&gt;="&amp;Households!F145))</f>
        <v/>
      </c>
      <c r="I145" s="25" t="str">
        <f t="shared" si="49"/>
        <v/>
      </c>
      <c r="J145" s="24" t="str">
        <f>IF($A145="","",IF(AND(OR(Households!C145="Tent",Households!C145="Makeshift shelter"),Households!D145="Damaged"),Settings!$B$11,0))</f>
        <v/>
      </c>
      <c r="K145" s="24" t="str">
        <f>IF($A145="","",SUMIFS(Assistance_Log!$F$5:$F$367,Assistance_Log!$C$5:$C$367,$A145,Assistance_Log!$E$5:$E$367,"Tarpaulins",Assistance_Log!$B$5:$B$367,"&gt;="&amp;Households!F145))</f>
        <v/>
      </c>
      <c r="L145" s="25" t="str">
        <f t="shared" si="50"/>
        <v/>
      </c>
      <c r="M145" s="24" t="str">
        <f>IF($A145="","",IF(AND(OR(Households!C145="Tent",Households!C145="Makeshift shelter"),Households!D145="Unusable"),Settings!$B$12,0))</f>
        <v/>
      </c>
      <c r="N145" s="24" t="str">
        <f>IF($A145="","",SUMIFS(Assistance_Log!$F$5:$F$367,Assistance_Log!$C$5:$C$367,$A145,Assistance_Log!$E$5:$E$367,"Tent replacement",Assistance_Log!$B$5:$B$367,"&gt;="&amp;Households!F145))</f>
        <v/>
      </c>
      <c r="O145" s="25" t="str">
        <f t="shared" si="51"/>
        <v/>
      </c>
      <c r="P145" s="24" t="str">
        <f>IF($A145="","",IF(Households!D145="Damaged",Settings!$B$13,0))</f>
        <v/>
      </c>
      <c r="Q145" s="24" t="str">
        <f>IF($A145="","",SUMIFS(Assistance_Log!$F$5:$F$367,Assistance_Log!$C$5:$C$367,$A145,Assistance_Log!$E$5:$E$367,"Shelter repair kits",Assistance_Log!$B$5:$B$367,"&gt;="&amp;Households!F145))</f>
        <v/>
      </c>
      <c r="R145" s="24" t="str">
        <f t="shared" si="52"/>
        <v/>
      </c>
      <c r="S145" s="24" t="str">
        <f>IF($A145="","",Households!S145*Settings!$B$14)</f>
        <v/>
      </c>
      <c r="T145" s="24" t="str">
        <f>IF($A145="","",SUMIFS(Assistance_Log!$F$5:$F$367,Assistance_Log!$C$5:$C$367,$A145,Assistance_Log!$E$5:$E$367,"Winter clothing – children",Assistance_Log!$B$5:$B$367,"&gt;="&amp;Households!F145))</f>
        <v/>
      </c>
      <c r="U145" s="24" t="str">
        <f t="shared" si="53"/>
        <v/>
      </c>
      <c r="V145" s="24" t="str">
        <f>IF($A145="","",Households!T145*Settings!$B$14)</f>
        <v/>
      </c>
      <c r="W145" s="24" t="str">
        <f>IF($A145="","",SUMIFS(Assistance_Log!$F$5:$F$367,Assistance_Log!$C$5:$C$367,$A145,Assistance_Log!$E$5:$E$367,"Winter clothing – adults",Assistance_Log!$B$5:$B$367,"&gt;="&amp;Households!F145))</f>
        <v/>
      </c>
      <c r="X145" s="24" t="str">
        <f t="shared" si="54"/>
        <v/>
      </c>
      <c r="Y145" s="24" t="str">
        <f>IF($A145="","",Households!J145*Settings!$B$15)</f>
        <v/>
      </c>
      <c r="Z145" s="24" t="str">
        <f>IF($A145="","",SUMIFS(Assistance_Log!$F$5:$F$367,Assistance_Log!$C$5:$C$367,$A145,Assistance_Log!$E$5:$E$367,"Diapers",Assistance_Log!$B$5:$B$367,"&gt;="&amp;Households!F145))</f>
        <v/>
      </c>
      <c r="AA145" s="24" t="str">
        <f t="shared" si="55"/>
        <v/>
      </c>
      <c r="AB145" s="24" t="str">
        <f>IF($A145="","",Settings!$B$16)</f>
        <v/>
      </c>
      <c r="AC145" s="24" t="str">
        <f>IF($A145="","",SUMIFS(Assistance_Log!$F$5:$F$367,Assistance_Log!$C$5:$C$367,$A145,Assistance_Log!$E$5:$E$367,"Family hygiene kits",Assistance_Log!$B$5:$B$367,"&gt;="&amp;Households!F145))</f>
        <v/>
      </c>
      <c r="AD145" s="24" t="str">
        <f t="shared" si="56"/>
        <v/>
      </c>
      <c r="AE145" s="24" t="str">
        <f>IF($A145="","",Households!N145*Settings!$B$17)</f>
        <v/>
      </c>
      <c r="AF145" s="24" t="str">
        <f>IF($A145="","",SUMIFS(Assistance_Log!$F$5:$F$367,Assistance_Log!$C$5:$C$367,$A145,Assistance_Log!$E$5:$E$367,"Menstrual hygiene kits",Assistance_Log!$B$5:$B$367,"&gt;="&amp;Households!F145))</f>
        <v/>
      </c>
      <c r="AG145" s="24" t="str">
        <f t="shared" si="57"/>
        <v/>
      </c>
      <c r="AH145" s="25" t="str">
        <f t="shared" si="58"/>
        <v/>
      </c>
      <c r="AI145" s="24" t="str">
        <f t="shared" si="59"/>
        <v/>
      </c>
    </row>
    <row r="146" spans="1:35" x14ac:dyDescent="0.3">
      <c r="A146" s="24" t="str">
        <f>IF(Households!A146="","",Households!A146)</f>
        <v/>
      </c>
      <c r="B146" s="24" t="str">
        <f>IF($A146="","",Households!B146)</f>
        <v/>
      </c>
      <c r="C146" s="24" t="str">
        <f>IF($A146="","",Households!X146)</f>
        <v/>
      </c>
      <c r="D146" s="24" t="str">
        <f>IF($A146="","",MAX(0,Households!H146*Settings!$B$9-Households!Q146))</f>
        <v/>
      </c>
      <c r="E146" s="24" t="str">
        <f>IF($A146="","",SUMIFS(Assistance_Log!$F$5:$F$367,Assistance_Log!$C$5:$C$367,$A146,Assistance_Log!$E$5:$E$367,"Blankets",Assistance_Log!$B$5:$B$367,"&gt;="&amp;Households!F146))</f>
        <v/>
      </c>
      <c r="F146" s="25" t="str">
        <f t="shared" si="48"/>
        <v/>
      </c>
      <c r="G146" s="24" t="str">
        <f>IF($A146="","",MAX(0,Households!H146*Settings!$B$10-Households!R146))</f>
        <v/>
      </c>
      <c r="H146" s="24" t="str">
        <f>IF($A146="","",SUMIFS(Assistance_Log!$F$5:$F$367,Assistance_Log!$C$5:$C$367,$A146,Assistance_Log!$E$5:$E$367,"Mattresses",Assistance_Log!$B$5:$B$367,"&gt;="&amp;Households!F146))</f>
        <v/>
      </c>
      <c r="I146" s="25" t="str">
        <f t="shared" si="49"/>
        <v/>
      </c>
      <c r="J146" s="24" t="str">
        <f>IF($A146="","",IF(AND(OR(Households!C146="Tent",Households!C146="Makeshift shelter"),Households!D146="Damaged"),Settings!$B$11,0))</f>
        <v/>
      </c>
      <c r="K146" s="24" t="str">
        <f>IF($A146="","",SUMIFS(Assistance_Log!$F$5:$F$367,Assistance_Log!$C$5:$C$367,$A146,Assistance_Log!$E$5:$E$367,"Tarpaulins",Assistance_Log!$B$5:$B$367,"&gt;="&amp;Households!F146))</f>
        <v/>
      </c>
      <c r="L146" s="25" t="str">
        <f t="shared" si="50"/>
        <v/>
      </c>
      <c r="M146" s="24" t="str">
        <f>IF($A146="","",IF(AND(OR(Households!C146="Tent",Households!C146="Makeshift shelter"),Households!D146="Unusable"),Settings!$B$12,0))</f>
        <v/>
      </c>
      <c r="N146" s="24" t="str">
        <f>IF($A146="","",SUMIFS(Assistance_Log!$F$5:$F$367,Assistance_Log!$C$5:$C$367,$A146,Assistance_Log!$E$5:$E$367,"Tent replacement",Assistance_Log!$B$5:$B$367,"&gt;="&amp;Households!F146))</f>
        <v/>
      </c>
      <c r="O146" s="25" t="str">
        <f t="shared" si="51"/>
        <v/>
      </c>
      <c r="P146" s="24" t="str">
        <f>IF($A146="","",IF(Households!D146="Damaged",Settings!$B$13,0))</f>
        <v/>
      </c>
      <c r="Q146" s="24" t="str">
        <f>IF($A146="","",SUMIFS(Assistance_Log!$F$5:$F$367,Assistance_Log!$C$5:$C$367,$A146,Assistance_Log!$E$5:$E$367,"Shelter repair kits",Assistance_Log!$B$5:$B$367,"&gt;="&amp;Households!F146))</f>
        <v/>
      </c>
      <c r="R146" s="24" t="str">
        <f t="shared" si="52"/>
        <v/>
      </c>
      <c r="S146" s="24" t="str">
        <f>IF($A146="","",Households!S146*Settings!$B$14)</f>
        <v/>
      </c>
      <c r="T146" s="24" t="str">
        <f>IF($A146="","",SUMIFS(Assistance_Log!$F$5:$F$367,Assistance_Log!$C$5:$C$367,$A146,Assistance_Log!$E$5:$E$367,"Winter clothing – children",Assistance_Log!$B$5:$B$367,"&gt;="&amp;Households!F146))</f>
        <v/>
      </c>
      <c r="U146" s="24" t="str">
        <f t="shared" si="53"/>
        <v/>
      </c>
      <c r="V146" s="24" t="str">
        <f>IF($A146="","",Households!T146*Settings!$B$14)</f>
        <v/>
      </c>
      <c r="W146" s="24" t="str">
        <f>IF($A146="","",SUMIFS(Assistance_Log!$F$5:$F$367,Assistance_Log!$C$5:$C$367,$A146,Assistance_Log!$E$5:$E$367,"Winter clothing – adults",Assistance_Log!$B$5:$B$367,"&gt;="&amp;Households!F146))</f>
        <v/>
      </c>
      <c r="X146" s="24" t="str">
        <f t="shared" si="54"/>
        <v/>
      </c>
      <c r="Y146" s="24" t="str">
        <f>IF($A146="","",Households!J146*Settings!$B$15)</f>
        <v/>
      </c>
      <c r="Z146" s="24" t="str">
        <f>IF($A146="","",SUMIFS(Assistance_Log!$F$5:$F$367,Assistance_Log!$C$5:$C$367,$A146,Assistance_Log!$E$5:$E$367,"Diapers",Assistance_Log!$B$5:$B$367,"&gt;="&amp;Households!F146))</f>
        <v/>
      </c>
      <c r="AA146" s="24" t="str">
        <f t="shared" si="55"/>
        <v/>
      </c>
      <c r="AB146" s="24" t="str">
        <f>IF($A146="","",Settings!$B$16)</f>
        <v/>
      </c>
      <c r="AC146" s="24" t="str">
        <f>IF($A146="","",SUMIFS(Assistance_Log!$F$5:$F$367,Assistance_Log!$C$5:$C$367,$A146,Assistance_Log!$E$5:$E$367,"Family hygiene kits",Assistance_Log!$B$5:$B$367,"&gt;="&amp;Households!F146))</f>
        <v/>
      </c>
      <c r="AD146" s="24" t="str">
        <f t="shared" si="56"/>
        <v/>
      </c>
      <c r="AE146" s="24" t="str">
        <f>IF($A146="","",Households!N146*Settings!$B$17)</f>
        <v/>
      </c>
      <c r="AF146" s="24" t="str">
        <f>IF($A146="","",SUMIFS(Assistance_Log!$F$5:$F$367,Assistance_Log!$C$5:$C$367,$A146,Assistance_Log!$E$5:$E$367,"Menstrual hygiene kits",Assistance_Log!$B$5:$B$367,"&gt;="&amp;Households!F146))</f>
        <v/>
      </c>
      <c r="AG146" s="24" t="str">
        <f t="shared" si="57"/>
        <v/>
      </c>
      <c r="AH146" s="25" t="str">
        <f t="shared" si="58"/>
        <v/>
      </c>
      <c r="AI146" s="24" t="str">
        <f t="shared" si="59"/>
        <v/>
      </c>
    </row>
    <row r="147" spans="1:35" x14ac:dyDescent="0.3">
      <c r="A147" s="24" t="str">
        <f>IF(Households!A147="","",Households!A147)</f>
        <v/>
      </c>
      <c r="B147" s="24" t="str">
        <f>IF($A147="","",Households!B147)</f>
        <v/>
      </c>
      <c r="C147" s="24" t="str">
        <f>IF($A147="","",Households!X147)</f>
        <v/>
      </c>
      <c r="D147" s="24" t="str">
        <f>IF($A147="","",MAX(0,Households!H147*Settings!$B$9-Households!Q147))</f>
        <v/>
      </c>
      <c r="E147" s="24" t="str">
        <f>IF($A147="","",SUMIFS(Assistance_Log!$F$5:$F$367,Assistance_Log!$C$5:$C$367,$A147,Assistance_Log!$E$5:$E$367,"Blankets",Assistance_Log!$B$5:$B$367,"&gt;="&amp;Households!F147))</f>
        <v/>
      </c>
      <c r="F147" s="25" t="str">
        <f t="shared" si="48"/>
        <v/>
      </c>
      <c r="G147" s="24" t="str">
        <f>IF($A147="","",MAX(0,Households!H147*Settings!$B$10-Households!R147))</f>
        <v/>
      </c>
      <c r="H147" s="24" t="str">
        <f>IF($A147="","",SUMIFS(Assistance_Log!$F$5:$F$367,Assistance_Log!$C$5:$C$367,$A147,Assistance_Log!$E$5:$E$367,"Mattresses",Assistance_Log!$B$5:$B$367,"&gt;="&amp;Households!F147))</f>
        <v/>
      </c>
      <c r="I147" s="25" t="str">
        <f t="shared" si="49"/>
        <v/>
      </c>
      <c r="J147" s="24" t="str">
        <f>IF($A147="","",IF(AND(OR(Households!C147="Tent",Households!C147="Makeshift shelter"),Households!D147="Damaged"),Settings!$B$11,0))</f>
        <v/>
      </c>
      <c r="K147" s="24" t="str">
        <f>IF($A147="","",SUMIFS(Assistance_Log!$F$5:$F$367,Assistance_Log!$C$5:$C$367,$A147,Assistance_Log!$E$5:$E$367,"Tarpaulins",Assistance_Log!$B$5:$B$367,"&gt;="&amp;Households!F147))</f>
        <v/>
      </c>
      <c r="L147" s="25" t="str">
        <f t="shared" si="50"/>
        <v/>
      </c>
      <c r="M147" s="24" t="str">
        <f>IF($A147="","",IF(AND(OR(Households!C147="Tent",Households!C147="Makeshift shelter"),Households!D147="Unusable"),Settings!$B$12,0))</f>
        <v/>
      </c>
      <c r="N147" s="24" t="str">
        <f>IF($A147="","",SUMIFS(Assistance_Log!$F$5:$F$367,Assistance_Log!$C$5:$C$367,$A147,Assistance_Log!$E$5:$E$367,"Tent replacement",Assistance_Log!$B$5:$B$367,"&gt;="&amp;Households!F147))</f>
        <v/>
      </c>
      <c r="O147" s="25" t="str">
        <f t="shared" si="51"/>
        <v/>
      </c>
      <c r="P147" s="24" t="str">
        <f>IF($A147="","",IF(Households!D147="Damaged",Settings!$B$13,0))</f>
        <v/>
      </c>
      <c r="Q147" s="24" t="str">
        <f>IF($A147="","",SUMIFS(Assistance_Log!$F$5:$F$367,Assistance_Log!$C$5:$C$367,$A147,Assistance_Log!$E$5:$E$367,"Shelter repair kits",Assistance_Log!$B$5:$B$367,"&gt;="&amp;Households!F147))</f>
        <v/>
      </c>
      <c r="R147" s="24" t="str">
        <f t="shared" si="52"/>
        <v/>
      </c>
      <c r="S147" s="24" t="str">
        <f>IF($A147="","",Households!S147*Settings!$B$14)</f>
        <v/>
      </c>
      <c r="T147" s="24" t="str">
        <f>IF($A147="","",SUMIFS(Assistance_Log!$F$5:$F$367,Assistance_Log!$C$5:$C$367,$A147,Assistance_Log!$E$5:$E$367,"Winter clothing – children",Assistance_Log!$B$5:$B$367,"&gt;="&amp;Households!F147))</f>
        <v/>
      </c>
      <c r="U147" s="24" t="str">
        <f t="shared" si="53"/>
        <v/>
      </c>
      <c r="V147" s="24" t="str">
        <f>IF($A147="","",Households!T147*Settings!$B$14)</f>
        <v/>
      </c>
      <c r="W147" s="24" t="str">
        <f>IF($A147="","",SUMIFS(Assistance_Log!$F$5:$F$367,Assistance_Log!$C$5:$C$367,$A147,Assistance_Log!$E$5:$E$367,"Winter clothing – adults",Assistance_Log!$B$5:$B$367,"&gt;="&amp;Households!F147))</f>
        <v/>
      </c>
      <c r="X147" s="24" t="str">
        <f t="shared" si="54"/>
        <v/>
      </c>
      <c r="Y147" s="24" t="str">
        <f>IF($A147="","",Households!J147*Settings!$B$15)</f>
        <v/>
      </c>
      <c r="Z147" s="24" t="str">
        <f>IF($A147="","",SUMIFS(Assistance_Log!$F$5:$F$367,Assistance_Log!$C$5:$C$367,$A147,Assistance_Log!$E$5:$E$367,"Diapers",Assistance_Log!$B$5:$B$367,"&gt;="&amp;Households!F147))</f>
        <v/>
      </c>
      <c r="AA147" s="24" t="str">
        <f t="shared" si="55"/>
        <v/>
      </c>
      <c r="AB147" s="24" t="str">
        <f>IF($A147="","",Settings!$B$16)</f>
        <v/>
      </c>
      <c r="AC147" s="24" t="str">
        <f>IF($A147="","",SUMIFS(Assistance_Log!$F$5:$F$367,Assistance_Log!$C$5:$C$367,$A147,Assistance_Log!$E$5:$E$367,"Family hygiene kits",Assistance_Log!$B$5:$B$367,"&gt;="&amp;Households!F147))</f>
        <v/>
      </c>
      <c r="AD147" s="24" t="str">
        <f t="shared" si="56"/>
        <v/>
      </c>
      <c r="AE147" s="24" t="str">
        <f>IF($A147="","",Households!N147*Settings!$B$17)</f>
        <v/>
      </c>
      <c r="AF147" s="24" t="str">
        <f>IF($A147="","",SUMIFS(Assistance_Log!$F$5:$F$367,Assistance_Log!$C$5:$C$367,$A147,Assistance_Log!$E$5:$E$367,"Menstrual hygiene kits",Assistance_Log!$B$5:$B$367,"&gt;="&amp;Households!F147))</f>
        <v/>
      </c>
      <c r="AG147" s="24" t="str">
        <f t="shared" si="57"/>
        <v/>
      </c>
      <c r="AH147" s="25" t="str">
        <f t="shared" si="58"/>
        <v/>
      </c>
      <c r="AI147" s="24" t="str">
        <f t="shared" si="59"/>
        <v/>
      </c>
    </row>
    <row r="148" spans="1:35" x14ac:dyDescent="0.3">
      <c r="A148" s="24" t="str">
        <f>IF(Households!A148="","",Households!A148)</f>
        <v/>
      </c>
      <c r="B148" s="24" t="str">
        <f>IF($A148="","",Households!B148)</f>
        <v/>
      </c>
      <c r="C148" s="24" t="str">
        <f>IF($A148="","",Households!X148)</f>
        <v/>
      </c>
      <c r="D148" s="24" t="str">
        <f>IF($A148="","",MAX(0,Households!H148*Settings!$B$9-Households!Q148))</f>
        <v/>
      </c>
      <c r="E148" s="24" t="str">
        <f>IF($A148="","",SUMIFS(Assistance_Log!$F$5:$F$367,Assistance_Log!$C$5:$C$367,$A148,Assistance_Log!$E$5:$E$367,"Blankets",Assistance_Log!$B$5:$B$367,"&gt;="&amp;Households!F148))</f>
        <v/>
      </c>
      <c r="F148" s="25" t="str">
        <f t="shared" si="48"/>
        <v/>
      </c>
      <c r="G148" s="24" t="str">
        <f>IF($A148="","",MAX(0,Households!H148*Settings!$B$10-Households!R148))</f>
        <v/>
      </c>
      <c r="H148" s="24" t="str">
        <f>IF($A148="","",SUMIFS(Assistance_Log!$F$5:$F$367,Assistance_Log!$C$5:$C$367,$A148,Assistance_Log!$E$5:$E$367,"Mattresses",Assistance_Log!$B$5:$B$367,"&gt;="&amp;Households!F148))</f>
        <v/>
      </c>
      <c r="I148" s="25" t="str">
        <f t="shared" si="49"/>
        <v/>
      </c>
      <c r="J148" s="24" t="str">
        <f>IF($A148="","",IF(AND(OR(Households!C148="Tent",Households!C148="Makeshift shelter"),Households!D148="Damaged"),Settings!$B$11,0))</f>
        <v/>
      </c>
      <c r="K148" s="24" t="str">
        <f>IF($A148="","",SUMIFS(Assistance_Log!$F$5:$F$367,Assistance_Log!$C$5:$C$367,$A148,Assistance_Log!$E$5:$E$367,"Tarpaulins",Assistance_Log!$B$5:$B$367,"&gt;="&amp;Households!F148))</f>
        <v/>
      </c>
      <c r="L148" s="25" t="str">
        <f t="shared" si="50"/>
        <v/>
      </c>
      <c r="M148" s="24" t="str">
        <f>IF($A148="","",IF(AND(OR(Households!C148="Tent",Households!C148="Makeshift shelter"),Households!D148="Unusable"),Settings!$B$12,0))</f>
        <v/>
      </c>
      <c r="N148" s="24" t="str">
        <f>IF($A148="","",SUMIFS(Assistance_Log!$F$5:$F$367,Assistance_Log!$C$5:$C$367,$A148,Assistance_Log!$E$5:$E$367,"Tent replacement",Assistance_Log!$B$5:$B$367,"&gt;="&amp;Households!F148))</f>
        <v/>
      </c>
      <c r="O148" s="25" t="str">
        <f t="shared" si="51"/>
        <v/>
      </c>
      <c r="P148" s="24" t="str">
        <f>IF($A148="","",IF(Households!D148="Damaged",Settings!$B$13,0))</f>
        <v/>
      </c>
      <c r="Q148" s="24" t="str">
        <f>IF($A148="","",SUMIFS(Assistance_Log!$F$5:$F$367,Assistance_Log!$C$5:$C$367,$A148,Assistance_Log!$E$5:$E$367,"Shelter repair kits",Assistance_Log!$B$5:$B$367,"&gt;="&amp;Households!F148))</f>
        <v/>
      </c>
      <c r="R148" s="24" t="str">
        <f t="shared" si="52"/>
        <v/>
      </c>
      <c r="S148" s="24" t="str">
        <f>IF($A148="","",Households!S148*Settings!$B$14)</f>
        <v/>
      </c>
      <c r="T148" s="24" t="str">
        <f>IF($A148="","",SUMIFS(Assistance_Log!$F$5:$F$367,Assistance_Log!$C$5:$C$367,$A148,Assistance_Log!$E$5:$E$367,"Winter clothing – children",Assistance_Log!$B$5:$B$367,"&gt;="&amp;Households!F148))</f>
        <v/>
      </c>
      <c r="U148" s="24" t="str">
        <f t="shared" si="53"/>
        <v/>
      </c>
      <c r="V148" s="24" t="str">
        <f>IF($A148="","",Households!T148*Settings!$B$14)</f>
        <v/>
      </c>
      <c r="W148" s="24" t="str">
        <f>IF($A148="","",SUMIFS(Assistance_Log!$F$5:$F$367,Assistance_Log!$C$5:$C$367,$A148,Assistance_Log!$E$5:$E$367,"Winter clothing – adults",Assistance_Log!$B$5:$B$367,"&gt;="&amp;Households!F148))</f>
        <v/>
      </c>
      <c r="X148" s="24" t="str">
        <f t="shared" si="54"/>
        <v/>
      </c>
      <c r="Y148" s="24" t="str">
        <f>IF($A148="","",Households!J148*Settings!$B$15)</f>
        <v/>
      </c>
      <c r="Z148" s="24" t="str">
        <f>IF($A148="","",SUMIFS(Assistance_Log!$F$5:$F$367,Assistance_Log!$C$5:$C$367,$A148,Assistance_Log!$E$5:$E$367,"Diapers",Assistance_Log!$B$5:$B$367,"&gt;="&amp;Households!F148))</f>
        <v/>
      </c>
      <c r="AA148" s="24" t="str">
        <f t="shared" si="55"/>
        <v/>
      </c>
      <c r="AB148" s="24" t="str">
        <f>IF($A148="","",Settings!$B$16)</f>
        <v/>
      </c>
      <c r="AC148" s="24" t="str">
        <f>IF($A148="","",SUMIFS(Assistance_Log!$F$5:$F$367,Assistance_Log!$C$5:$C$367,$A148,Assistance_Log!$E$5:$E$367,"Family hygiene kits",Assistance_Log!$B$5:$B$367,"&gt;="&amp;Households!F148))</f>
        <v/>
      </c>
      <c r="AD148" s="24" t="str">
        <f t="shared" si="56"/>
        <v/>
      </c>
      <c r="AE148" s="24" t="str">
        <f>IF($A148="","",Households!N148*Settings!$B$17)</f>
        <v/>
      </c>
      <c r="AF148" s="24" t="str">
        <f>IF($A148="","",SUMIFS(Assistance_Log!$F$5:$F$367,Assistance_Log!$C$5:$C$367,$A148,Assistance_Log!$E$5:$E$367,"Menstrual hygiene kits",Assistance_Log!$B$5:$B$367,"&gt;="&amp;Households!F148))</f>
        <v/>
      </c>
      <c r="AG148" s="24" t="str">
        <f t="shared" si="57"/>
        <v/>
      </c>
      <c r="AH148" s="25" t="str">
        <f t="shared" si="58"/>
        <v/>
      </c>
      <c r="AI148" s="24" t="str">
        <f t="shared" si="59"/>
        <v/>
      </c>
    </row>
    <row r="149" spans="1:35" x14ac:dyDescent="0.3">
      <c r="A149" s="24" t="str">
        <f>IF(Households!A149="","",Households!A149)</f>
        <v/>
      </c>
      <c r="B149" s="24" t="str">
        <f>IF($A149="","",Households!B149)</f>
        <v/>
      </c>
      <c r="C149" s="24" t="str">
        <f>IF($A149="","",Households!X149)</f>
        <v/>
      </c>
      <c r="D149" s="24" t="str">
        <f>IF($A149="","",MAX(0,Households!H149*Settings!$B$9-Households!Q149))</f>
        <v/>
      </c>
      <c r="E149" s="24" t="str">
        <f>IF($A149="","",SUMIFS(Assistance_Log!$F$5:$F$367,Assistance_Log!$C$5:$C$367,$A149,Assistance_Log!$E$5:$E$367,"Blankets",Assistance_Log!$B$5:$B$367,"&gt;="&amp;Households!F149))</f>
        <v/>
      </c>
      <c r="F149" s="25" t="str">
        <f t="shared" si="48"/>
        <v/>
      </c>
      <c r="G149" s="24" t="str">
        <f>IF($A149="","",MAX(0,Households!H149*Settings!$B$10-Households!R149))</f>
        <v/>
      </c>
      <c r="H149" s="24" t="str">
        <f>IF($A149="","",SUMIFS(Assistance_Log!$F$5:$F$367,Assistance_Log!$C$5:$C$367,$A149,Assistance_Log!$E$5:$E$367,"Mattresses",Assistance_Log!$B$5:$B$367,"&gt;="&amp;Households!F149))</f>
        <v/>
      </c>
      <c r="I149" s="25" t="str">
        <f t="shared" si="49"/>
        <v/>
      </c>
      <c r="J149" s="24" t="str">
        <f>IF($A149="","",IF(AND(OR(Households!C149="Tent",Households!C149="Makeshift shelter"),Households!D149="Damaged"),Settings!$B$11,0))</f>
        <v/>
      </c>
      <c r="K149" s="24" t="str">
        <f>IF($A149="","",SUMIFS(Assistance_Log!$F$5:$F$367,Assistance_Log!$C$5:$C$367,$A149,Assistance_Log!$E$5:$E$367,"Tarpaulins",Assistance_Log!$B$5:$B$367,"&gt;="&amp;Households!F149))</f>
        <v/>
      </c>
      <c r="L149" s="25" t="str">
        <f t="shared" si="50"/>
        <v/>
      </c>
      <c r="M149" s="24" t="str">
        <f>IF($A149="","",IF(AND(OR(Households!C149="Tent",Households!C149="Makeshift shelter"),Households!D149="Unusable"),Settings!$B$12,0))</f>
        <v/>
      </c>
      <c r="N149" s="24" t="str">
        <f>IF($A149="","",SUMIFS(Assistance_Log!$F$5:$F$367,Assistance_Log!$C$5:$C$367,$A149,Assistance_Log!$E$5:$E$367,"Tent replacement",Assistance_Log!$B$5:$B$367,"&gt;="&amp;Households!F149))</f>
        <v/>
      </c>
      <c r="O149" s="25" t="str">
        <f t="shared" si="51"/>
        <v/>
      </c>
      <c r="P149" s="24" t="str">
        <f>IF($A149="","",IF(Households!D149="Damaged",Settings!$B$13,0))</f>
        <v/>
      </c>
      <c r="Q149" s="24" t="str">
        <f>IF($A149="","",SUMIFS(Assistance_Log!$F$5:$F$367,Assistance_Log!$C$5:$C$367,$A149,Assistance_Log!$E$5:$E$367,"Shelter repair kits",Assistance_Log!$B$5:$B$367,"&gt;="&amp;Households!F149))</f>
        <v/>
      </c>
      <c r="R149" s="24" t="str">
        <f t="shared" si="52"/>
        <v/>
      </c>
      <c r="S149" s="24" t="str">
        <f>IF($A149="","",Households!S149*Settings!$B$14)</f>
        <v/>
      </c>
      <c r="T149" s="24" t="str">
        <f>IF($A149="","",SUMIFS(Assistance_Log!$F$5:$F$367,Assistance_Log!$C$5:$C$367,$A149,Assistance_Log!$E$5:$E$367,"Winter clothing – children",Assistance_Log!$B$5:$B$367,"&gt;="&amp;Households!F149))</f>
        <v/>
      </c>
      <c r="U149" s="24" t="str">
        <f t="shared" si="53"/>
        <v/>
      </c>
      <c r="V149" s="24" t="str">
        <f>IF($A149="","",Households!T149*Settings!$B$14)</f>
        <v/>
      </c>
      <c r="W149" s="24" t="str">
        <f>IF($A149="","",SUMIFS(Assistance_Log!$F$5:$F$367,Assistance_Log!$C$5:$C$367,$A149,Assistance_Log!$E$5:$E$367,"Winter clothing – adults",Assistance_Log!$B$5:$B$367,"&gt;="&amp;Households!F149))</f>
        <v/>
      </c>
      <c r="X149" s="24" t="str">
        <f t="shared" si="54"/>
        <v/>
      </c>
      <c r="Y149" s="24" t="str">
        <f>IF($A149="","",Households!J149*Settings!$B$15)</f>
        <v/>
      </c>
      <c r="Z149" s="24" t="str">
        <f>IF($A149="","",SUMIFS(Assistance_Log!$F$5:$F$367,Assistance_Log!$C$5:$C$367,$A149,Assistance_Log!$E$5:$E$367,"Diapers",Assistance_Log!$B$5:$B$367,"&gt;="&amp;Households!F149))</f>
        <v/>
      </c>
      <c r="AA149" s="24" t="str">
        <f t="shared" si="55"/>
        <v/>
      </c>
      <c r="AB149" s="24" t="str">
        <f>IF($A149="","",Settings!$B$16)</f>
        <v/>
      </c>
      <c r="AC149" s="24" t="str">
        <f>IF($A149="","",SUMIFS(Assistance_Log!$F$5:$F$367,Assistance_Log!$C$5:$C$367,$A149,Assistance_Log!$E$5:$E$367,"Family hygiene kits",Assistance_Log!$B$5:$B$367,"&gt;="&amp;Households!F149))</f>
        <v/>
      </c>
      <c r="AD149" s="24" t="str">
        <f t="shared" si="56"/>
        <v/>
      </c>
      <c r="AE149" s="24" t="str">
        <f>IF($A149="","",Households!N149*Settings!$B$17)</f>
        <v/>
      </c>
      <c r="AF149" s="24" t="str">
        <f>IF($A149="","",SUMIFS(Assistance_Log!$F$5:$F$367,Assistance_Log!$C$5:$C$367,$A149,Assistance_Log!$E$5:$E$367,"Menstrual hygiene kits",Assistance_Log!$B$5:$B$367,"&gt;="&amp;Households!F149))</f>
        <v/>
      </c>
      <c r="AG149" s="24" t="str">
        <f t="shared" si="57"/>
        <v/>
      </c>
      <c r="AH149" s="25" t="str">
        <f t="shared" si="58"/>
        <v/>
      </c>
      <c r="AI149" s="24" t="str">
        <f t="shared" si="59"/>
        <v/>
      </c>
    </row>
    <row r="150" spans="1:35" x14ac:dyDescent="0.3">
      <c r="A150" s="24" t="str">
        <f>IF(Households!A150="","",Households!A150)</f>
        <v/>
      </c>
      <c r="B150" s="24" t="str">
        <f>IF($A150="","",Households!B150)</f>
        <v/>
      </c>
      <c r="C150" s="24" t="str">
        <f>IF($A150="","",Households!X150)</f>
        <v/>
      </c>
      <c r="D150" s="24" t="str">
        <f>IF($A150="","",MAX(0,Households!H150*Settings!$B$9-Households!Q150))</f>
        <v/>
      </c>
      <c r="E150" s="24" t="str">
        <f>IF($A150="","",SUMIFS(Assistance_Log!$F$5:$F$367,Assistance_Log!$C$5:$C$367,$A150,Assistance_Log!$E$5:$E$367,"Blankets",Assistance_Log!$B$5:$B$367,"&gt;="&amp;Households!F150))</f>
        <v/>
      </c>
      <c r="F150" s="25" t="str">
        <f t="shared" si="48"/>
        <v/>
      </c>
      <c r="G150" s="24" t="str">
        <f>IF($A150="","",MAX(0,Households!H150*Settings!$B$10-Households!R150))</f>
        <v/>
      </c>
      <c r="H150" s="24" t="str">
        <f>IF($A150="","",SUMIFS(Assistance_Log!$F$5:$F$367,Assistance_Log!$C$5:$C$367,$A150,Assistance_Log!$E$5:$E$367,"Mattresses",Assistance_Log!$B$5:$B$367,"&gt;="&amp;Households!F150))</f>
        <v/>
      </c>
      <c r="I150" s="25" t="str">
        <f t="shared" si="49"/>
        <v/>
      </c>
      <c r="J150" s="24" t="str">
        <f>IF($A150="","",IF(AND(OR(Households!C150="Tent",Households!C150="Makeshift shelter"),Households!D150="Damaged"),Settings!$B$11,0))</f>
        <v/>
      </c>
      <c r="K150" s="24" t="str">
        <f>IF($A150="","",SUMIFS(Assistance_Log!$F$5:$F$367,Assistance_Log!$C$5:$C$367,$A150,Assistance_Log!$E$5:$E$367,"Tarpaulins",Assistance_Log!$B$5:$B$367,"&gt;="&amp;Households!F150))</f>
        <v/>
      </c>
      <c r="L150" s="25" t="str">
        <f t="shared" si="50"/>
        <v/>
      </c>
      <c r="M150" s="24" t="str">
        <f>IF($A150="","",IF(AND(OR(Households!C150="Tent",Households!C150="Makeshift shelter"),Households!D150="Unusable"),Settings!$B$12,0))</f>
        <v/>
      </c>
      <c r="N150" s="24" t="str">
        <f>IF($A150="","",SUMIFS(Assistance_Log!$F$5:$F$367,Assistance_Log!$C$5:$C$367,$A150,Assistance_Log!$E$5:$E$367,"Tent replacement",Assistance_Log!$B$5:$B$367,"&gt;="&amp;Households!F150))</f>
        <v/>
      </c>
      <c r="O150" s="25" t="str">
        <f t="shared" si="51"/>
        <v/>
      </c>
      <c r="P150" s="24" t="str">
        <f>IF($A150="","",IF(Households!D150="Damaged",Settings!$B$13,0))</f>
        <v/>
      </c>
      <c r="Q150" s="24" t="str">
        <f>IF($A150="","",SUMIFS(Assistance_Log!$F$5:$F$367,Assistance_Log!$C$5:$C$367,$A150,Assistance_Log!$E$5:$E$367,"Shelter repair kits",Assistance_Log!$B$5:$B$367,"&gt;="&amp;Households!F150))</f>
        <v/>
      </c>
      <c r="R150" s="24" t="str">
        <f t="shared" si="52"/>
        <v/>
      </c>
      <c r="S150" s="24" t="str">
        <f>IF($A150="","",Households!S150*Settings!$B$14)</f>
        <v/>
      </c>
      <c r="T150" s="24" t="str">
        <f>IF($A150="","",SUMIFS(Assistance_Log!$F$5:$F$367,Assistance_Log!$C$5:$C$367,$A150,Assistance_Log!$E$5:$E$367,"Winter clothing – children",Assistance_Log!$B$5:$B$367,"&gt;="&amp;Households!F150))</f>
        <v/>
      </c>
      <c r="U150" s="24" t="str">
        <f t="shared" si="53"/>
        <v/>
      </c>
      <c r="V150" s="24" t="str">
        <f>IF($A150="","",Households!T150*Settings!$B$14)</f>
        <v/>
      </c>
      <c r="W150" s="24" t="str">
        <f>IF($A150="","",SUMIFS(Assistance_Log!$F$5:$F$367,Assistance_Log!$C$5:$C$367,$A150,Assistance_Log!$E$5:$E$367,"Winter clothing – adults",Assistance_Log!$B$5:$B$367,"&gt;="&amp;Households!F150))</f>
        <v/>
      </c>
      <c r="X150" s="24" t="str">
        <f t="shared" si="54"/>
        <v/>
      </c>
      <c r="Y150" s="24" t="str">
        <f>IF($A150="","",Households!J150*Settings!$B$15)</f>
        <v/>
      </c>
      <c r="Z150" s="24" t="str">
        <f>IF($A150="","",SUMIFS(Assistance_Log!$F$5:$F$367,Assistance_Log!$C$5:$C$367,$A150,Assistance_Log!$E$5:$E$367,"Diapers",Assistance_Log!$B$5:$B$367,"&gt;="&amp;Households!F150))</f>
        <v/>
      </c>
      <c r="AA150" s="24" t="str">
        <f t="shared" si="55"/>
        <v/>
      </c>
      <c r="AB150" s="24" t="str">
        <f>IF($A150="","",Settings!$B$16)</f>
        <v/>
      </c>
      <c r="AC150" s="24" t="str">
        <f>IF($A150="","",SUMIFS(Assistance_Log!$F$5:$F$367,Assistance_Log!$C$5:$C$367,$A150,Assistance_Log!$E$5:$E$367,"Family hygiene kits",Assistance_Log!$B$5:$B$367,"&gt;="&amp;Households!F150))</f>
        <v/>
      </c>
      <c r="AD150" s="24" t="str">
        <f t="shared" si="56"/>
        <v/>
      </c>
      <c r="AE150" s="24" t="str">
        <f>IF($A150="","",Households!N150*Settings!$B$17)</f>
        <v/>
      </c>
      <c r="AF150" s="24" t="str">
        <f>IF($A150="","",SUMIFS(Assistance_Log!$F$5:$F$367,Assistance_Log!$C$5:$C$367,$A150,Assistance_Log!$E$5:$E$367,"Menstrual hygiene kits",Assistance_Log!$B$5:$B$367,"&gt;="&amp;Households!F150))</f>
        <v/>
      </c>
      <c r="AG150" s="24" t="str">
        <f t="shared" si="57"/>
        <v/>
      </c>
      <c r="AH150" s="25" t="str">
        <f t="shared" si="58"/>
        <v/>
      </c>
      <c r="AI150" s="24" t="str">
        <f t="shared" si="59"/>
        <v/>
      </c>
    </row>
    <row r="151" spans="1:35" x14ac:dyDescent="0.3">
      <c r="A151" s="24" t="str">
        <f>IF(Households!A151="","",Households!A151)</f>
        <v/>
      </c>
      <c r="B151" s="24" t="str">
        <f>IF($A151="","",Households!B151)</f>
        <v/>
      </c>
      <c r="C151" s="24" t="str">
        <f>IF($A151="","",Households!X151)</f>
        <v/>
      </c>
      <c r="D151" s="24" t="str">
        <f>IF($A151="","",MAX(0,Households!H151*Settings!$B$9-Households!Q151))</f>
        <v/>
      </c>
      <c r="E151" s="24" t="str">
        <f>IF($A151="","",SUMIFS(Assistance_Log!$F$5:$F$367,Assistance_Log!$C$5:$C$367,$A151,Assistance_Log!$E$5:$E$367,"Blankets",Assistance_Log!$B$5:$B$367,"&gt;="&amp;Households!F151))</f>
        <v/>
      </c>
      <c r="F151" s="25" t="str">
        <f t="shared" si="48"/>
        <v/>
      </c>
      <c r="G151" s="24" t="str">
        <f>IF($A151="","",MAX(0,Households!H151*Settings!$B$10-Households!R151))</f>
        <v/>
      </c>
      <c r="H151" s="24" t="str">
        <f>IF($A151="","",SUMIFS(Assistance_Log!$F$5:$F$367,Assistance_Log!$C$5:$C$367,$A151,Assistance_Log!$E$5:$E$367,"Mattresses",Assistance_Log!$B$5:$B$367,"&gt;="&amp;Households!F151))</f>
        <v/>
      </c>
      <c r="I151" s="25" t="str">
        <f t="shared" si="49"/>
        <v/>
      </c>
      <c r="J151" s="24" t="str">
        <f>IF($A151="","",IF(AND(OR(Households!C151="Tent",Households!C151="Makeshift shelter"),Households!D151="Damaged"),Settings!$B$11,0))</f>
        <v/>
      </c>
      <c r="K151" s="24" t="str">
        <f>IF($A151="","",SUMIFS(Assistance_Log!$F$5:$F$367,Assistance_Log!$C$5:$C$367,$A151,Assistance_Log!$E$5:$E$367,"Tarpaulins",Assistance_Log!$B$5:$B$367,"&gt;="&amp;Households!F151))</f>
        <v/>
      </c>
      <c r="L151" s="25" t="str">
        <f t="shared" si="50"/>
        <v/>
      </c>
      <c r="M151" s="24" t="str">
        <f>IF($A151="","",IF(AND(OR(Households!C151="Tent",Households!C151="Makeshift shelter"),Households!D151="Unusable"),Settings!$B$12,0))</f>
        <v/>
      </c>
      <c r="N151" s="24" t="str">
        <f>IF($A151="","",SUMIFS(Assistance_Log!$F$5:$F$367,Assistance_Log!$C$5:$C$367,$A151,Assistance_Log!$E$5:$E$367,"Tent replacement",Assistance_Log!$B$5:$B$367,"&gt;="&amp;Households!F151))</f>
        <v/>
      </c>
      <c r="O151" s="25" t="str">
        <f t="shared" si="51"/>
        <v/>
      </c>
      <c r="P151" s="24" t="str">
        <f>IF($A151="","",IF(Households!D151="Damaged",Settings!$B$13,0))</f>
        <v/>
      </c>
      <c r="Q151" s="24" t="str">
        <f>IF($A151="","",SUMIFS(Assistance_Log!$F$5:$F$367,Assistance_Log!$C$5:$C$367,$A151,Assistance_Log!$E$5:$E$367,"Shelter repair kits",Assistance_Log!$B$5:$B$367,"&gt;="&amp;Households!F151))</f>
        <v/>
      </c>
      <c r="R151" s="24" t="str">
        <f t="shared" si="52"/>
        <v/>
      </c>
      <c r="S151" s="24" t="str">
        <f>IF($A151="","",Households!S151*Settings!$B$14)</f>
        <v/>
      </c>
      <c r="T151" s="24" t="str">
        <f>IF($A151="","",SUMIFS(Assistance_Log!$F$5:$F$367,Assistance_Log!$C$5:$C$367,$A151,Assistance_Log!$E$5:$E$367,"Winter clothing – children",Assistance_Log!$B$5:$B$367,"&gt;="&amp;Households!F151))</f>
        <v/>
      </c>
      <c r="U151" s="24" t="str">
        <f t="shared" si="53"/>
        <v/>
      </c>
      <c r="V151" s="24" t="str">
        <f>IF($A151="","",Households!T151*Settings!$B$14)</f>
        <v/>
      </c>
      <c r="W151" s="24" t="str">
        <f>IF($A151="","",SUMIFS(Assistance_Log!$F$5:$F$367,Assistance_Log!$C$5:$C$367,$A151,Assistance_Log!$E$5:$E$367,"Winter clothing – adults",Assistance_Log!$B$5:$B$367,"&gt;="&amp;Households!F151))</f>
        <v/>
      </c>
      <c r="X151" s="24" t="str">
        <f t="shared" si="54"/>
        <v/>
      </c>
      <c r="Y151" s="24" t="str">
        <f>IF($A151="","",Households!J151*Settings!$B$15)</f>
        <v/>
      </c>
      <c r="Z151" s="24" t="str">
        <f>IF($A151="","",SUMIFS(Assistance_Log!$F$5:$F$367,Assistance_Log!$C$5:$C$367,$A151,Assistance_Log!$E$5:$E$367,"Diapers",Assistance_Log!$B$5:$B$367,"&gt;="&amp;Households!F151))</f>
        <v/>
      </c>
      <c r="AA151" s="24" t="str">
        <f t="shared" si="55"/>
        <v/>
      </c>
      <c r="AB151" s="24" t="str">
        <f>IF($A151="","",Settings!$B$16)</f>
        <v/>
      </c>
      <c r="AC151" s="24" t="str">
        <f>IF($A151="","",SUMIFS(Assistance_Log!$F$5:$F$367,Assistance_Log!$C$5:$C$367,$A151,Assistance_Log!$E$5:$E$367,"Family hygiene kits",Assistance_Log!$B$5:$B$367,"&gt;="&amp;Households!F151))</f>
        <v/>
      </c>
      <c r="AD151" s="24" t="str">
        <f t="shared" si="56"/>
        <v/>
      </c>
      <c r="AE151" s="24" t="str">
        <f>IF($A151="","",Households!N151*Settings!$B$17)</f>
        <v/>
      </c>
      <c r="AF151" s="24" t="str">
        <f>IF($A151="","",SUMIFS(Assistance_Log!$F$5:$F$367,Assistance_Log!$C$5:$C$367,$A151,Assistance_Log!$E$5:$E$367,"Menstrual hygiene kits",Assistance_Log!$B$5:$B$367,"&gt;="&amp;Households!F151))</f>
        <v/>
      </c>
      <c r="AG151" s="24" t="str">
        <f t="shared" si="57"/>
        <v/>
      </c>
      <c r="AH151" s="25" t="str">
        <f t="shared" si="58"/>
        <v/>
      </c>
      <c r="AI151" s="24" t="str">
        <f t="shared" si="59"/>
        <v/>
      </c>
    </row>
    <row r="152" spans="1:35" x14ac:dyDescent="0.3">
      <c r="A152" s="24" t="str">
        <f>IF(Households!A152="","",Households!A152)</f>
        <v/>
      </c>
      <c r="B152" s="24" t="str">
        <f>IF($A152="","",Households!B152)</f>
        <v/>
      </c>
      <c r="C152" s="24" t="str">
        <f>IF($A152="","",Households!X152)</f>
        <v/>
      </c>
      <c r="D152" s="24" t="str">
        <f>IF($A152="","",MAX(0,Households!H152*Settings!$B$9-Households!Q152))</f>
        <v/>
      </c>
      <c r="E152" s="24" t="str">
        <f>IF($A152="","",SUMIFS(Assistance_Log!$F$5:$F$367,Assistance_Log!$C$5:$C$367,$A152,Assistance_Log!$E$5:$E$367,"Blankets",Assistance_Log!$B$5:$B$367,"&gt;="&amp;Households!F152))</f>
        <v/>
      </c>
      <c r="F152" s="25" t="str">
        <f t="shared" si="48"/>
        <v/>
      </c>
      <c r="G152" s="24" t="str">
        <f>IF($A152="","",MAX(0,Households!H152*Settings!$B$10-Households!R152))</f>
        <v/>
      </c>
      <c r="H152" s="24" t="str">
        <f>IF($A152="","",SUMIFS(Assistance_Log!$F$5:$F$367,Assistance_Log!$C$5:$C$367,$A152,Assistance_Log!$E$5:$E$367,"Mattresses",Assistance_Log!$B$5:$B$367,"&gt;="&amp;Households!F152))</f>
        <v/>
      </c>
      <c r="I152" s="25" t="str">
        <f t="shared" si="49"/>
        <v/>
      </c>
      <c r="J152" s="24" t="str">
        <f>IF($A152="","",IF(AND(OR(Households!C152="Tent",Households!C152="Makeshift shelter"),Households!D152="Damaged"),Settings!$B$11,0))</f>
        <v/>
      </c>
      <c r="K152" s="24" t="str">
        <f>IF($A152="","",SUMIFS(Assistance_Log!$F$5:$F$367,Assistance_Log!$C$5:$C$367,$A152,Assistance_Log!$E$5:$E$367,"Tarpaulins",Assistance_Log!$B$5:$B$367,"&gt;="&amp;Households!F152))</f>
        <v/>
      </c>
      <c r="L152" s="25" t="str">
        <f t="shared" si="50"/>
        <v/>
      </c>
      <c r="M152" s="24" t="str">
        <f>IF($A152="","",IF(AND(OR(Households!C152="Tent",Households!C152="Makeshift shelter"),Households!D152="Unusable"),Settings!$B$12,0))</f>
        <v/>
      </c>
      <c r="N152" s="24" t="str">
        <f>IF($A152="","",SUMIFS(Assistance_Log!$F$5:$F$367,Assistance_Log!$C$5:$C$367,$A152,Assistance_Log!$E$5:$E$367,"Tent replacement",Assistance_Log!$B$5:$B$367,"&gt;="&amp;Households!F152))</f>
        <v/>
      </c>
      <c r="O152" s="25" t="str">
        <f t="shared" si="51"/>
        <v/>
      </c>
      <c r="P152" s="24" t="str">
        <f>IF($A152="","",IF(Households!D152="Damaged",Settings!$B$13,0))</f>
        <v/>
      </c>
      <c r="Q152" s="24" t="str">
        <f>IF($A152="","",SUMIFS(Assistance_Log!$F$5:$F$367,Assistance_Log!$C$5:$C$367,$A152,Assistance_Log!$E$5:$E$367,"Shelter repair kits",Assistance_Log!$B$5:$B$367,"&gt;="&amp;Households!F152))</f>
        <v/>
      </c>
      <c r="R152" s="24" t="str">
        <f t="shared" si="52"/>
        <v/>
      </c>
      <c r="S152" s="24" t="str">
        <f>IF($A152="","",Households!S152*Settings!$B$14)</f>
        <v/>
      </c>
      <c r="T152" s="24" t="str">
        <f>IF($A152="","",SUMIFS(Assistance_Log!$F$5:$F$367,Assistance_Log!$C$5:$C$367,$A152,Assistance_Log!$E$5:$E$367,"Winter clothing – children",Assistance_Log!$B$5:$B$367,"&gt;="&amp;Households!F152))</f>
        <v/>
      </c>
      <c r="U152" s="24" t="str">
        <f t="shared" si="53"/>
        <v/>
      </c>
      <c r="V152" s="24" t="str">
        <f>IF($A152="","",Households!T152*Settings!$B$14)</f>
        <v/>
      </c>
      <c r="W152" s="24" t="str">
        <f>IF($A152="","",SUMIFS(Assistance_Log!$F$5:$F$367,Assistance_Log!$C$5:$C$367,$A152,Assistance_Log!$E$5:$E$367,"Winter clothing – adults",Assistance_Log!$B$5:$B$367,"&gt;="&amp;Households!F152))</f>
        <v/>
      </c>
      <c r="X152" s="24" t="str">
        <f t="shared" si="54"/>
        <v/>
      </c>
      <c r="Y152" s="24" t="str">
        <f>IF($A152="","",Households!J152*Settings!$B$15)</f>
        <v/>
      </c>
      <c r="Z152" s="24" t="str">
        <f>IF($A152="","",SUMIFS(Assistance_Log!$F$5:$F$367,Assistance_Log!$C$5:$C$367,$A152,Assistance_Log!$E$5:$E$367,"Diapers",Assistance_Log!$B$5:$B$367,"&gt;="&amp;Households!F152))</f>
        <v/>
      </c>
      <c r="AA152" s="24" t="str">
        <f t="shared" si="55"/>
        <v/>
      </c>
      <c r="AB152" s="24" t="str">
        <f>IF($A152="","",Settings!$B$16)</f>
        <v/>
      </c>
      <c r="AC152" s="24" t="str">
        <f>IF($A152="","",SUMIFS(Assistance_Log!$F$5:$F$367,Assistance_Log!$C$5:$C$367,$A152,Assistance_Log!$E$5:$E$367,"Family hygiene kits",Assistance_Log!$B$5:$B$367,"&gt;="&amp;Households!F152))</f>
        <v/>
      </c>
      <c r="AD152" s="24" t="str">
        <f t="shared" si="56"/>
        <v/>
      </c>
      <c r="AE152" s="24" t="str">
        <f>IF($A152="","",Households!N152*Settings!$B$17)</f>
        <v/>
      </c>
      <c r="AF152" s="24" t="str">
        <f>IF($A152="","",SUMIFS(Assistance_Log!$F$5:$F$367,Assistance_Log!$C$5:$C$367,$A152,Assistance_Log!$E$5:$E$367,"Menstrual hygiene kits",Assistance_Log!$B$5:$B$367,"&gt;="&amp;Households!F152))</f>
        <v/>
      </c>
      <c r="AG152" s="24" t="str">
        <f t="shared" si="57"/>
        <v/>
      </c>
      <c r="AH152" s="25" t="str">
        <f t="shared" si="58"/>
        <v/>
      </c>
      <c r="AI152" s="24" t="str">
        <f t="shared" si="59"/>
        <v/>
      </c>
    </row>
    <row r="153" spans="1:35" x14ac:dyDescent="0.3">
      <c r="A153" s="24" t="str">
        <f>IF(Households!A153="","",Households!A153)</f>
        <v/>
      </c>
      <c r="B153" s="24" t="str">
        <f>IF($A153="","",Households!B153)</f>
        <v/>
      </c>
      <c r="C153" s="24" t="str">
        <f>IF($A153="","",Households!X153)</f>
        <v/>
      </c>
      <c r="D153" s="24" t="str">
        <f>IF($A153="","",MAX(0,Households!H153*Settings!$B$9-Households!Q153))</f>
        <v/>
      </c>
      <c r="E153" s="24" t="str">
        <f>IF($A153="","",SUMIFS(Assistance_Log!$F$5:$F$367,Assistance_Log!$C$5:$C$367,$A153,Assistance_Log!$E$5:$E$367,"Blankets",Assistance_Log!$B$5:$B$367,"&gt;="&amp;Households!F153))</f>
        <v/>
      </c>
      <c r="F153" s="25" t="str">
        <f t="shared" si="48"/>
        <v/>
      </c>
      <c r="G153" s="24" t="str">
        <f>IF($A153="","",MAX(0,Households!H153*Settings!$B$10-Households!R153))</f>
        <v/>
      </c>
      <c r="H153" s="24" t="str">
        <f>IF($A153="","",SUMIFS(Assistance_Log!$F$5:$F$367,Assistance_Log!$C$5:$C$367,$A153,Assistance_Log!$E$5:$E$367,"Mattresses",Assistance_Log!$B$5:$B$367,"&gt;="&amp;Households!F153))</f>
        <v/>
      </c>
      <c r="I153" s="25" t="str">
        <f t="shared" si="49"/>
        <v/>
      </c>
      <c r="J153" s="24" t="str">
        <f>IF($A153="","",IF(AND(OR(Households!C153="Tent",Households!C153="Makeshift shelter"),Households!D153="Damaged"),Settings!$B$11,0))</f>
        <v/>
      </c>
      <c r="K153" s="24" t="str">
        <f>IF($A153="","",SUMIFS(Assistance_Log!$F$5:$F$367,Assistance_Log!$C$5:$C$367,$A153,Assistance_Log!$E$5:$E$367,"Tarpaulins",Assistance_Log!$B$5:$B$367,"&gt;="&amp;Households!F153))</f>
        <v/>
      </c>
      <c r="L153" s="25" t="str">
        <f t="shared" si="50"/>
        <v/>
      </c>
      <c r="M153" s="24" t="str">
        <f>IF($A153="","",IF(AND(OR(Households!C153="Tent",Households!C153="Makeshift shelter"),Households!D153="Unusable"),Settings!$B$12,0))</f>
        <v/>
      </c>
      <c r="N153" s="24" t="str">
        <f>IF($A153="","",SUMIFS(Assistance_Log!$F$5:$F$367,Assistance_Log!$C$5:$C$367,$A153,Assistance_Log!$E$5:$E$367,"Tent replacement",Assistance_Log!$B$5:$B$367,"&gt;="&amp;Households!F153))</f>
        <v/>
      </c>
      <c r="O153" s="25" t="str">
        <f t="shared" si="51"/>
        <v/>
      </c>
      <c r="P153" s="24" t="str">
        <f>IF($A153="","",IF(Households!D153="Damaged",Settings!$B$13,0))</f>
        <v/>
      </c>
      <c r="Q153" s="24" t="str">
        <f>IF($A153="","",SUMIFS(Assistance_Log!$F$5:$F$367,Assistance_Log!$C$5:$C$367,$A153,Assistance_Log!$E$5:$E$367,"Shelter repair kits",Assistance_Log!$B$5:$B$367,"&gt;="&amp;Households!F153))</f>
        <v/>
      </c>
      <c r="R153" s="24" t="str">
        <f t="shared" si="52"/>
        <v/>
      </c>
      <c r="S153" s="24" t="str">
        <f>IF($A153="","",Households!S153*Settings!$B$14)</f>
        <v/>
      </c>
      <c r="T153" s="24" t="str">
        <f>IF($A153="","",SUMIFS(Assistance_Log!$F$5:$F$367,Assistance_Log!$C$5:$C$367,$A153,Assistance_Log!$E$5:$E$367,"Winter clothing – children",Assistance_Log!$B$5:$B$367,"&gt;="&amp;Households!F153))</f>
        <v/>
      </c>
      <c r="U153" s="24" t="str">
        <f t="shared" si="53"/>
        <v/>
      </c>
      <c r="V153" s="24" t="str">
        <f>IF($A153="","",Households!T153*Settings!$B$14)</f>
        <v/>
      </c>
      <c r="W153" s="24" t="str">
        <f>IF($A153="","",SUMIFS(Assistance_Log!$F$5:$F$367,Assistance_Log!$C$5:$C$367,$A153,Assistance_Log!$E$5:$E$367,"Winter clothing – adults",Assistance_Log!$B$5:$B$367,"&gt;="&amp;Households!F153))</f>
        <v/>
      </c>
      <c r="X153" s="24" t="str">
        <f t="shared" si="54"/>
        <v/>
      </c>
      <c r="Y153" s="24" t="str">
        <f>IF($A153="","",Households!J153*Settings!$B$15)</f>
        <v/>
      </c>
      <c r="Z153" s="24" t="str">
        <f>IF($A153="","",SUMIFS(Assistance_Log!$F$5:$F$367,Assistance_Log!$C$5:$C$367,$A153,Assistance_Log!$E$5:$E$367,"Diapers",Assistance_Log!$B$5:$B$367,"&gt;="&amp;Households!F153))</f>
        <v/>
      </c>
      <c r="AA153" s="24" t="str">
        <f t="shared" si="55"/>
        <v/>
      </c>
      <c r="AB153" s="24" t="str">
        <f>IF($A153="","",Settings!$B$16)</f>
        <v/>
      </c>
      <c r="AC153" s="24" t="str">
        <f>IF($A153="","",SUMIFS(Assistance_Log!$F$5:$F$367,Assistance_Log!$C$5:$C$367,$A153,Assistance_Log!$E$5:$E$367,"Family hygiene kits",Assistance_Log!$B$5:$B$367,"&gt;="&amp;Households!F153))</f>
        <v/>
      </c>
      <c r="AD153" s="24" t="str">
        <f t="shared" si="56"/>
        <v/>
      </c>
      <c r="AE153" s="24" t="str">
        <f>IF($A153="","",Households!N153*Settings!$B$17)</f>
        <v/>
      </c>
      <c r="AF153" s="24" t="str">
        <f>IF($A153="","",SUMIFS(Assistance_Log!$F$5:$F$367,Assistance_Log!$C$5:$C$367,$A153,Assistance_Log!$E$5:$E$367,"Menstrual hygiene kits",Assistance_Log!$B$5:$B$367,"&gt;="&amp;Households!F153))</f>
        <v/>
      </c>
      <c r="AG153" s="24" t="str">
        <f t="shared" si="57"/>
        <v/>
      </c>
      <c r="AH153" s="25" t="str">
        <f t="shared" si="58"/>
        <v/>
      </c>
      <c r="AI153" s="24" t="str">
        <f t="shared" si="59"/>
        <v/>
      </c>
    </row>
    <row r="154" spans="1:35" x14ac:dyDescent="0.3">
      <c r="A154" s="24" t="str">
        <f>IF(Households!A154="","",Households!A154)</f>
        <v/>
      </c>
      <c r="B154" s="24" t="str">
        <f>IF($A154="","",Households!B154)</f>
        <v/>
      </c>
      <c r="C154" s="24" t="str">
        <f>IF($A154="","",Households!X154)</f>
        <v/>
      </c>
      <c r="D154" s="24" t="str">
        <f>IF($A154="","",MAX(0,Households!H154*Settings!$B$9-Households!Q154))</f>
        <v/>
      </c>
      <c r="E154" s="24" t="str">
        <f>IF($A154="","",SUMIFS(Assistance_Log!$F$5:$F$367,Assistance_Log!$C$5:$C$367,$A154,Assistance_Log!$E$5:$E$367,"Blankets",Assistance_Log!$B$5:$B$367,"&gt;="&amp;Households!F154))</f>
        <v/>
      </c>
      <c r="F154" s="25" t="str">
        <f t="shared" si="48"/>
        <v/>
      </c>
      <c r="G154" s="24" t="str">
        <f>IF($A154="","",MAX(0,Households!H154*Settings!$B$10-Households!R154))</f>
        <v/>
      </c>
      <c r="H154" s="24" t="str">
        <f>IF($A154="","",SUMIFS(Assistance_Log!$F$5:$F$367,Assistance_Log!$C$5:$C$367,$A154,Assistance_Log!$E$5:$E$367,"Mattresses",Assistance_Log!$B$5:$B$367,"&gt;="&amp;Households!F154))</f>
        <v/>
      </c>
      <c r="I154" s="25" t="str">
        <f t="shared" si="49"/>
        <v/>
      </c>
      <c r="J154" s="24" t="str">
        <f>IF($A154="","",IF(AND(OR(Households!C154="Tent",Households!C154="Makeshift shelter"),Households!D154="Damaged"),Settings!$B$11,0))</f>
        <v/>
      </c>
      <c r="K154" s="24" t="str">
        <f>IF($A154="","",SUMIFS(Assistance_Log!$F$5:$F$367,Assistance_Log!$C$5:$C$367,$A154,Assistance_Log!$E$5:$E$367,"Tarpaulins",Assistance_Log!$B$5:$B$367,"&gt;="&amp;Households!F154))</f>
        <v/>
      </c>
      <c r="L154" s="25" t="str">
        <f t="shared" si="50"/>
        <v/>
      </c>
      <c r="M154" s="24" t="str">
        <f>IF($A154="","",IF(AND(OR(Households!C154="Tent",Households!C154="Makeshift shelter"),Households!D154="Unusable"),Settings!$B$12,0))</f>
        <v/>
      </c>
      <c r="N154" s="24" t="str">
        <f>IF($A154="","",SUMIFS(Assistance_Log!$F$5:$F$367,Assistance_Log!$C$5:$C$367,$A154,Assistance_Log!$E$5:$E$367,"Tent replacement",Assistance_Log!$B$5:$B$367,"&gt;="&amp;Households!F154))</f>
        <v/>
      </c>
      <c r="O154" s="25" t="str">
        <f t="shared" si="51"/>
        <v/>
      </c>
      <c r="P154" s="24" t="str">
        <f>IF($A154="","",IF(Households!D154="Damaged",Settings!$B$13,0))</f>
        <v/>
      </c>
      <c r="Q154" s="24" t="str">
        <f>IF($A154="","",SUMIFS(Assistance_Log!$F$5:$F$367,Assistance_Log!$C$5:$C$367,$A154,Assistance_Log!$E$5:$E$367,"Shelter repair kits",Assistance_Log!$B$5:$B$367,"&gt;="&amp;Households!F154))</f>
        <v/>
      </c>
      <c r="R154" s="24" t="str">
        <f t="shared" si="52"/>
        <v/>
      </c>
      <c r="S154" s="24" t="str">
        <f>IF($A154="","",Households!S154*Settings!$B$14)</f>
        <v/>
      </c>
      <c r="T154" s="24" t="str">
        <f>IF($A154="","",SUMIFS(Assistance_Log!$F$5:$F$367,Assistance_Log!$C$5:$C$367,$A154,Assistance_Log!$E$5:$E$367,"Winter clothing – children",Assistance_Log!$B$5:$B$367,"&gt;="&amp;Households!F154))</f>
        <v/>
      </c>
      <c r="U154" s="24" t="str">
        <f t="shared" si="53"/>
        <v/>
      </c>
      <c r="V154" s="24" t="str">
        <f>IF($A154="","",Households!T154*Settings!$B$14)</f>
        <v/>
      </c>
      <c r="W154" s="24" t="str">
        <f>IF($A154="","",SUMIFS(Assistance_Log!$F$5:$F$367,Assistance_Log!$C$5:$C$367,$A154,Assistance_Log!$E$5:$E$367,"Winter clothing – adults",Assistance_Log!$B$5:$B$367,"&gt;="&amp;Households!F154))</f>
        <v/>
      </c>
      <c r="X154" s="24" t="str">
        <f t="shared" si="54"/>
        <v/>
      </c>
      <c r="Y154" s="24" t="str">
        <f>IF($A154="","",Households!J154*Settings!$B$15)</f>
        <v/>
      </c>
      <c r="Z154" s="24" t="str">
        <f>IF($A154="","",SUMIFS(Assistance_Log!$F$5:$F$367,Assistance_Log!$C$5:$C$367,$A154,Assistance_Log!$E$5:$E$367,"Diapers",Assistance_Log!$B$5:$B$367,"&gt;="&amp;Households!F154))</f>
        <v/>
      </c>
      <c r="AA154" s="24" t="str">
        <f t="shared" si="55"/>
        <v/>
      </c>
      <c r="AB154" s="24" t="str">
        <f>IF($A154="","",Settings!$B$16)</f>
        <v/>
      </c>
      <c r="AC154" s="24" t="str">
        <f>IF($A154="","",SUMIFS(Assistance_Log!$F$5:$F$367,Assistance_Log!$C$5:$C$367,$A154,Assistance_Log!$E$5:$E$367,"Family hygiene kits",Assistance_Log!$B$5:$B$367,"&gt;="&amp;Households!F154))</f>
        <v/>
      </c>
      <c r="AD154" s="24" t="str">
        <f t="shared" si="56"/>
        <v/>
      </c>
      <c r="AE154" s="24" t="str">
        <f>IF($A154="","",Households!N154*Settings!$B$17)</f>
        <v/>
      </c>
      <c r="AF154" s="24" t="str">
        <f>IF($A154="","",SUMIFS(Assistance_Log!$F$5:$F$367,Assistance_Log!$C$5:$C$367,$A154,Assistance_Log!$E$5:$E$367,"Menstrual hygiene kits",Assistance_Log!$B$5:$B$367,"&gt;="&amp;Households!F154))</f>
        <v/>
      </c>
      <c r="AG154" s="24" t="str">
        <f t="shared" si="57"/>
        <v/>
      </c>
      <c r="AH154" s="25" t="str">
        <f t="shared" si="58"/>
        <v/>
      </c>
      <c r="AI154" s="24" t="str">
        <f t="shared" si="59"/>
        <v/>
      </c>
    </row>
  </sheetData>
  <autoFilter ref="A4:AI154" xr:uid="{00000000-0009-0000-0000-000004000000}"/>
  <mergeCells count="10">
    <mergeCell ref="S3:U3"/>
    <mergeCell ref="V3:X3"/>
    <mergeCell ref="Y3:AA3"/>
    <mergeCell ref="AB3:AD3"/>
    <mergeCell ref="AE3:AG3"/>
    <mergeCell ref="D3:F3"/>
    <mergeCell ref="G3:I3"/>
    <mergeCell ref="J3:L3"/>
    <mergeCell ref="M3:O3"/>
    <mergeCell ref="P3:R3"/>
  </mergeCells>
  <conditionalFormatting sqref="AH5:AH154">
    <cfRule type="cellIs" dxfId="20" priority="2" operator="equal">
      <formula>"Yes"</formula>
    </cfRule>
  </conditionalFormatting>
  <conditionalFormatting sqref="F5:F154">
    <cfRule type="cellIs" dxfId="19" priority="3" operator="greaterThan">
      <formula>0</formula>
    </cfRule>
  </conditionalFormatting>
  <conditionalFormatting sqref="I5:I154">
    <cfRule type="cellIs" dxfId="18" priority="4" operator="greaterThan">
      <formula>0</formula>
    </cfRule>
  </conditionalFormatting>
  <conditionalFormatting sqref="L5:L154">
    <cfRule type="cellIs" dxfId="17" priority="5" operator="greaterThan">
      <formula>0</formula>
    </cfRule>
  </conditionalFormatting>
  <conditionalFormatting sqref="O5:O154">
    <cfRule type="cellIs" dxfId="16" priority="6" operator="greaterThan">
      <formula>0</formula>
    </cfRule>
  </conditionalFormatting>
  <conditionalFormatting sqref="R5:R154">
    <cfRule type="cellIs" dxfId="15" priority="7" operator="greaterThan">
      <formula>0</formula>
    </cfRule>
  </conditionalFormatting>
  <conditionalFormatting sqref="U5:U154">
    <cfRule type="cellIs" dxfId="14" priority="8" operator="greaterThan">
      <formula>0</formula>
    </cfRule>
  </conditionalFormatting>
  <conditionalFormatting sqref="X5:X154">
    <cfRule type="cellIs" dxfId="13" priority="9" operator="greaterThan">
      <formula>0</formula>
    </cfRule>
  </conditionalFormatting>
  <conditionalFormatting sqref="AA5:AA154">
    <cfRule type="cellIs" dxfId="12" priority="10" operator="greaterThan">
      <formula>0</formula>
    </cfRule>
  </conditionalFormatting>
  <conditionalFormatting sqref="AD5:AD154">
    <cfRule type="cellIs" dxfId="11" priority="11" operator="greaterThan">
      <formula>0</formula>
    </cfRule>
  </conditionalFormatting>
  <conditionalFormatting sqref="AG5:AG154">
    <cfRule type="cellIs" dxfId="10" priority="12" operator="greaterThan">
      <formula>0</formula>
    </cfRule>
  </conditionalFormatting>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67"/>
  <sheetViews>
    <sheetView showGridLines="0" zoomScaleNormal="100" workbookViewId="0">
      <pane ySplit="4" topLeftCell="A71" activePane="bottomLeft" state="frozen"/>
      <selection pane="bottomLeft"/>
    </sheetView>
  </sheetViews>
  <sheetFormatPr defaultColWidth="8.6640625" defaultRowHeight="14.4" x14ac:dyDescent="0.3"/>
  <cols>
    <col min="1" max="1" width="10" customWidth="1"/>
    <col min="2" max="2" width="11" customWidth="1"/>
    <col min="3" max="3" width="10" customWidth="1"/>
    <col min="4" max="4" width="28" customWidth="1"/>
    <col min="5" max="5" width="26" customWidth="1"/>
    <col min="6" max="6" width="9" customWidth="1"/>
    <col min="7" max="7" width="32" customWidth="1"/>
    <col min="8" max="8" width="9" customWidth="1"/>
    <col min="9" max="9" width="22" customWidth="1"/>
  </cols>
  <sheetData>
    <row r="1" spans="1:9" ht="17.399999999999999" x14ac:dyDescent="0.3">
      <c r="A1" s="6" t="s">
        <v>170</v>
      </c>
    </row>
    <row r="2" spans="1:9" x14ac:dyDescent="0.3">
      <c r="A2" s="7" t="s">
        <v>171</v>
      </c>
    </row>
    <row r="4" spans="1:9" ht="42" customHeight="1" x14ac:dyDescent="0.3">
      <c r="A4" s="15" t="s">
        <v>172</v>
      </c>
      <c r="B4" s="15" t="s">
        <v>173</v>
      </c>
      <c r="C4" s="15" t="s">
        <v>122</v>
      </c>
      <c r="D4" s="15" t="s">
        <v>174</v>
      </c>
      <c r="E4" s="15" t="s">
        <v>48</v>
      </c>
      <c r="F4" s="15" t="s">
        <v>175</v>
      </c>
      <c r="G4" s="15" t="s">
        <v>176</v>
      </c>
      <c r="H4" s="15" t="s">
        <v>177</v>
      </c>
      <c r="I4" s="15" t="s">
        <v>178</v>
      </c>
    </row>
    <row r="5" spans="1:9" x14ac:dyDescent="0.3">
      <c r="A5" s="29" t="s">
        <v>179</v>
      </c>
      <c r="B5" s="30">
        <v>46008</v>
      </c>
      <c r="C5" s="29" t="s">
        <v>180</v>
      </c>
      <c r="D5" s="24" t="str">
        <f>IFERROR(INDEX(Households!$B$5:$B$154,MATCH(C5,Households!$A$5:$A$154,0)),"Not in register")</f>
        <v>Site A – School Shelter</v>
      </c>
      <c r="E5" s="29" t="s">
        <v>66</v>
      </c>
      <c r="F5" s="29">
        <v>4</v>
      </c>
      <c r="G5" s="29" t="s">
        <v>181</v>
      </c>
      <c r="H5" s="29" t="s">
        <v>182</v>
      </c>
      <c r="I5" s="24" t="str">
        <f>IFERROR(IF(B5&gt;=INDEX(Households!$F$5:$F$154,MATCH(C5,Households!$A$5:$A$154,0)),"Yes","No – before latest assessment"),"")</f>
        <v>No – before latest assessment</v>
      </c>
    </row>
    <row r="6" spans="1:9" x14ac:dyDescent="0.3">
      <c r="A6" s="29" t="s">
        <v>183</v>
      </c>
      <c r="B6" s="30">
        <v>46009</v>
      </c>
      <c r="C6" s="29" t="s">
        <v>184</v>
      </c>
      <c r="D6" s="24" t="str">
        <f>IFERROR(INDEX(Households!$B$5:$B$154,MATCH(C6,Households!$A$5:$A$154,0)),"Not in register")</f>
        <v>Site A – School Shelter</v>
      </c>
      <c r="E6" s="29" t="s">
        <v>54</v>
      </c>
      <c r="F6" s="29">
        <v>9</v>
      </c>
      <c r="G6" s="29" t="s">
        <v>185</v>
      </c>
      <c r="H6" s="29" t="s">
        <v>182</v>
      </c>
      <c r="I6" s="24" t="str">
        <f>IFERROR(IF(B6&gt;=INDEX(Households!$F$5:$F$154,MATCH(C6,Households!$A$5:$A$154,0)),"Yes","No – before latest assessment"),"")</f>
        <v>Yes</v>
      </c>
    </row>
    <row r="7" spans="1:9" x14ac:dyDescent="0.3">
      <c r="A7" s="29" t="s">
        <v>186</v>
      </c>
      <c r="B7" s="30">
        <v>46011</v>
      </c>
      <c r="C7" s="29" t="s">
        <v>187</v>
      </c>
      <c r="D7" s="24" t="str">
        <f>IFERROR(INDEX(Households!$B$5:$B$154,MATCH(C7,Households!$A$5:$A$154,0)),"Not in register")</f>
        <v>Site A – School Shelter</v>
      </c>
      <c r="E7" s="29" t="s">
        <v>56</v>
      </c>
      <c r="F7" s="29">
        <v>9</v>
      </c>
      <c r="G7" s="29" t="s">
        <v>185</v>
      </c>
      <c r="H7" s="29" t="s">
        <v>182</v>
      </c>
      <c r="I7" s="24" t="str">
        <f>IFERROR(IF(B7&gt;=INDEX(Households!$F$5:$F$154,MATCH(C7,Households!$A$5:$A$154,0)),"Yes","No – before latest assessment"),"")</f>
        <v>No – before latest assessment</v>
      </c>
    </row>
    <row r="8" spans="1:9" x14ac:dyDescent="0.3">
      <c r="A8" s="29" t="s">
        <v>188</v>
      </c>
      <c r="B8" s="30">
        <v>46012</v>
      </c>
      <c r="C8" s="29" t="s">
        <v>180</v>
      </c>
      <c r="D8" s="24" t="str">
        <f>IFERROR(INDEX(Households!$B$5:$B$154,MATCH(C8,Households!$A$5:$A$154,0)),"Not in register")</f>
        <v>Site A – School Shelter</v>
      </c>
      <c r="E8" s="29" t="s">
        <v>65</v>
      </c>
      <c r="F8" s="29">
        <v>2</v>
      </c>
      <c r="G8" s="29" t="s">
        <v>189</v>
      </c>
      <c r="H8" s="29" t="s">
        <v>182</v>
      </c>
      <c r="I8" s="24" t="str">
        <f>IFERROR(IF(B8&gt;=INDEX(Households!$F$5:$F$154,MATCH(C8,Households!$A$5:$A$154,0)),"Yes","No – before latest assessment"),"")</f>
        <v>No – before latest assessment</v>
      </c>
    </row>
    <row r="9" spans="1:9" x14ac:dyDescent="0.3">
      <c r="A9" s="29" t="s">
        <v>190</v>
      </c>
      <c r="B9" s="30">
        <v>46013</v>
      </c>
      <c r="C9" s="29" t="s">
        <v>187</v>
      </c>
      <c r="D9" s="24" t="str">
        <f>IFERROR(INDEX(Households!$B$5:$B$154,MATCH(C9,Households!$A$5:$A$154,0)),"Not in register")</f>
        <v>Site A – School Shelter</v>
      </c>
      <c r="E9" s="29" t="s">
        <v>68</v>
      </c>
      <c r="F9" s="29">
        <v>1</v>
      </c>
      <c r="G9" s="29" t="s">
        <v>191</v>
      </c>
      <c r="H9" s="29" t="s">
        <v>182</v>
      </c>
      <c r="I9" s="24" t="str">
        <f>IFERROR(IF(B9&gt;=INDEX(Households!$F$5:$F$154,MATCH(C9,Households!$A$5:$A$154,0)),"Yes","No – before latest assessment"),"")</f>
        <v>No – before latest assessment</v>
      </c>
    </row>
    <row r="10" spans="1:9" x14ac:dyDescent="0.3">
      <c r="A10" s="29" t="s">
        <v>192</v>
      </c>
      <c r="B10" s="30">
        <v>46014</v>
      </c>
      <c r="C10" s="29" t="s">
        <v>193</v>
      </c>
      <c r="D10" s="24" t="str">
        <f>IFERROR(INDEX(Households!$B$5:$B$154,MATCH(C10,Households!$A$5:$A$154,0)),"Not in register")</f>
        <v>Site B – School Shelter</v>
      </c>
      <c r="E10" s="29" t="s">
        <v>54</v>
      </c>
      <c r="F10" s="29">
        <v>3</v>
      </c>
      <c r="G10" s="29" t="s">
        <v>185</v>
      </c>
      <c r="H10" s="29" t="s">
        <v>182</v>
      </c>
      <c r="I10" s="24" t="str">
        <f>IFERROR(IF(B10&gt;=INDEX(Households!$F$5:$F$154,MATCH(C10,Households!$A$5:$A$154,0)),"Yes","No – before latest assessment"),"")</f>
        <v>Yes</v>
      </c>
    </row>
    <row r="11" spans="1:9" x14ac:dyDescent="0.3">
      <c r="A11" s="29" t="s">
        <v>194</v>
      </c>
      <c r="B11" s="30">
        <v>46014</v>
      </c>
      <c r="C11" s="29" t="s">
        <v>195</v>
      </c>
      <c r="D11" s="24" t="str">
        <f>IFERROR(INDEX(Households!$B$5:$B$154,MATCH(C11,Households!$A$5:$A$154,0)),"Not in register")</f>
        <v>Site B – School Shelter</v>
      </c>
      <c r="E11" s="29" t="s">
        <v>54</v>
      </c>
      <c r="F11" s="29">
        <v>4</v>
      </c>
      <c r="G11" s="29" t="s">
        <v>185</v>
      </c>
      <c r="H11" s="29" t="s">
        <v>182</v>
      </c>
      <c r="I11" s="24" t="str">
        <f>IFERROR(IF(B11&gt;=INDEX(Households!$F$5:$F$154,MATCH(C11,Households!$A$5:$A$154,0)),"Yes","No – before latest assessment"),"")</f>
        <v>No – before latest assessment</v>
      </c>
    </row>
    <row r="12" spans="1:9" x14ac:dyDescent="0.3">
      <c r="A12" s="29" t="s">
        <v>196</v>
      </c>
      <c r="B12" s="30">
        <v>46015</v>
      </c>
      <c r="C12" s="29" t="s">
        <v>197</v>
      </c>
      <c r="D12" s="24" t="str">
        <f>IFERROR(INDEX(Households!$B$5:$B$154,MATCH(C12,Households!$A$5:$A$154,0)),"Not in register")</f>
        <v>Site B – School Shelter</v>
      </c>
      <c r="E12" s="29" t="s">
        <v>54</v>
      </c>
      <c r="F12" s="29">
        <v>2</v>
      </c>
      <c r="G12" s="29" t="s">
        <v>185</v>
      </c>
      <c r="H12" s="29" t="s">
        <v>182</v>
      </c>
      <c r="I12" s="24" t="str">
        <f>IFERROR(IF(B12&gt;=INDEX(Households!$F$5:$F$154,MATCH(C12,Households!$A$5:$A$154,0)),"Yes","No – before latest assessment"),"")</f>
        <v>No – before latest assessment</v>
      </c>
    </row>
    <row r="13" spans="1:9" x14ac:dyDescent="0.3">
      <c r="A13" s="29" t="s">
        <v>198</v>
      </c>
      <c r="B13" s="30">
        <v>46015</v>
      </c>
      <c r="C13" s="29" t="s">
        <v>199</v>
      </c>
      <c r="D13" s="24" t="str">
        <f>IFERROR(INDEX(Households!$B$5:$B$154,MATCH(C13,Households!$A$5:$A$154,0)),"Not in register")</f>
        <v>Site B – School Shelter</v>
      </c>
      <c r="E13" s="29" t="s">
        <v>63</v>
      </c>
      <c r="F13" s="29">
        <v>1</v>
      </c>
      <c r="G13" s="29" t="s">
        <v>189</v>
      </c>
      <c r="H13" s="29" t="s">
        <v>182</v>
      </c>
      <c r="I13" s="24" t="str">
        <f>IFERROR(IF(B13&gt;=INDEX(Households!$F$5:$F$154,MATCH(C13,Households!$A$5:$A$154,0)),"Yes","No – before latest assessment"),"")</f>
        <v>No – before latest assessment</v>
      </c>
    </row>
    <row r="14" spans="1:9" x14ac:dyDescent="0.3">
      <c r="A14" s="29" t="s">
        <v>200</v>
      </c>
      <c r="B14" s="30">
        <v>46015</v>
      </c>
      <c r="C14" s="29" t="s">
        <v>201</v>
      </c>
      <c r="D14" s="24" t="str">
        <f>IFERROR(INDEX(Households!$B$5:$B$154,MATCH(C14,Households!$A$5:$A$154,0)),"Not in register")</f>
        <v>Site C – Informal Tent Area</v>
      </c>
      <c r="E14" s="29" t="s">
        <v>54</v>
      </c>
      <c r="F14" s="29">
        <v>3</v>
      </c>
      <c r="G14" s="29" t="s">
        <v>189</v>
      </c>
      <c r="H14" s="29" t="s">
        <v>182</v>
      </c>
      <c r="I14" s="24" t="str">
        <f>IFERROR(IF(B14&gt;=INDEX(Households!$F$5:$F$154,MATCH(C14,Households!$A$5:$A$154,0)),"Yes","No – before latest assessment"),"")</f>
        <v>No – before latest assessment</v>
      </c>
    </row>
    <row r="15" spans="1:9" x14ac:dyDescent="0.3">
      <c r="A15" s="29" t="s">
        <v>202</v>
      </c>
      <c r="B15" s="30">
        <v>46015</v>
      </c>
      <c r="C15" s="29" t="s">
        <v>201</v>
      </c>
      <c r="D15" s="24" t="str">
        <f>IFERROR(INDEX(Households!$B$5:$B$154,MATCH(C15,Households!$A$5:$A$154,0)),"Not in register")</f>
        <v>Site C – Informal Tent Area</v>
      </c>
      <c r="E15" s="29" t="s">
        <v>56</v>
      </c>
      <c r="F15" s="29">
        <v>2</v>
      </c>
      <c r="G15" s="29" t="s">
        <v>185</v>
      </c>
      <c r="H15" s="29" t="s">
        <v>182</v>
      </c>
      <c r="I15" s="24" t="str">
        <f>IFERROR(IF(B15&gt;=INDEX(Households!$F$5:$F$154,MATCH(C15,Households!$A$5:$A$154,0)),"Yes","No – before latest assessment"),"")</f>
        <v>No – before latest assessment</v>
      </c>
    </row>
    <row r="16" spans="1:9" x14ac:dyDescent="0.3">
      <c r="A16" s="29" t="s">
        <v>203</v>
      </c>
      <c r="B16" s="30">
        <v>46015</v>
      </c>
      <c r="C16" s="29" t="s">
        <v>204</v>
      </c>
      <c r="D16" s="24" t="str">
        <f>IFERROR(INDEX(Households!$B$5:$B$154,MATCH(C16,Households!$A$5:$A$154,0)),"Not in register")</f>
        <v>Site C – Informal Tent Area</v>
      </c>
      <c r="E16" s="29" t="s">
        <v>70</v>
      </c>
      <c r="F16" s="29">
        <v>1</v>
      </c>
      <c r="G16" s="29" t="s">
        <v>191</v>
      </c>
      <c r="H16" s="29" t="s">
        <v>182</v>
      </c>
      <c r="I16" s="24" t="str">
        <f>IFERROR(IF(B16&gt;=INDEX(Households!$F$5:$F$154,MATCH(C16,Households!$A$5:$A$154,0)),"Yes","No – before latest assessment"),"")</f>
        <v>Yes</v>
      </c>
    </row>
    <row r="17" spans="1:9" x14ac:dyDescent="0.3">
      <c r="A17" s="29" t="s">
        <v>205</v>
      </c>
      <c r="B17" s="30">
        <v>46015</v>
      </c>
      <c r="C17" s="29" t="s">
        <v>206</v>
      </c>
      <c r="D17" s="24" t="str">
        <f>IFERROR(INDEX(Households!$B$5:$B$154,MATCH(C17,Households!$A$5:$A$154,0)),"Not in register")</f>
        <v>Site C – Informal Tent Area</v>
      </c>
      <c r="E17" s="29" t="s">
        <v>68</v>
      </c>
      <c r="F17" s="29">
        <v>1</v>
      </c>
      <c r="G17" s="29" t="s">
        <v>191</v>
      </c>
      <c r="H17" s="29" t="s">
        <v>182</v>
      </c>
      <c r="I17" s="24" t="str">
        <f>IFERROR(IF(B17&gt;=INDEX(Households!$F$5:$F$154,MATCH(C17,Households!$A$5:$A$154,0)),"Yes","No – before latest assessment"),"")</f>
        <v>No – before latest assessment</v>
      </c>
    </row>
    <row r="18" spans="1:9" x14ac:dyDescent="0.3">
      <c r="A18" s="29" t="s">
        <v>207</v>
      </c>
      <c r="B18" s="30">
        <v>46016</v>
      </c>
      <c r="C18" s="29" t="s">
        <v>208</v>
      </c>
      <c r="D18" s="24" t="str">
        <f>IFERROR(INDEX(Households!$B$5:$B$154,MATCH(C18,Households!$A$5:$A$154,0)),"Not in register")</f>
        <v>Site C – Informal Tent Area</v>
      </c>
      <c r="E18" s="29" t="s">
        <v>54</v>
      </c>
      <c r="F18" s="29">
        <v>3</v>
      </c>
      <c r="G18" s="29" t="s">
        <v>185</v>
      </c>
      <c r="H18" s="29" t="s">
        <v>182</v>
      </c>
      <c r="I18" s="24" t="str">
        <f>IFERROR(IF(B18&gt;=INDEX(Households!$F$5:$F$154,MATCH(C18,Households!$A$5:$A$154,0)),"Yes","No – before latest assessment"),"")</f>
        <v>Yes</v>
      </c>
    </row>
    <row r="19" spans="1:9" x14ac:dyDescent="0.3">
      <c r="A19" s="29" t="s">
        <v>209</v>
      </c>
      <c r="B19" s="30">
        <v>46016</v>
      </c>
      <c r="C19" s="29" t="s">
        <v>206</v>
      </c>
      <c r="D19" s="24" t="str">
        <f>IFERROR(INDEX(Households!$B$5:$B$154,MATCH(C19,Households!$A$5:$A$154,0)),"Not in register")</f>
        <v>Site C – Informal Tent Area</v>
      </c>
      <c r="E19" s="29" t="s">
        <v>65</v>
      </c>
      <c r="F19" s="29">
        <v>3</v>
      </c>
      <c r="G19" s="29" t="s">
        <v>189</v>
      </c>
      <c r="H19" s="29" t="s">
        <v>182</v>
      </c>
      <c r="I19" s="24" t="str">
        <f>IFERROR(IF(B19&gt;=INDEX(Households!$F$5:$F$154,MATCH(C19,Households!$A$5:$A$154,0)),"Yes","No – before latest assessment"),"")</f>
        <v>No – before latest assessment</v>
      </c>
    </row>
    <row r="20" spans="1:9" x14ac:dyDescent="0.3">
      <c r="A20" s="29" t="s">
        <v>210</v>
      </c>
      <c r="B20" s="30">
        <v>46017</v>
      </c>
      <c r="C20" s="29" t="s">
        <v>211</v>
      </c>
      <c r="D20" s="24" t="str">
        <f>IFERROR(INDEX(Households!$B$5:$B$154,MATCH(C20,Households!$A$5:$A$154,0)),"Not in register")</f>
        <v>Site A – School Shelter</v>
      </c>
      <c r="E20" s="29" t="s">
        <v>70</v>
      </c>
      <c r="F20" s="29">
        <v>2</v>
      </c>
      <c r="G20" s="29" t="s">
        <v>191</v>
      </c>
      <c r="H20" s="29" t="s">
        <v>182</v>
      </c>
      <c r="I20" s="24" t="str">
        <f>IFERROR(IF(B20&gt;=INDEX(Households!$F$5:$F$154,MATCH(C20,Households!$A$5:$A$154,0)),"Yes","No – before latest assessment"),"")</f>
        <v>No – before latest assessment</v>
      </c>
    </row>
    <row r="21" spans="1:9" x14ac:dyDescent="0.3">
      <c r="A21" s="29" t="s">
        <v>212</v>
      </c>
      <c r="B21" s="30">
        <v>46017</v>
      </c>
      <c r="C21" s="29" t="s">
        <v>213</v>
      </c>
      <c r="D21" s="24" t="str">
        <f>IFERROR(INDEX(Households!$B$5:$B$154,MATCH(C21,Households!$A$5:$A$154,0)),"Not in register")</f>
        <v>Site A – School Shelter</v>
      </c>
      <c r="E21" s="29" t="s">
        <v>56</v>
      </c>
      <c r="F21" s="29">
        <v>1</v>
      </c>
      <c r="G21" s="29" t="s">
        <v>185</v>
      </c>
      <c r="H21" s="29" t="s">
        <v>182</v>
      </c>
      <c r="I21" s="24" t="str">
        <f>IFERROR(IF(B21&gt;=INDEX(Households!$F$5:$F$154,MATCH(C21,Households!$A$5:$A$154,0)),"Yes","No – before latest assessment"),"")</f>
        <v>No – before latest assessment</v>
      </c>
    </row>
    <row r="22" spans="1:9" x14ac:dyDescent="0.3">
      <c r="A22" s="29" t="s">
        <v>214</v>
      </c>
      <c r="B22" s="30">
        <v>46017</v>
      </c>
      <c r="C22" s="29" t="s">
        <v>193</v>
      </c>
      <c r="D22" s="24" t="str">
        <f>IFERROR(INDEX(Households!$B$5:$B$154,MATCH(C22,Households!$A$5:$A$154,0)),"Not in register")</f>
        <v>Site B – School Shelter</v>
      </c>
      <c r="E22" s="29" t="s">
        <v>68</v>
      </c>
      <c r="F22" s="29">
        <v>1</v>
      </c>
      <c r="G22" s="29" t="s">
        <v>189</v>
      </c>
      <c r="H22" s="29" t="s">
        <v>182</v>
      </c>
      <c r="I22" s="24" t="str">
        <f>IFERROR(IF(B22&gt;=INDEX(Households!$F$5:$F$154,MATCH(C22,Households!$A$5:$A$154,0)),"Yes","No – before latest assessment"),"")</f>
        <v>Yes</v>
      </c>
    </row>
    <row r="23" spans="1:9" x14ac:dyDescent="0.3">
      <c r="A23" s="29" t="s">
        <v>215</v>
      </c>
      <c r="B23" s="30">
        <v>46017</v>
      </c>
      <c r="C23" s="29" t="s">
        <v>193</v>
      </c>
      <c r="D23" s="24" t="str">
        <f>IFERROR(INDEX(Households!$B$5:$B$154,MATCH(C23,Households!$A$5:$A$154,0)),"Not in register")</f>
        <v>Site B – School Shelter</v>
      </c>
      <c r="E23" s="29" t="s">
        <v>56</v>
      </c>
      <c r="F23" s="29">
        <v>1</v>
      </c>
      <c r="G23" s="29" t="s">
        <v>185</v>
      </c>
      <c r="H23" s="29" t="s">
        <v>182</v>
      </c>
      <c r="I23" s="24" t="str">
        <f>IFERROR(IF(B23&gt;=INDEX(Households!$F$5:$F$154,MATCH(C23,Households!$A$5:$A$154,0)),"Yes","No – before latest assessment"),"")</f>
        <v>Yes</v>
      </c>
    </row>
    <row r="24" spans="1:9" x14ac:dyDescent="0.3">
      <c r="A24" s="29" t="s">
        <v>216</v>
      </c>
      <c r="B24" s="30">
        <v>46017</v>
      </c>
      <c r="C24" s="29" t="s">
        <v>195</v>
      </c>
      <c r="D24" s="24" t="str">
        <f>IFERROR(INDEX(Households!$B$5:$B$154,MATCH(C24,Households!$A$5:$A$154,0)),"Not in register")</f>
        <v>Site B – School Shelter</v>
      </c>
      <c r="E24" s="29" t="s">
        <v>65</v>
      </c>
      <c r="F24" s="29">
        <v>1</v>
      </c>
      <c r="G24" s="29" t="s">
        <v>189</v>
      </c>
      <c r="H24" s="29" t="s">
        <v>182</v>
      </c>
      <c r="I24" s="24" t="str">
        <f>IFERROR(IF(B24&gt;=INDEX(Households!$F$5:$F$154,MATCH(C24,Households!$A$5:$A$154,0)),"Yes","No – before latest assessment"),"")</f>
        <v>No – before latest assessment</v>
      </c>
    </row>
    <row r="25" spans="1:9" x14ac:dyDescent="0.3">
      <c r="A25" s="29" t="s">
        <v>217</v>
      </c>
      <c r="B25" s="30">
        <v>46018</v>
      </c>
      <c r="C25" s="29" t="s">
        <v>199</v>
      </c>
      <c r="D25" s="24" t="str">
        <f>IFERROR(INDEX(Households!$B$5:$B$154,MATCH(C25,Households!$A$5:$A$154,0)),"Not in register")</f>
        <v>Site B – School Shelter</v>
      </c>
      <c r="E25" s="29" t="s">
        <v>70</v>
      </c>
      <c r="F25" s="29">
        <v>1</v>
      </c>
      <c r="G25" s="29" t="s">
        <v>191</v>
      </c>
      <c r="H25" s="29" t="s">
        <v>182</v>
      </c>
      <c r="I25" s="24" t="str">
        <f>IFERROR(IF(B25&gt;=INDEX(Households!$F$5:$F$154,MATCH(C25,Households!$A$5:$A$154,0)),"Yes","No – before latest assessment"),"")</f>
        <v>No – before latest assessment</v>
      </c>
    </row>
    <row r="26" spans="1:9" x14ac:dyDescent="0.3">
      <c r="A26" s="29" t="s">
        <v>218</v>
      </c>
      <c r="B26" s="30">
        <v>46018</v>
      </c>
      <c r="C26" s="29" t="s">
        <v>208</v>
      </c>
      <c r="D26" s="24" t="str">
        <f>IFERROR(INDEX(Households!$B$5:$B$154,MATCH(C26,Households!$A$5:$A$154,0)),"Not in register")</f>
        <v>Site C – Informal Tent Area</v>
      </c>
      <c r="E26" s="29" t="s">
        <v>54</v>
      </c>
      <c r="F26" s="29">
        <v>4</v>
      </c>
      <c r="G26" s="29" t="s">
        <v>185</v>
      </c>
      <c r="H26" s="29" t="s">
        <v>182</v>
      </c>
      <c r="I26" s="24" t="str">
        <f>IFERROR(IF(B26&gt;=INDEX(Households!$F$5:$F$154,MATCH(C26,Households!$A$5:$A$154,0)),"Yes","No – before latest assessment"),"")</f>
        <v>Yes</v>
      </c>
    </row>
    <row r="27" spans="1:9" x14ac:dyDescent="0.3">
      <c r="A27" s="29" t="s">
        <v>219</v>
      </c>
      <c r="B27" s="30">
        <v>46018</v>
      </c>
      <c r="C27" s="29" t="s">
        <v>220</v>
      </c>
      <c r="D27" s="24" t="str">
        <f>IFERROR(INDEX(Households!$B$5:$B$154,MATCH(C27,Households!$A$5:$A$154,0)),"Not in register")</f>
        <v>Site D – Collective Centre</v>
      </c>
      <c r="E27" s="29" t="s">
        <v>54</v>
      </c>
      <c r="F27" s="29">
        <v>8</v>
      </c>
      <c r="G27" s="29" t="s">
        <v>185</v>
      </c>
      <c r="H27" s="29" t="s">
        <v>182</v>
      </c>
      <c r="I27" s="24" t="str">
        <f>IFERROR(IF(B27&gt;=INDEX(Households!$F$5:$F$154,MATCH(C27,Households!$A$5:$A$154,0)),"Yes","No – before latest assessment"),"")</f>
        <v>Yes</v>
      </c>
    </row>
    <row r="28" spans="1:9" x14ac:dyDescent="0.3">
      <c r="A28" s="29" t="s">
        <v>221</v>
      </c>
      <c r="B28" s="30">
        <v>46019</v>
      </c>
      <c r="C28" s="29" t="s">
        <v>201</v>
      </c>
      <c r="D28" s="24" t="str">
        <f>IFERROR(INDEX(Households!$B$5:$B$154,MATCH(C28,Households!$A$5:$A$154,0)),"Not in register")</f>
        <v>Site C – Informal Tent Area</v>
      </c>
      <c r="E28" s="29" t="s">
        <v>65</v>
      </c>
      <c r="F28" s="29">
        <v>1</v>
      </c>
      <c r="G28" s="29" t="s">
        <v>189</v>
      </c>
      <c r="H28" s="29" t="s">
        <v>182</v>
      </c>
      <c r="I28" s="24" t="str">
        <f>IFERROR(IF(B28&gt;=INDEX(Households!$F$5:$F$154,MATCH(C28,Households!$A$5:$A$154,0)),"Yes","No – before latest assessment"),"")</f>
        <v>No – before latest assessment</v>
      </c>
    </row>
    <row r="29" spans="1:9" x14ac:dyDescent="0.3">
      <c r="A29" s="29" t="s">
        <v>222</v>
      </c>
      <c r="B29" s="30">
        <v>46020</v>
      </c>
      <c r="C29" s="29" t="s">
        <v>213</v>
      </c>
      <c r="D29" s="24" t="str">
        <f>IFERROR(INDEX(Households!$B$5:$B$154,MATCH(C29,Households!$A$5:$A$154,0)),"Not in register")</f>
        <v>Site A – School Shelter</v>
      </c>
      <c r="E29" s="29" t="s">
        <v>70</v>
      </c>
      <c r="F29" s="29">
        <v>1</v>
      </c>
      <c r="G29" s="29" t="s">
        <v>191</v>
      </c>
      <c r="H29" s="29" t="s">
        <v>182</v>
      </c>
      <c r="I29" s="24" t="str">
        <f>IFERROR(IF(B29&gt;=INDEX(Households!$F$5:$F$154,MATCH(C29,Households!$A$5:$A$154,0)),"Yes","No – before latest assessment"),"")</f>
        <v>No – before latest assessment</v>
      </c>
    </row>
    <row r="30" spans="1:9" x14ac:dyDescent="0.3">
      <c r="A30" s="29" t="s">
        <v>223</v>
      </c>
      <c r="B30" s="30">
        <v>46020</v>
      </c>
      <c r="C30" s="29" t="s">
        <v>195</v>
      </c>
      <c r="D30" s="24" t="str">
        <f>IFERROR(INDEX(Households!$B$5:$B$154,MATCH(C30,Households!$A$5:$A$154,0)),"Not in register")</f>
        <v>Site B – School Shelter</v>
      </c>
      <c r="E30" s="29" t="s">
        <v>63</v>
      </c>
      <c r="F30" s="29">
        <v>1</v>
      </c>
      <c r="G30" s="29" t="s">
        <v>189</v>
      </c>
      <c r="H30" s="29" t="s">
        <v>182</v>
      </c>
      <c r="I30" s="24" t="str">
        <f>IFERROR(IF(B30&gt;=INDEX(Households!$F$5:$F$154,MATCH(C30,Households!$A$5:$A$154,0)),"Yes","No – before latest assessment"),"")</f>
        <v>No – before latest assessment</v>
      </c>
    </row>
    <row r="31" spans="1:9" x14ac:dyDescent="0.3">
      <c r="A31" s="29" t="s">
        <v>224</v>
      </c>
      <c r="B31" s="30">
        <v>46020</v>
      </c>
      <c r="C31" s="29" t="s">
        <v>225</v>
      </c>
      <c r="D31" s="24" t="str">
        <f>IFERROR(INDEX(Households!$B$5:$B$154,MATCH(C31,Households!$A$5:$A$154,0)),"Not in register")</f>
        <v>Site C – Informal Tent Area</v>
      </c>
      <c r="E31" s="29" t="s">
        <v>56</v>
      </c>
      <c r="F31" s="29">
        <v>4</v>
      </c>
      <c r="G31" s="29" t="s">
        <v>185</v>
      </c>
      <c r="H31" s="29" t="s">
        <v>182</v>
      </c>
      <c r="I31" s="24" t="str">
        <f>IFERROR(IF(B31&gt;=INDEX(Households!$F$5:$F$154,MATCH(C31,Households!$A$5:$A$154,0)),"Yes","No – before latest assessment"),"")</f>
        <v>No – before latest assessment</v>
      </c>
    </row>
    <row r="32" spans="1:9" x14ac:dyDescent="0.3">
      <c r="A32" s="29" t="s">
        <v>226</v>
      </c>
      <c r="B32" s="30">
        <v>46021</v>
      </c>
      <c r="C32" s="29" t="s">
        <v>187</v>
      </c>
      <c r="D32" s="24" t="str">
        <f>IFERROR(INDEX(Households!$B$5:$B$154,MATCH(C32,Households!$A$5:$A$154,0)),"Not in register")</f>
        <v>Site A – School Shelter</v>
      </c>
      <c r="E32" s="29" t="s">
        <v>63</v>
      </c>
      <c r="F32" s="29">
        <v>2</v>
      </c>
      <c r="G32" s="29" t="s">
        <v>189</v>
      </c>
      <c r="H32" s="29" t="s">
        <v>182</v>
      </c>
      <c r="I32" s="24" t="str">
        <f>IFERROR(IF(B32&gt;=INDEX(Households!$F$5:$F$154,MATCH(C32,Households!$A$5:$A$154,0)),"Yes","No – before latest assessment"),"")</f>
        <v>No – before latest assessment</v>
      </c>
    </row>
    <row r="33" spans="1:9" x14ac:dyDescent="0.3">
      <c r="A33" s="29" t="s">
        <v>227</v>
      </c>
      <c r="B33" s="30">
        <v>46021</v>
      </c>
      <c r="C33" s="29" t="s">
        <v>228</v>
      </c>
      <c r="D33" s="24" t="str">
        <f>IFERROR(INDEX(Households!$B$5:$B$154,MATCH(C33,Households!$A$5:$A$154,0)),"Not in register")</f>
        <v>Site B – School Shelter</v>
      </c>
      <c r="E33" s="29" t="s">
        <v>63</v>
      </c>
      <c r="F33" s="29">
        <v>1</v>
      </c>
      <c r="G33" s="29" t="s">
        <v>189</v>
      </c>
      <c r="H33" s="29" t="s">
        <v>182</v>
      </c>
      <c r="I33" s="24" t="str">
        <f>IFERROR(IF(B33&gt;=INDEX(Households!$F$5:$F$154,MATCH(C33,Households!$A$5:$A$154,0)),"Yes","No – before latest assessment"),"")</f>
        <v>No – before latest assessment</v>
      </c>
    </row>
    <row r="34" spans="1:9" x14ac:dyDescent="0.3">
      <c r="A34" s="29" t="s">
        <v>229</v>
      </c>
      <c r="B34" s="30">
        <v>46022</v>
      </c>
      <c r="C34" s="29" t="s">
        <v>230</v>
      </c>
      <c r="D34" s="24" t="str">
        <f>IFERROR(INDEX(Households!$B$5:$B$154,MATCH(C34,Households!$A$5:$A$154,0)),"Not in register")</f>
        <v>Site A – School Shelter</v>
      </c>
      <c r="E34" s="29" t="s">
        <v>70</v>
      </c>
      <c r="F34" s="29">
        <v>1</v>
      </c>
      <c r="G34" s="29" t="s">
        <v>191</v>
      </c>
      <c r="H34" s="29" t="s">
        <v>182</v>
      </c>
      <c r="I34" s="24" t="str">
        <f>IFERROR(IF(B34&gt;=INDEX(Households!$F$5:$F$154,MATCH(C34,Households!$A$5:$A$154,0)),"Yes","No – before latest assessment"),"")</f>
        <v>Yes</v>
      </c>
    </row>
    <row r="35" spans="1:9" x14ac:dyDescent="0.3">
      <c r="A35" s="29" t="s">
        <v>231</v>
      </c>
      <c r="B35" s="30">
        <v>46022</v>
      </c>
      <c r="C35" s="29" t="s">
        <v>232</v>
      </c>
      <c r="D35" s="24" t="str">
        <f>IFERROR(INDEX(Households!$B$5:$B$154,MATCH(C35,Households!$A$5:$A$154,0)),"Not in register")</f>
        <v>Site A – School Shelter</v>
      </c>
      <c r="E35" s="29" t="s">
        <v>70</v>
      </c>
      <c r="F35" s="29">
        <v>1</v>
      </c>
      <c r="G35" s="29" t="s">
        <v>191</v>
      </c>
      <c r="H35" s="29" t="s">
        <v>182</v>
      </c>
      <c r="I35" s="24" t="str">
        <f>IFERROR(IF(B35&gt;=INDEX(Households!$F$5:$F$154,MATCH(C35,Households!$A$5:$A$154,0)),"Yes","No – before latest assessment"),"")</f>
        <v>No – before latest assessment</v>
      </c>
    </row>
    <row r="36" spans="1:9" x14ac:dyDescent="0.3">
      <c r="A36" s="29" t="s">
        <v>233</v>
      </c>
      <c r="B36" s="30">
        <v>46022</v>
      </c>
      <c r="C36" s="29" t="s">
        <v>234</v>
      </c>
      <c r="D36" s="24" t="str">
        <f>IFERROR(INDEX(Households!$B$5:$B$154,MATCH(C36,Households!$A$5:$A$154,0)),"Not in register")</f>
        <v>Site B – School Shelter</v>
      </c>
      <c r="E36" s="29" t="s">
        <v>65</v>
      </c>
      <c r="F36" s="29">
        <v>2</v>
      </c>
      <c r="G36" s="29" t="s">
        <v>189</v>
      </c>
      <c r="H36" s="29" t="s">
        <v>182</v>
      </c>
      <c r="I36" s="24" t="str">
        <f>IFERROR(IF(B36&gt;=INDEX(Households!$F$5:$F$154,MATCH(C36,Households!$A$5:$A$154,0)),"Yes","No – before latest assessment"),"")</f>
        <v>No – before latest assessment</v>
      </c>
    </row>
    <row r="37" spans="1:9" x14ac:dyDescent="0.3">
      <c r="A37" s="29" t="s">
        <v>235</v>
      </c>
      <c r="B37" s="30">
        <v>46022</v>
      </c>
      <c r="C37" s="29" t="s">
        <v>236</v>
      </c>
      <c r="D37" s="24" t="str">
        <f>IFERROR(INDEX(Households!$B$5:$B$154,MATCH(C37,Households!$A$5:$A$154,0)),"Not in register")</f>
        <v>Site B – School Shelter</v>
      </c>
      <c r="E37" s="29" t="s">
        <v>70</v>
      </c>
      <c r="F37" s="29">
        <v>1</v>
      </c>
      <c r="G37" s="29" t="s">
        <v>191</v>
      </c>
      <c r="H37" s="29" t="s">
        <v>182</v>
      </c>
      <c r="I37" s="24" t="str">
        <f>IFERROR(IF(B37&gt;=INDEX(Households!$F$5:$F$154,MATCH(C37,Households!$A$5:$A$154,0)),"Yes","No – before latest assessment"),"")</f>
        <v>No – before latest assessment</v>
      </c>
    </row>
    <row r="38" spans="1:9" x14ac:dyDescent="0.3">
      <c r="A38" s="29" t="s">
        <v>237</v>
      </c>
      <c r="B38" s="30">
        <v>46022</v>
      </c>
      <c r="C38" s="29" t="s">
        <v>238</v>
      </c>
      <c r="D38" s="24" t="str">
        <f>IFERROR(INDEX(Households!$B$5:$B$154,MATCH(C38,Households!$A$5:$A$154,0)),"Not in register")</f>
        <v>Site C – Informal Tent Area</v>
      </c>
      <c r="E38" s="29" t="s">
        <v>68</v>
      </c>
      <c r="F38" s="29">
        <v>1</v>
      </c>
      <c r="G38" s="29" t="s">
        <v>191</v>
      </c>
      <c r="H38" s="29" t="s">
        <v>182</v>
      </c>
      <c r="I38" s="24" t="str">
        <f>IFERROR(IF(B38&gt;=INDEX(Households!$F$5:$F$154,MATCH(C38,Households!$A$5:$A$154,0)),"Yes","No – before latest assessment"),"")</f>
        <v>Yes</v>
      </c>
    </row>
    <row r="39" spans="1:9" x14ac:dyDescent="0.3">
      <c r="A39" s="29" t="s">
        <v>239</v>
      </c>
      <c r="B39" s="30">
        <v>46023</v>
      </c>
      <c r="C39" s="29" t="s">
        <v>240</v>
      </c>
      <c r="D39" s="24" t="str">
        <f>IFERROR(INDEX(Households!$B$5:$B$154,MATCH(C39,Households!$A$5:$A$154,0)),"Not in register")</f>
        <v>Site B – School Shelter</v>
      </c>
      <c r="E39" s="29" t="s">
        <v>70</v>
      </c>
      <c r="F39" s="29">
        <v>1</v>
      </c>
      <c r="G39" s="29" t="s">
        <v>189</v>
      </c>
      <c r="H39" s="29" t="s">
        <v>182</v>
      </c>
      <c r="I39" s="24" t="str">
        <f>IFERROR(IF(B39&gt;=INDEX(Households!$F$5:$F$154,MATCH(C39,Households!$A$5:$A$154,0)),"Yes","No – before latest assessment"),"")</f>
        <v>No – before latest assessment</v>
      </c>
    </row>
    <row r="40" spans="1:9" x14ac:dyDescent="0.3">
      <c r="A40" s="29" t="s">
        <v>241</v>
      </c>
      <c r="B40" s="30">
        <v>46023</v>
      </c>
      <c r="C40" s="29" t="s">
        <v>236</v>
      </c>
      <c r="D40" s="24" t="str">
        <f>IFERROR(INDEX(Households!$B$5:$B$154,MATCH(C40,Households!$A$5:$A$154,0)),"Not in register")</f>
        <v>Site B – School Shelter</v>
      </c>
      <c r="E40" s="29" t="s">
        <v>65</v>
      </c>
      <c r="F40" s="29">
        <v>1</v>
      </c>
      <c r="G40" s="29" t="s">
        <v>189</v>
      </c>
      <c r="H40" s="29" t="s">
        <v>182</v>
      </c>
      <c r="I40" s="24" t="str">
        <f>IFERROR(IF(B40&gt;=INDEX(Households!$F$5:$F$154,MATCH(C40,Households!$A$5:$A$154,0)),"Yes","No – before latest assessment"),"")</f>
        <v>No – before latest assessment</v>
      </c>
    </row>
    <row r="41" spans="1:9" x14ac:dyDescent="0.3">
      <c r="A41" s="29" t="s">
        <v>242</v>
      </c>
      <c r="B41" s="30">
        <v>46023</v>
      </c>
      <c r="C41" s="29" t="s">
        <v>243</v>
      </c>
      <c r="D41" s="24" t="str">
        <f>IFERROR(INDEX(Households!$B$5:$B$154,MATCH(C41,Households!$A$5:$A$154,0)),"Not in register")</f>
        <v>Site B – School Shelter</v>
      </c>
      <c r="E41" s="29" t="s">
        <v>70</v>
      </c>
      <c r="F41" s="29">
        <v>2</v>
      </c>
      <c r="G41" s="29" t="s">
        <v>191</v>
      </c>
      <c r="H41" s="29" t="s">
        <v>182</v>
      </c>
      <c r="I41" s="24" t="str">
        <f>IFERROR(IF(B41&gt;=INDEX(Households!$F$5:$F$154,MATCH(C41,Households!$A$5:$A$154,0)),"Yes","No – before latest assessment"),"")</f>
        <v>No – before latest assessment</v>
      </c>
    </row>
    <row r="42" spans="1:9" x14ac:dyDescent="0.3">
      <c r="A42" s="29" t="s">
        <v>244</v>
      </c>
      <c r="B42" s="30">
        <v>46023</v>
      </c>
      <c r="C42" s="29" t="s">
        <v>245</v>
      </c>
      <c r="D42" s="24" t="str">
        <f>IFERROR(INDEX(Households!$B$5:$B$154,MATCH(C42,Households!$A$5:$A$154,0)),"Not in register")</f>
        <v>Site B – School Shelter</v>
      </c>
      <c r="E42" s="29" t="s">
        <v>65</v>
      </c>
      <c r="F42" s="29">
        <v>1</v>
      </c>
      <c r="G42" s="29" t="s">
        <v>185</v>
      </c>
      <c r="H42" s="29" t="s">
        <v>182</v>
      </c>
      <c r="I42" s="24" t="str">
        <f>IFERROR(IF(B42&gt;=INDEX(Households!$F$5:$F$154,MATCH(C42,Households!$A$5:$A$154,0)),"Yes","No – before latest assessment"),"")</f>
        <v>Yes</v>
      </c>
    </row>
    <row r="43" spans="1:9" x14ac:dyDescent="0.3">
      <c r="A43" s="29" t="s">
        <v>246</v>
      </c>
      <c r="B43" s="30">
        <v>46023</v>
      </c>
      <c r="C43" s="29" t="s">
        <v>199</v>
      </c>
      <c r="D43" s="24" t="str">
        <f>IFERROR(INDEX(Households!$B$5:$B$154,MATCH(C43,Households!$A$5:$A$154,0)),"Not in register")</f>
        <v>Site B – School Shelter</v>
      </c>
      <c r="E43" s="29" t="s">
        <v>54</v>
      </c>
      <c r="F43" s="29">
        <v>1</v>
      </c>
      <c r="G43" s="29" t="s">
        <v>185</v>
      </c>
      <c r="H43" s="29" t="s">
        <v>182</v>
      </c>
      <c r="I43" s="24" t="str">
        <f>IFERROR(IF(B43&gt;=INDEX(Households!$F$5:$F$154,MATCH(C43,Households!$A$5:$A$154,0)),"Yes","No – before latest assessment"),"")</f>
        <v>No – before latest assessment</v>
      </c>
    </row>
    <row r="44" spans="1:9" x14ac:dyDescent="0.3">
      <c r="A44" s="29" t="s">
        <v>247</v>
      </c>
      <c r="B44" s="30">
        <v>46023</v>
      </c>
      <c r="C44" s="29" t="s">
        <v>206</v>
      </c>
      <c r="D44" s="24" t="str">
        <f>IFERROR(INDEX(Households!$B$5:$B$154,MATCH(C44,Households!$A$5:$A$154,0)),"Not in register")</f>
        <v>Site C – Informal Tent Area</v>
      </c>
      <c r="E44" s="29" t="s">
        <v>54</v>
      </c>
      <c r="F44" s="29">
        <v>1</v>
      </c>
      <c r="G44" s="29" t="s">
        <v>185</v>
      </c>
      <c r="H44" s="29" t="s">
        <v>182</v>
      </c>
      <c r="I44" s="24" t="str">
        <f>IFERROR(IF(B44&gt;=INDEX(Households!$F$5:$F$154,MATCH(C44,Households!$A$5:$A$154,0)),"Yes","No – before latest assessment"),"")</f>
        <v>No – before latest assessment</v>
      </c>
    </row>
    <row r="45" spans="1:9" x14ac:dyDescent="0.3">
      <c r="A45" s="29" t="s">
        <v>248</v>
      </c>
      <c r="B45" s="30">
        <v>46023</v>
      </c>
      <c r="C45" s="29" t="s">
        <v>249</v>
      </c>
      <c r="D45" s="24" t="str">
        <f>IFERROR(INDEX(Households!$B$5:$B$154,MATCH(C45,Households!$A$5:$A$154,0)),"Not in register")</f>
        <v>Site D – Collective Centre</v>
      </c>
      <c r="E45" s="29" t="s">
        <v>63</v>
      </c>
      <c r="F45" s="29">
        <v>2</v>
      </c>
      <c r="G45" s="29" t="s">
        <v>189</v>
      </c>
      <c r="H45" s="29" t="s">
        <v>182</v>
      </c>
      <c r="I45" s="24" t="str">
        <f>IFERROR(IF(B45&gt;=INDEX(Households!$F$5:$F$154,MATCH(C45,Households!$A$5:$A$154,0)),"Yes","No – before latest assessment"),"")</f>
        <v>Yes</v>
      </c>
    </row>
    <row r="46" spans="1:9" x14ac:dyDescent="0.3">
      <c r="A46" s="29" t="s">
        <v>250</v>
      </c>
      <c r="B46" s="30">
        <v>46024</v>
      </c>
      <c r="C46" s="29" t="s">
        <v>249</v>
      </c>
      <c r="D46" s="24" t="str">
        <f>IFERROR(INDEX(Households!$B$5:$B$154,MATCH(C46,Households!$A$5:$A$154,0)),"Not in register")</f>
        <v>Site D – Collective Centre</v>
      </c>
      <c r="E46" s="29" t="s">
        <v>54</v>
      </c>
      <c r="F46" s="29">
        <v>6</v>
      </c>
      <c r="G46" s="29" t="s">
        <v>185</v>
      </c>
      <c r="H46" s="29" t="s">
        <v>182</v>
      </c>
      <c r="I46" s="24" t="str">
        <f>IFERROR(IF(B46&gt;=INDEX(Households!$F$5:$F$154,MATCH(C46,Households!$A$5:$A$154,0)),"Yes","No – before latest assessment"),"")</f>
        <v>Yes</v>
      </c>
    </row>
    <row r="47" spans="1:9" x14ac:dyDescent="0.3">
      <c r="A47" s="29" t="s">
        <v>251</v>
      </c>
      <c r="B47" s="30">
        <v>46025</v>
      </c>
      <c r="C47" s="29" t="s">
        <v>252</v>
      </c>
      <c r="D47" s="24" t="str">
        <f>IFERROR(INDEX(Households!$B$5:$B$154,MATCH(C47,Households!$A$5:$A$154,0)),"Not in register")</f>
        <v>Site A – School Shelter</v>
      </c>
      <c r="E47" s="29" t="s">
        <v>65</v>
      </c>
      <c r="F47" s="29">
        <v>1</v>
      </c>
      <c r="G47" s="29" t="s">
        <v>189</v>
      </c>
      <c r="H47" s="29" t="s">
        <v>182</v>
      </c>
      <c r="I47" s="24" t="str">
        <f>IFERROR(IF(B47&gt;=INDEX(Households!$F$5:$F$154,MATCH(C47,Households!$A$5:$A$154,0)),"Yes","No – before latest assessment"),"")</f>
        <v>No – before latest assessment</v>
      </c>
    </row>
    <row r="48" spans="1:9" x14ac:dyDescent="0.3">
      <c r="A48" s="29" t="s">
        <v>253</v>
      </c>
      <c r="B48" s="30">
        <v>46025</v>
      </c>
      <c r="C48" s="29" t="s">
        <v>254</v>
      </c>
      <c r="D48" s="24" t="str">
        <f>IFERROR(INDEX(Households!$B$5:$B$154,MATCH(C48,Households!$A$5:$A$154,0)),"Not in register")</f>
        <v>Site A – School Shelter</v>
      </c>
      <c r="E48" s="29" t="s">
        <v>70</v>
      </c>
      <c r="F48" s="29">
        <v>2</v>
      </c>
      <c r="G48" s="29" t="s">
        <v>191</v>
      </c>
      <c r="H48" s="29" t="s">
        <v>182</v>
      </c>
      <c r="I48" s="24" t="str">
        <f>IFERROR(IF(B48&gt;=INDEX(Households!$F$5:$F$154,MATCH(C48,Households!$A$5:$A$154,0)),"Yes","No – before latest assessment"),"")</f>
        <v>No – before latest assessment</v>
      </c>
    </row>
    <row r="49" spans="1:9" x14ac:dyDescent="0.3">
      <c r="A49" s="29" t="s">
        <v>255</v>
      </c>
      <c r="B49" s="30">
        <v>46025</v>
      </c>
      <c r="C49" s="29" t="s">
        <v>204</v>
      </c>
      <c r="D49" s="24" t="str">
        <f>IFERROR(INDEX(Households!$B$5:$B$154,MATCH(C49,Households!$A$5:$A$154,0)),"Not in register")</f>
        <v>Site C – Informal Tent Area</v>
      </c>
      <c r="E49" s="29" t="s">
        <v>68</v>
      </c>
      <c r="F49" s="29">
        <v>1</v>
      </c>
      <c r="G49" s="29" t="s">
        <v>191</v>
      </c>
      <c r="H49" s="29" t="s">
        <v>182</v>
      </c>
      <c r="I49" s="24" t="str">
        <f>IFERROR(IF(B49&gt;=INDEX(Households!$F$5:$F$154,MATCH(C49,Households!$A$5:$A$154,0)),"Yes","No – before latest assessment"),"")</f>
        <v>Yes</v>
      </c>
    </row>
    <row r="50" spans="1:9" x14ac:dyDescent="0.3">
      <c r="A50" s="29" t="s">
        <v>256</v>
      </c>
      <c r="B50" s="30">
        <v>46026</v>
      </c>
      <c r="C50" s="29" t="s">
        <v>257</v>
      </c>
      <c r="D50" s="24" t="str">
        <f>IFERROR(INDEX(Households!$B$5:$B$154,MATCH(C50,Households!$A$5:$A$154,0)),"Not in register")</f>
        <v>Site A – School Shelter</v>
      </c>
      <c r="E50" s="29" t="s">
        <v>70</v>
      </c>
      <c r="F50" s="29">
        <v>1</v>
      </c>
      <c r="G50" s="29" t="s">
        <v>191</v>
      </c>
      <c r="H50" s="29" t="s">
        <v>182</v>
      </c>
      <c r="I50" s="24" t="str">
        <f>IFERROR(IF(B50&gt;=INDEX(Households!$F$5:$F$154,MATCH(C50,Households!$A$5:$A$154,0)),"Yes","No – before latest assessment"),"")</f>
        <v>Yes</v>
      </c>
    </row>
    <row r="51" spans="1:9" x14ac:dyDescent="0.3">
      <c r="A51" s="29" t="s">
        <v>258</v>
      </c>
      <c r="B51" s="30">
        <v>46026</v>
      </c>
      <c r="C51" s="29" t="s">
        <v>259</v>
      </c>
      <c r="D51" s="24" t="str">
        <f>IFERROR(INDEX(Households!$B$5:$B$154,MATCH(C51,Households!$A$5:$A$154,0)),"Not in register")</f>
        <v>Site A – School Shelter</v>
      </c>
      <c r="E51" s="29" t="s">
        <v>70</v>
      </c>
      <c r="F51" s="29">
        <v>1</v>
      </c>
      <c r="G51" s="29" t="s">
        <v>191</v>
      </c>
      <c r="H51" s="29" t="s">
        <v>182</v>
      </c>
      <c r="I51" s="24" t="str">
        <f>IFERROR(IF(B51&gt;=INDEX(Households!$F$5:$F$154,MATCH(C51,Households!$A$5:$A$154,0)),"Yes","No – before latest assessment"),"")</f>
        <v>Yes</v>
      </c>
    </row>
    <row r="52" spans="1:9" x14ac:dyDescent="0.3">
      <c r="A52" s="29" t="s">
        <v>260</v>
      </c>
      <c r="B52" s="30">
        <v>46026</v>
      </c>
      <c r="C52" s="29" t="s">
        <v>208</v>
      </c>
      <c r="D52" s="24" t="str">
        <f>IFERROR(INDEX(Households!$B$5:$B$154,MATCH(C52,Households!$A$5:$A$154,0)),"Not in register")</f>
        <v>Site C – Informal Tent Area</v>
      </c>
      <c r="E52" s="29" t="s">
        <v>70</v>
      </c>
      <c r="F52" s="29">
        <v>1</v>
      </c>
      <c r="G52" s="29" t="s">
        <v>191</v>
      </c>
      <c r="H52" s="29" t="s">
        <v>182</v>
      </c>
      <c r="I52" s="24" t="str">
        <f>IFERROR(IF(B52&gt;=INDEX(Households!$F$5:$F$154,MATCH(C52,Households!$A$5:$A$154,0)),"Yes","No – before latest assessment"),"")</f>
        <v>Yes</v>
      </c>
    </row>
    <row r="53" spans="1:9" x14ac:dyDescent="0.3">
      <c r="A53" s="29" t="s">
        <v>261</v>
      </c>
      <c r="B53" s="30">
        <v>46027</v>
      </c>
      <c r="C53" s="29" t="s">
        <v>211</v>
      </c>
      <c r="D53" s="24" t="str">
        <f>IFERROR(INDEX(Households!$B$5:$B$154,MATCH(C53,Households!$A$5:$A$154,0)),"Not in register")</f>
        <v>Site A – School Shelter</v>
      </c>
      <c r="E53" s="29" t="s">
        <v>54</v>
      </c>
      <c r="F53" s="29">
        <v>8</v>
      </c>
      <c r="G53" s="29" t="s">
        <v>185</v>
      </c>
      <c r="H53" s="29" t="s">
        <v>182</v>
      </c>
      <c r="I53" s="24" t="str">
        <f>IFERROR(IF(B53&gt;=INDEX(Households!$F$5:$F$154,MATCH(C53,Households!$A$5:$A$154,0)),"Yes","No – before latest assessment"),"")</f>
        <v>No – before latest assessment</v>
      </c>
    </row>
    <row r="54" spans="1:9" x14ac:dyDescent="0.3">
      <c r="A54" s="29" t="s">
        <v>262</v>
      </c>
      <c r="B54" s="30">
        <v>46027</v>
      </c>
      <c r="C54" s="29" t="s">
        <v>230</v>
      </c>
      <c r="D54" s="24" t="str">
        <f>IFERROR(INDEX(Households!$B$5:$B$154,MATCH(C54,Households!$A$5:$A$154,0)),"Not in register")</f>
        <v>Site A – School Shelter</v>
      </c>
      <c r="E54" s="29" t="s">
        <v>68</v>
      </c>
      <c r="F54" s="29">
        <v>1</v>
      </c>
      <c r="G54" s="29" t="s">
        <v>191</v>
      </c>
      <c r="H54" s="29" t="s">
        <v>182</v>
      </c>
      <c r="I54" s="24" t="str">
        <f>IFERROR(IF(B54&gt;=INDEX(Households!$F$5:$F$154,MATCH(C54,Households!$A$5:$A$154,0)),"Yes","No – before latest assessment"),"")</f>
        <v>Yes</v>
      </c>
    </row>
    <row r="55" spans="1:9" x14ac:dyDescent="0.3">
      <c r="A55" s="29" t="s">
        <v>263</v>
      </c>
      <c r="B55" s="30">
        <v>46027</v>
      </c>
      <c r="C55" s="29" t="s">
        <v>240</v>
      </c>
      <c r="D55" s="24" t="str">
        <f>IFERROR(INDEX(Households!$B$5:$B$154,MATCH(C55,Households!$A$5:$A$154,0)),"Not in register")</f>
        <v>Site B – School Shelter</v>
      </c>
      <c r="E55" s="29" t="s">
        <v>56</v>
      </c>
      <c r="F55" s="29">
        <v>7</v>
      </c>
      <c r="G55" s="29" t="s">
        <v>185</v>
      </c>
      <c r="H55" s="29" t="s">
        <v>182</v>
      </c>
      <c r="I55" s="24" t="str">
        <f>IFERROR(IF(B55&gt;=INDEX(Households!$F$5:$F$154,MATCH(C55,Households!$A$5:$A$154,0)),"Yes","No – before latest assessment"),"")</f>
        <v>No – before latest assessment</v>
      </c>
    </row>
    <row r="56" spans="1:9" x14ac:dyDescent="0.3">
      <c r="A56" s="29" t="s">
        <v>264</v>
      </c>
      <c r="B56" s="30">
        <v>46027</v>
      </c>
      <c r="C56" s="29" t="s">
        <v>265</v>
      </c>
      <c r="D56" s="24" t="str">
        <f>IFERROR(INDEX(Households!$B$5:$B$154,MATCH(C56,Households!$A$5:$A$154,0)),"Not in register")</f>
        <v>Site C – Informal Tent Area</v>
      </c>
      <c r="E56" s="29" t="s">
        <v>54</v>
      </c>
      <c r="F56" s="29">
        <v>1</v>
      </c>
      <c r="G56" s="29" t="s">
        <v>189</v>
      </c>
      <c r="H56" s="29" t="s">
        <v>182</v>
      </c>
      <c r="I56" s="24" t="str">
        <f>IFERROR(IF(B56&gt;=INDEX(Households!$F$5:$F$154,MATCH(C56,Households!$A$5:$A$154,0)),"Yes","No – before latest assessment"),"")</f>
        <v>No – before latest assessment</v>
      </c>
    </row>
    <row r="57" spans="1:9" x14ac:dyDescent="0.3">
      <c r="A57" s="29" t="s">
        <v>266</v>
      </c>
      <c r="B57" s="30">
        <v>46027</v>
      </c>
      <c r="C57" s="29" t="s">
        <v>249</v>
      </c>
      <c r="D57" s="24" t="str">
        <f>IFERROR(INDEX(Households!$B$5:$B$154,MATCH(C57,Households!$A$5:$A$154,0)),"Not in register")</f>
        <v>Site D – Collective Centre</v>
      </c>
      <c r="E57" s="29" t="s">
        <v>54</v>
      </c>
      <c r="F57" s="29">
        <v>7</v>
      </c>
      <c r="G57" s="29" t="s">
        <v>185</v>
      </c>
      <c r="H57" s="29" t="s">
        <v>182</v>
      </c>
      <c r="I57" s="24" t="str">
        <f>IFERROR(IF(B57&gt;=INDEX(Households!$F$5:$F$154,MATCH(C57,Households!$A$5:$A$154,0)),"Yes","No – before latest assessment"),"")</f>
        <v>Yes</v>
      </c>
    </row>
    <row r="58" spans="1:9" x14ac:dyDescent="0.3">
      <c r="A58" s="29" t="s">
        <v>267</v>
      </c>
      <c r="B58" s="30">
        <v>46028</v>
      </c>
      <c r="C58" s="29" t="s">
        <v>252</v>
      </c>
      <c r="D58" s="24" t="str">
        <f>IFERROR(INDEX(Households!$B$5:$B$154,MATCH(C58,Households!$A$5:$A$154,0)),"Not in register")</f>
        <v>Site A – School Shelter</v>
      </c>
      <c r="E58" s="29" t="s">
        <v>70</v>
      </c>
      <c r="F58" s="29">
        <v>1</v>
      </c>
      <c r="G58" s="29" t="s">
        <v>191</v>
      </c>
      <c r="H58" s="29" t="s">
        <v>182</v>
      </c>
      <c r="I58" s="24" t="str">
        <f>IFERROR(IF(B58&gt;=INDEX(Households!$F$5:$F$154,MATCH(C58,Households!$A$5:$A$154,0)),"Yes","No – before latest assessment"),"")</f>
        <v>No – before latest assessment</v>
      </c>
    </row>
    <row r="59" spans="1:9" x14ac:dyDescent="0.3">
      <c r="A59" s="29" t="s">
        <v>268</v>
      </c>
      <c r="B59" s="30">
        <v>46028</v>
      </c>
      <c r="C59" s="29" t="s">
        <v>269</v>
      </c>
      <c r="D59" s="24" t="str">
        <f>IFERROR(INDEX(Households!$B$5:$B$154,MATCH(C59,Households!$A$5:$A$154,0)),"Not in register")</f>
        <v>Site A – School Shelter</v>
      </c>
      <c r="E59" s="29" t="s">
        <v>54</v>
      </c>
      <c r="F59" s="29">
        <v>3</v>
      </c>
      <c r="G59" s="29" t="s">
        <v>185</v>
      </c>
      <c r="H59" s="29" t="s">
        <v>182</v>
      </c>
      <c r="I59" s="24" t="str">
        <f>IFERROR(IF(B59&gt;=INDEX(Households!$F$5:$F$154,MATCH(C59,Households!$A$5:$A$154,0)),"Yes","No – before latest assessment"),"")</f>
        <v>Yes</v>
      </c>
    </row>
    <row r="60" spans="1:9" x14ac:dyDescent="0.3">
      <c r="A60" s="29" t="s">
        <v>270</v>
      </c>
      <c r="B60" s="30">
        <v>46028</v>
      </c>
      <c r="C60" s="29" t="s">
        <v>265</v>
      </c>
      <c r="D60" s="24" t="str">
        <f>IFERROR(INDEX(Households!$B$5:$B$154,MATCH(C60,Households!$A$5:$A$154,0)),"Not in register")</f>
        <v>Site C – Informal Tent Area</v>
      </c>
      <c r="E60" s="29" t="s">
        <v>70</v>
      </c>
      <c r="F60" s="29">
        <v>1</v>
      </c>
      <c r="G60" s="29" t="s">
        <v>191</v>
      </c>
      <c r="H60" s="29" t="s">
        <v>182</v>
      </c>
      <c r="I60" s="24" t="str">
        <f>IFERROR(IF(B60&gt;=INDEX(Households!$F$5:$F$154,MATCH(C60,Households!$A$5:$A$154,0)),"Yes","No – before latest assessment"),"")</f>
        <v>No – before latest assessment</v>
      </c>
    </row>
    <row r="61" spans="1:9" x14ac:dyDescent="0.3">
      <c r="A61" s="29" t="s">
        <v>271</v>
      </c>
      <c r="B61" s="30">
        <v>46029</v>
      </c>
      <c r="C61" s="29" t="s">
        <v>272</v>
      </c>
      <c r="D61" s="24" t="str">
        <f>IFERROR(INDEX(Households!$B$5:$B$154,MATCH(C61,Households!$A$5:$A$154,0)),"Not in register")</f>
        <v>Site C – Informal Tent Area</v>
      </c>
      <c r="E61" s="29" t="s">
        <v>54</v>
      </c>
      <c r="F61" s="29">
        <v>1</v>
      </c>
      <c r="G61" s="29" t="s">
        <v>185</v>
      </c>
      <c r="H61" s="29" t="s">
        <v>182</v>
      </c>
      <c r="I61" s="24" t="str">
        <f>IFERROR(IF(B61&gt;=INDEX(Households!$F$5:$F$154,MATCH(C61,Households!$A$5:$A$154,0)),"Yes","No – before latest assessment"),"")</f>
        <v>No – before latest assessment</v>
      </c>
    </row>
    <row r="62" spans="1:9" x14ac:dyDescent="0.3">
      <c r="A62" s="29" t="s">
        <v>273</v>
      </c>
      <c r="B62" s="30">
        <v>46029</v>
      </c>
      <c r="C62" s="29" t="s">
        <v>274</v>
      </c>
      <c r="D62" s="24" t="str">
        <f>IFERROR(INDEX(Households!$B$5:$B$154,MATCH(C62,Households!$A$5:$A$154,0)),"Not in register")</f>
        <v>Site D – Collective Centre</v>
      </c>
      <c r="E62" s="29" t="s">
        <v>63</v>
      </c>
      <c r="F62" s="29">
        <v>2</v>
      </c>
      <c r="G62" s="29" t="s">
        <v>189</v>
      </c>
      <c r="H62" s="29" t="s">
        <v>182</v>
      </c>
      <c r="I62" s="24" t="str">
        <f>IFERROR(IF(B62&gt;=INDEX(Households!$F$5:$F$154,MATCH(C62,Households!$A$5:$A$154,0)),"Yes","No – before latest assessment"),"")</f>
        <v>Yes</v>
      </c>
    </row>
    <row r="63" spans="1:9" x14ac:dyDescent="0.3">
      <c r="A63" s="29" t="s">
        <v>275</v>
      </c>
      <c r="B63" s="30">
        <v>46029</v>
      </c>
      <c r="C63" s="29" t="s">
        <v>276</v>
      </c>
      <c r="D63" s="24" t="str">
        <f>IFERROR(INDEX(Households!$B$5:$B$154,MATCH(C63,Households!$A$5:$A$154,0)),"Not in register")</f>
        <v>Site D – Collective Centre</v>
      </c>
      <c r="E63" s="29" t="s">
        <v>65</v>
      </c>
      <c r="F63" s="29">
        <v>1</v>
      </c>
      <c r="G63" s="29" t="s">
        <v>189</v>
      </c>
      <c r="H63" s="29" t="s">
        <v>182</v>
      </c>
      <c r="I63" s="24" t="str">
        <f>IFERROR(IF(B63&gt;=INDEX(Households!$F$5:$F$154,MATCH(C63,Households!$A$5:$A$154,0)),"Yes","No – before latest assessment"),"")</f>
        <v>No – before latest assessment</v>
      </c>
    </row>
    <row r="64" spans="1:9" x14ac:dyDescent="0.3">
      <c r="A64" s="29" t="s">
        <v>277</v>
      </c>
      <c r="B64" s="30">
        <v>46030</v>
      </c>
      <c r="C64" s="29" t="s">
        <v>252</v>
      </c>
      <c r="D64" s="24" t="str">
        <f>IFERROR(INDEX(Households!$B$5:$B$154,MATCH(C64,Households!$A$5:$A$154,0)),"Not in register")</f>
        <v>Site A – School Shelter</v>
      </c>
      <c r="E64" s="29" t="s">
        <v>68</v>
      </c>
      <c r="F64" s="29">
        <v>1</v>
      </c>
      <c r="G64" s="29" t="s">
        <v>191</v>
      </c>
      <c r="H64" s="29" t="s">
        <v>182</v>
      </c>
      <c r="I64" s="24" t="str">
        <f>IFERROR(IF(B64&gt;=INDEX(Households!$F$5:$F$154,MATCH(C64,Households!$A$5:$A$154,0)),"Yes","No – before latest assessment"),"")</f>
        <v>No – before latest assessment</v>
      </c>
    </row>
    <row r="65" spans="1:9" x14ac:dyDescent="0.3">
      <c r="A65" s="29" t="s">
        <v>278</v>
      </c>
      <c r="B65" s="30">
        <v>46030</v>
      </c>
      <c r="C65" s="29" t="s">
        <v>279</v>
      </c>
      <c r="D65" s="24" t="str">
        <f>IFERROR(INDEX(Households!$B$5:$B$154,MATCH(C65,Households!$A$5:$A$154,0)),"Not in register")</f>
        <v>Site A – School Shelter</v>
      </c>
      <c r="E65" s="29" t="s">
        <v>56</v>
      </c>
      <c r="F65" s="29">
        <v>1</v>
      </c>
      <c r="G65" s="29" t="s">
        <v>185</v>
      </c>
      <c r="H65" s="29" t="s">
        <v>182</v>
      </c>
      <c r="I65" s="24" t="str">
        <f>IFERROR(IF(B65&gt;=INDEX(Households!$F$5:$F$154,MATCH(C65,Households!$A$5:$A$154,0)),"Yes","No – before latest assessment"),"")</f>
        <v>No – before latest assessment</v>
      </c>
    </row>
    <row r="66" spans="1:9" x14ac:dyDescent="0.3">
      <c r="A66" s="29" t="s">
        <v>280</v>
      </c>
      <c r="B66" s="30">
        <v>46030</v>
      </c>
      <c r="C66" s="29" t="s">
        <v>279</v>
      </c>
      <c r="D66" s="24" t="str">
        <f>IFERROR(INDEX(Households!$B$5:$B$154,MATCH(C66,Households!$A$5:$A$154,0)),"Not in register")</f>
        <v>Site A – School Shelter</v>
      </c>
      <c r="E66" s="29" t="s">
        <v>70</v>
      </c>
      <c r="F66" s="29">
        <v>2</v>
      </c>
      <c r="G66" s="29" t="s">
        <v>191</v>
      </c>
      <c r="H66" s="29" t="s">
        <v>182</v>
      </c>
      <c r="I66" s="24" t="str">
        <f>IFERROR(IF(B66&gt;=INDEX(Households!$F$5:$F$154,MATCH(C66,Households!$A$5:$A$154,0)),"Yes","No – before latest assessment"),"")</f>
        <v>No – before latest assessment</v>
      </c>
    </row>
    <row r="67" spans="1:9" x14ac:dyDescent="0.3">
      <c r="A67" s="29" t="s">
        <v>281</v>
      </c>
      <c r="B67" s="30">
        <v>46030</v>
      </c>
      <c r="C67" s="29" t="s">
        <v>282</v>
      </c>
      <c r="D67" s="24" t="str">
        <f>IFERROR(INDEX(Households!$B$5:$B$154,MATCH(C67,Households!$A$5:$A$154,0)),"Not in register")</f>
        <v>Site A – School Shelter</v>
      </c>
      <c r="E67" s="29" t="s">
        <v>63</v>
      </c>
      <c r="F67" s="29">
        <v>2</v>
      </c>
      <c r="G67" s="29" t="s">
        <v>189</v>
      </c>
      <c r="H67" s="29" t="s">
        <v>182</v>
      </c>
      <c r="I67" s="24" t="str">
        <f>IFERROR(IF(B67&gt;=INDEX(Households!$F$5:$F$154,MATCH(C67,Households!$A$5:$A$154,0)),"Yes","No – before latest assessment"),"")</f>
        <v>Yes</v>
      </c>
    </row>
    <row r="68" spans="1:9" x14ac:dyDescent="0.3">
      <c r="A68" s="29" t="s">
        <v>283</v>
      </c>
      <c r="B68" s="30">
        <v>46030</v>
      </c>
      <c r="C68" s="29" t="s">
        <v>184</v>
      </c>
      <c r="D68" s="24" t="str">
        <f>IFERROR(INDEX(Households!$B$5:$B$154,MATCH(C68,Households!$A$5:$A$154,0)),"Not in register")</f>
        <v>Site A – School Shelter</v>
      </c>
      <c r="E68" s="29" t="s">
        <v>56</v>
      </c>
      <c r="F68" s="29">
        <v>1</v>
      </c>
      <c r="G68" s="29" t="s">
        <v>185</v>
      </c>
      <c r="H68" s="29" t="s">
        <v>182</v>
      </c>
      <c r="I68" s="24" t="str">
        <f>IFERROR(IF(B68&gt;=INDEX(Households!$F$5:$F$154,MATCH(C68,Households!$A$5:$A$154,0)),"Yes","No – before latest assessment"),"")</f>
        <v>Yes</v>
      </c>
    </row>
    <row r="69" spans="1:9" x14ac:dyDescent="0.3">
      <c r="A69" s="29" t="s">
        <v>284</v>
      </c>
      <c r="B69" s="30">
        <v>46030</v>
      </c>
      <c r="C69" s="29" t="s">
        <v>285</v>
      </c>
      <c r="D69" s="24" t="str">
        <f>IFERROR(INDEX(Households!$B$5:$B$154,MATCH(C69,Households!$A$5:$A$154,0)),"Not in register")</f>
        <v>Site B – School Shelter</v>
      </c>
      <c r="E69" s="29" t="s">
        <v>63</v>
      </c>
      <c r="F69" s="29">
        <v>1</v>
      </c>
      <c r="G69" s="29" t="s">
        <v>189</v>
      </c>
      <c r="H69" s="29" t="s">
        <v>182</v>
      </c>
      <c r="I69" s="24" t="str">
        <f>IFERROR(IF(B69&gt;=INDEX(Households!$F$5:$F$154,MATCH(C69,Households!$A$5:$A$154,0)),"Yes","No – before latest assessment"),"")</f>
        <v>Yes</v>
      </c>
    </row>
    <row r="70" spans="1:9" x14ac:dyDescent="0.3">
      <c r="A70" s="29" t="s">
        <v>286</v>
      </c>
      <c r="B70" s="30">
        <v>46030</v>
      </c>
      <c r="C70" s="29" t="s">
        <v>199</v>
      </c>
      <c r="D70" s="24" t="str">
        <f>IFERROR(INDEX(Households!$B$5:$B$154,MATCH(C70,Households!$A$5:$A$154,0)),"Not in register")</f>
        <v>Site B – School Shelter</v>
      </c>
      <c r="E70" s="29" t="s">
        <v>68</v>
      </c>
      <c r="F70" s="29">
        <v>1</v>
      </c>
      <c r="G70" s="29" t="s">
        <v>191</v>
      </c>
      <c r="H70" s="29" t="s">
        <v>182</v>
      </c>
      <c r="I70" s="24" t="str">
        <f>IFERROR(IF(B70&gt;=INDEX(Households!$F$5:$F$154,MATCH(C70,Households!$A$5:$A$154,0)),"Yes","No – before latest assessment"),"")</f>
        <v>No – before latest assessment</v>
      </c>
    </row>
    <row r="71" spans="1:9" x14ac:dyDescent="0.3">
      <c r="A71" s="29" t="s">
        <v>287</v>
      </c>
      <c r="B71" s="30">
        <v>46030</v>
      </c>
      <c r="C71" s="29" t="s">
        <v>201</v>
      </c>
      <c r="D71" s="24" t="str">
        <f>IFERROR(INDEX(Households!$B$5:$B$154,MATCH(C71,Households!$A$5:$A$154,0)),"Not in register")</f>
        <v>Site C – Informal Tent Area</v>
      </c>
      <c r="E71" s="29" t="s">
        <v>68</v>
      </c>
      <c r="F71" s="29">
        <v>1</v>
      </c>
      <c r="G71" s="29" t="s">
        <v>191</v>
      </c>
      <c r="H71" s="29" t="s">
        <v>182</v>
      </c>
      <c r="I71" s="24" t="str">
        <f>IFERROR(IF(B71&gt;=INDEX(Households!$F$5:$F$154,MATCH(C71,Households!$A$5:$A$154,0)),"Yes","No – before latest assessment"),"")</f>
        <v>No – before latest assessment</v>
      </c>
    </row>
    <row r="72" spans="1:9" x14ac:dyDescent="0.3">
      <c r="A72" s="29" t="s">
        <v>288</v>
      </c>
      <c r="B72" s="30">
        <v>46030</v>
      </c>
      <c r="C72" s="29" t="s">
        <v>289</v>
      </c>
      <c r="D72" s="24" t="str">
        <f>IFERROR(INDEX(Households!$B$5:$B$154,MATCH(C72,Households!$A$5:$A$154,0)),"Not in register")</f>
        <v>Site C – Informal Tent Area</v>
      </c>
      <c r="E72" s="29" t="s">
        <v>63</v>
      </c>
      <c r="F72" s="29">
        <v>1</v>
      </c>
      <c r="G72" s="29" t="s">
        <v>189</v>
      </c>
      <c r="H72" s="29" t="s">
        <v>182</v>
      </c>
      <c r="I72" s="24" t="str">
        <f>IFERROR(IF(B72&gt;=INDEX(Households!$F$5:$F$154,MATCH(C72,Households!$A$5:$A$154,0)),"Yes","No – before latest assessment"),"")</f>
        <v>Yes</v>
      </c>
    </row>
    <row r="73" spans="1:9" x14ac:dyDescent="0.3">
      <c r="A73" s="29" t="s">
        <v>290</v>
      </c>
      <c r="B73" s="30">
        <v>46031</v>
      </c>
      <c r="C73" s="29" t="s">
        <v>259</v>
      </c>
      <c r="D73" s="24" t="str">
        <f>IFERROR(INDEX(Households!$B$5:$B$154,MATCH(C73,Households!$A$5:$A$154,0)),"Not in register")</f>
        <v>Site A – School Shelter</v>
      </c>
      <c r="E73" s="29" t="s">
        <v>54</v>
      </c>
      <c r="F73" s="29">
        <v>4</v>
      </c>
      <c r="G73" s="29" t="s">
        <v>185</v>
      </c>
      <c r="H73" s="29" t="s">
        <v>182</v>
      </c>
      <c r="I73" s="24" t="str">
        <f>IFERROR(IF(B73&gt;=INDEX(Households!$F$5:$F$154,MATCH(C73,Households!$A$5:$A$154,0)),"Yes","No – before latest assessment"),"")</f>
        <v>Yes</v>
      </c>
    </row>
    <row r="74" spans="1:9" x14ac:dyDescent="0.3">
      <c r="A74" s="29" t="s">
        <v>291</v>
      </c>
      <c r="B74" s="30">
        <v>46031</v>
      </c>
      <c r="C74" s="29" t="s">
        <v>254</v>
      </c>
      <c r="D74" s="24" t="str">
        <f>IFERROR(INDEX(Households!$B$5:$B$154,MATCH(C74,Households!$A$5:$A$154,0)),"Not in register")</f>
        <v>Site A – School Shelter</v>
      </c>
      <c r="E74" s="29" t="s">
        <v>68</v>
      </c>
      <c r="F74" s="29">
        <v>1</v>
      </c>
      <c r="G74" s="29" t="s">
        <v>189</v>
      </c>
      <c r="H74" s="29" t="s">
        <v>182</v>
      </c>
      <c r="I74" s="24" t="str">
        <f>IFERROR(IF(B74&gt;=INDEX(Households!$F$5:$F$154,MATCH(C74,Households!$A$5:$A$154,0)),"Yes","No – before latest assessment"),"")</f>
        <v>No – before latest assessment</v>
      </c>
    </row>
    <row r="75" spans="1:9" x14ac:dyDescent="0.3">
      <c r="A75" s="29" t="s">
        <v>292</v>
      </c>
      <c r="B75" s="30">
        <v>46032</v>
      </c>
      <c r="C75" s="29" t="s">
        <v>293</v>
      </c>
      <c r="D75" s="24" t="str">
        <f>IFERROR(INDEX(Households!$B$5:$B$154,MATCH(C75,Households!$A$5:$A$154,0)),"Not in register")</f>
        <v>Site A – School Shelter</v>
      </c>
      <c r="E75" s="29" t="s">
        <v>54</v>
      </c>
      <c r="F75" s="29">
        <v>7</v>
      </c>
      <c r="G75" s="29" t="s">
        <v>185</v>
      </c>
      <c r="H75" s="29" t="s">
        <v>182</v>
      </c>
      <c r="I75" s="24" t="str">
        <f>IFERROR(IF(B75&gt;=INDEX(Households!$F$5:$F$154,MATCH(C75,Households!$A$5:$A$154,0)),"Yes","No – before latest assessment"),"")</f>
        <v>Yes</v>
      </c>
    </row>
    <row r="76" spans="1:9" x14ac:dyDescent="0.3">
      <c r="A76" s="29" t="s">
        <v>294</v>
      </c>
      <c r="B76" s="30">
        <v>46032</v>
      </c>
      <c r="C76" s="29" t="s">
        <v>295</v>
      </c>
      <c r="D76" s="24" t="str">
        <f>IFERROR(INDEX(Households!$B$5:$B$154,MATCH(C76,Households!$A$5:$A$154,0)),"Not in register")</f>
        <v>Site A – School Shelter</v>
      </c>
      <c r="E76" s="29" t="s">
        <v>70</v>
      </c>
      <c r="F76" s="29">
        <v>1</v>
      </c>
      <c r="G76" s="29" t="s">
        <v>189</v>
      </c>
      <c r="H76" s="29" t="s">
        <v>182</v>
      </c>
      <c r="I76" s="24" t="str">
        <f>IFERROR(IF(B76&gt;=INDEX(Households!$F$5:$F$154,MATCH(C76,Households!$A$5:$A$154,0)),"Yes","No – before latest assessment"),"")</f>
        <v>No – before latest assessment</v>
      </c>
    </row>
    <row r="77" spans="1:9" x14ac:dyDescent="0.3">
      <c r="A77" s="29" t="s">
        <v>296</v>
      </c>
      <c r="B77" s="30">
        <v>46032</v>
      </c>
      <c r="C77" s="29" t="s">
        <v>297</v>
      </c>
      <c r="D77" s="24" t="str">
        <f>IFERROR(INDEX(Households!$B$5:$B$154,MATCH(C77,Households!$A$5:$A$154,0)),"Not in register")</f>
        <v>Site B – School Shelter</v>
      </c>
      <c r="E77" s="29" t="s">
        <v>65</v>
      </c>
      <c r="F77" s="29">
        <v>1</v>
      </c>
      <c r="G77" s="29" t="s">
        <v>189</v>
      </c>
      <c r="H77" s="29" t="s">
        <v>182</v>
      </c>
      <c r="I77" s="24" t="str">
        <f>IFERROR(IF(B77&gt;=INDEX(Households!$F$5:$F$154,MATCH(C77,Households!$A$5:$A$154,0)),"Yes","No – before latest assessment"),"")</f>
        <v>No – before latest assessment</v>
      </c>
    </row>
    <row r="78" spans="1:9" x14ac:dyDescent="0.3">
      <c r="A78" s="29" t="s">
        <v>298</v>
      </c>
      <c r="B78" s="30">
        <v>46032</v>
      </c>
      <c r="C78" s="29" t="s">
        <v>299</v>
      </c>
      <c r="D78" s="24" t="str">
        <f>IFERROR(INDEX(Households!$B$5:$B$154,MATCH(C78,Households!$A$5:$A$154,0)),"Not in register")</f>
        <v>Site C – Informal Tent Area</v>
      </c>
      <c r="E78" s="29" t="s">
        <v>54</v>
      </c>
      <c r="F78" s="29">
        <v>9</v>
      </c>
      <c r="G78" s="29" t="s">
        <v>185</v>
      </c>
      <c r="H78" s="29" t="s">
        <v>182</v>
      </c>
      <c r="I78" s="24" t="str">
        <f>IFERROR(IF(B78&gt;=INDEX(Households!$F$5:$F$154,MATCH(C78,Households!$A$5:$A$154,0)),"Yes","No – before latest assessment"),"")</f>
        <v>No – before latest assessment</v>
      </c>
    </row>
    <row r="79" spans="1:9" x14ac:dyDescent="0.3">
      <c r="A79" s="29" t="s">
        <v>300</v>
      </c>
      <c r="B79" s="30">
        <v>46032</v>
      </c>
      <c r="C79" s="29" t="s">
        <v>301</v>
      </c>
      <c r="D79" s="24" t="str">
        <f>IFERROR(INDEX(Households!$B$5:$B$154,MATCH(C79,Households!$A$5:$A$154,0)),"Not in register")</f>
        <v>Site C – Informal Tent Area</v>
      </c>
      <c r="E79" s="29" t="s">
        <v>68</v>
      </c>
      <c r="F79" s="29">
        <v>1</v>
      </c>
      <c r="G79" s="29" t="s">
        <v>191</v>
      </c>
      <c r="H79" s="29" t="s">
        <v>182</v>
      </c>
      <c r="I79" s="24" t="str">
        <f>IFERROR(IF(B79&gt;=INDEX(Households!$F$5:$F$154,MATCH(C79,Households!$A$5:$A$154,0)),"Yes","No – before latest assessment"),"")</f>
        <v>Yes</v>
      </c>
    </row>
    <row r="80" spans="1:9" x14ac:dyDescent="0.3">
      <c r="A80" s="29" t="s">
        <v>302</v>
      </c>
      <c r="B80" s="30">
        <v>46032</v>
      </c>
      <c r="C80" s="29" t="s">
        <v>303</v>
      </c>
      <c r="D80" s="24" t="str">
        <f>IFERROR(INDEX(Households!$B$5:$B$154,MATCH(C80,Households!$A$5:$A$154,0)),"Not in register")</f>
        <v>Site C – Informal Tent Area</v>
      </c>
      <c r="E80" s="29" t="s">
        <v>66</v>
      </c>
      <c r="F80" s="29">
        <v>1</v>
      </c>
      <c r="G80" s="29" t="s">
        <v>181</v>
      </c>
      <c r="H80" s="29" t="s">
        <v>182</v>
      </c>
      <c r="I80" s="24" t="str">
        <f>IFERROR(IF(B80&gt;=INDEX(Households!$F$5:$F$154,MATCH(C80,Households!$A$5:$A$154,0)),"Yes","No – before latest assessment"),"")</f>
        <v>Yes</v>
      </c>
    </row>
    <row r="81" spans="1:9" x14ac:dyDescent="0.3">
      <c r="A81" s="29" t="s">
        <v>304</v>
      </c>
      <c r="B81" s="30">
        <v>46032</v>
      </c>
      <c r="C81" s="29" t="s">
        <v>274</v>
      </c>
      <c r="D81" s="24" t="str">
        <f>IFERROR(INDEX(Households!$B$5:$B$154,MATCH(C81,Households!$A$5:$A$154,0)),"Not in register")</f>
        <v>Site D – Collective Centre</v>
      </c>
      <c r="E81" s="29" t="s">
        <v>68</v>
      </c>
      <c r="F81" s="29">
        <v>1</v>
      </c>
      <c r="G81" s="29" t="s">
        <v>191</v>
      </c>
      <c r="H81" s="29" t="s">
        <v>182</v>
      </c>
      <c r="I81" s="24" t="str">
        <f>IFERROR(IF(B81&gt;=INDEX(Households!$F$5:$F$154,MATCH(C81,Households!$A$5:$A$154,0)),"Yes","No – before latest assessment"),"")</f>
        <v>Yes</v>
      </c>
    </row>
    <row r="82" spans="1:9" x14ac:dyDescent="0.3">
      <c r="A82" s="29" t="s">
        <v>305</v>
      </c>
      <c r="B82" s="30">
        <v>46033</v>
      </c>
      <c r="C82" s="29" t="s">
        <v>199</v>
      </c>
      <c r="D82" s="24" t="str">
        <f>IFERROR(INDEX(Households!$B$5:$B$154,MATCH(C82,Households!$A$5:$A$154,0)),"Not in register")</f>
        <v>Site B – School Shelter</v>
      </c>
      <c r="E82" s="29" t="s">
        <v>56</v>
      </c>
      <c r="F82" s="29">
        <v>2</v>
      </c>
      <c r="G82" s="29" t="s">
        <v>185</v>
      </c>
      <c r="H82" s="29" t="s">
        <v>182</v>
      </c>
      <c r="I82" s="24" t="str">
        <f>IFERROR(IF(B82&gt;=INDEX(Households!$F$5:$F$154,MATCH(C82,Households!$A$5:$A$154,0)),"Yes","No – before latest assessment"),"")</f>
        <v>No – before latest assessment</v>
      </c>
    </row>
    <row r="83" spans="1:9" x14ac:dyDescent="0.3">
      <c r="A83" s="29" t="s">
        <v>306</v>
      </c>
      <c r="B83" s="30">
        <v>46033</v>
      </c>
      <c r="C83" s="29" t="s">
        <v>301</v>
      </c>
      <c r="D83" s="24" t="str">
        <f>IFERROR(INDEX(Households!$B$5:$B$154,MATCH(C83,Households!$A$5:$A$154,0)),"Not in register")</f>
        <v>Site C – Informal Tent Area</v>
      </c>
      <c r="E83" s="29" t="s">
        <v>63</v>
      </c>
      <c r="F83" s="29">
        <v>1</v>
      </c>
      <c r="G83" s="29" t="s">
        <v>189</v>
      </c>
      <c r="H83" s="29" t="s">
        <v>182</v>
      </c>
      <c r="I83" s="24" t="str">
        <f>IFERROR(IF(B83&gt;=INDEX(Households!$F$5:$F$154,MATCH(C83,Households!$A$5:$A$154,0)),"Yes","No – before latest assessment"),"")</f>
        <v>Yes</v>
      </c>
    </row>
    <row r="84" spans="1:9" x14ac:dyDescent="0.3">
      <c r="A84" s="29" t="s">
        <v>307</v>
      </c>
      <c r="B84" s="30">
        <v>46033</v>
      </c>
      <c r="C84" s="29" t="s">
        <v>303</v>
      </c>
      <c r="D84" s="24" t="str">
        <f>IFERROR(INDEX(Households!$B$5:$B$154,MATCH(C84,Households!$A$5:$A$154,0)),"Not in register")</f>
        <v>Site C – Informal Tent Area</v>
      </c>
      <c r="E84" s="29" t="s">
        <v>65</v>
      </c>
      <c r="F84" s="29">
        <v>1</v>
      </c>
      <c r="G84" s="29" t="s">
        <v>189</v>
      </c>
      <c r="H84" s="29" t="s">
        <v>182</v>
      </c>
      <c r="I84" s="24" t="str">
        <f>IFERROR(IF(B84&gt;=INDEX(Households!$F$5:$F$154,MATCH(C84,Households!$A$5:$A$154,0)),"Yes","No – before latest assessment"),"")</f>
        <v>Yes</v>
      </c>
    </row>
    <row r="85" spans="1:9" x14ac:dyDescent="0.3">
      <c r="A85" s="29" t="s">
        <v>308</v>
      </c>
      <c r="B85" s="30">
        <v>46033</v>
      </c>
      <c r="C85" s="29" t="s">
        <v>276</v>
      </c>
      <c r="D85" s="24" t="str">
        <f>IFERROR(INDEX(Households!$B$5:$B$154,MATCH(C85,Households!$A$5:$A$154,0)),"Not in register")</f>
        <v>Site D – Collective Centre</v>
      </c>
      <c r="E85" s="29" t="s">
        <v>56</v>
      </c>
      <c r="F85" s="29">
        <v>2</v>
      </c>
      <c r="G85" s="29" t="s">
        <v>189</v>
      </c>
      <c r="H85" s="29" t="s">
        <v>182</v>
      </c>
      <c r="I85" s="24" t="str">
        <f>IFERROR(IF(B85&gt;=INDEX(Households!$F$5:$F$154,MATCH(C85,Households!$A$5:$A$154,0)),"Yes","No – before latest assessment"),"")</f>
        <v>No – before latest assessment</v>
      </c>
    </row>
    <row r="86" spans="1:9" x14ac:dyDescent="0.3">
      <c r="A86" s="29" t="s">
        <v>309</v>
      </c>
      <c r="B86" s="30">
        <v>46033</v>
      </c>
      <c r="C86" s="29" t="s">
        <v>276</v>
      </c>
      <c r="D86" s="24" t="str">
        <f>IFERROR(INDEX(Households!$B$5:$B$154,MATCH(C86,Households!$A$5:$A$154,0)),"Not in register")</f>
        <v>Site D – Collective Centre</v>
      </c>
      <c r="E86" s="29" t="s">
        <v>70</v>
      </c>
      <c r="F86" s="29">
        <v>1</v>
      </c>
      <c r="G86" s="29" t="s">
        <v>191</v>
      </c>
      <c r="H86" s="29" t="s">
        <v>182</v>
      </c>
      <c r="I86" s="24" t="str">
        <f>IFERROR(IF(B86&gt;=INDEX(Households!$F$5:$F$154,MATCH(C86,Households!$A$5:$A$154,0)),"Yes","No – before latest assessment"),"")</f>
        <v>No – before latest assessment</v>
      </c>
    </row>
    <row r="87" spans="1:9" x14ac:dyDescent="0.3">
      <c r="A87" s="29" t="s">
        <v>310</v>
      </c>
      <c r="B87" s="30">
        <v>46034</v>
      </c>
      <c r="C87" s="29" t="s">
        <v>293</v>
      </c>
      <c r="D87" s="24" t="str">
        <f>IFERROR(INDEX(Households!$B$5:$B$154,MATCH(C87,Households!$A$5:$A$154,0)),"Not in register")</f>
        <v>Site A – School Shelter</v>
      </c>
      <c r="E87" s="29" t="s">
        <v>70</v>
      </c>
      <c r="F87" s="29">
        <v>1</v>
      </c>
      <c r="G87" s="29" t="s">
        <v>191</v>
      </c>
      <c r="H87" s="29" t="s">
        <v>182</v>
      </c>
      <c r="I87" s="24" t="str">
        <f>IFERROR(IF(B87&gt;=INDEX(Households!$F$5:$F$154,MATCH(C87,Households!$A$5:$A$154,0)),"Yes","No – before latest assessment"),"")</f>
        <v>Yes</v>
      </c>
    </row>
    <row r="88" spans="1:9" x14ac:dyDescent="0.3">
      <c r="A88" s="29" t="s">
        <v>311</v>
      </c>
      <c r="B88" s="30">
        <v>46034</v>
      </c>
      <c r="C88" s="29" t="s">
        <v>312</v>
      </c>
      <c r="D88" s="24" t="str">
        <f>IFERROR(INDEX(Households!$B$5:$B$154,MATCH(C88,Households!$A$5:$A$154,0)),"Not in register")</f>
        <v>Site A – School Shelter</v>
      </c>
      <c r="E88" s="29" t="s">
        <v>66</v>
      </c>
      <c r="F88" s="29">
        <v>4</v>
      </c>
      <c r="G88" s="29" t="s">
        <v>189</v>
      </c>
      <c r="H88" s="29" t="s">
        <v>182</v>
      </c>
      <c r="I88" s="24" t="str">
        <f>IFERROR(IF(B88&gt;=INDEX(Households!$F$5:$F$154,MATCH(C88,Households!$A$5:$A$154,0)),"Yes","No – before latest assessment"),"")</f>
        <v>Yes</v>
      </c>
    </row>
    <row r="89" spans="1:9" x14ac:dyDescent="0.3">
      <c r="A89" s="29" t="s">
        <v>313</v>
      </c>
      <c r="B89" s="30">
        <v>46034</v>
      </c>
      <c r="C89" s="29" t="s">
        <v>314</v>
      </c>
      <c r="D89" s="24" t="str">
        <f>IFERROR(INDEX(Households!$B$5:$B$154,MATCH(C89,Households!$A$5:$A$154,0)),"Not in register")</f>
        <v>Site B – School Shelter</v>
      </c>
      <c r="E89" s="29" t="s">
        <v>66</v>
      </c>
      <c r="F89" s="29">
        <v>4</v>
      </c>
      <c r="G89" s="29" t="s">
        <v>181</v>
      </c>
      <c r="H89" s="29" t="s">
        <v>182</v>
      </c>
      <c r="I89" s="24" t="str">
        <f>IFERROR(IF(B89&gt;=INDEX(Households!$F$5:$F$154,MATCH(C89,Households!$A$5:$A$154,0)),"Yes","No – before latest assessment"),"")</f>
        <v>Yes</v>
      </c>
    </row>
    <row r="90" spans="1:9" x14ac:dyDescent="0.3">
      <c r="A90" s="29" t="s">
        <v>315</v>
      </c>
      <c r="B90" s="30">
        <v>46034</v>
      </c>
      <c r="C90" s="29" t="s">
        <v>314</v>
      </c>
      <c r="D90" s="24" t="str">
        <f>IFERROR(INDEX(Households!$B$5:$B$154,MATCH(C90,Households!$A$5:$A$154,0)),"Not in register")</f>
        <v>Site B – School Shelter</v>
      </c>
      <c r="E90" s="29" t="s">
        <v>63</v>
      </c>
      <c r="F90" s="29">
        <v>3</v>
      </c>
      <c r="G90" s="29" t="s">
        <v>189</v>
      </c>
      <c r="H90" s="29" t="s">
        <v>182</v>
      </c>
      <c r="I90" s="24" t="str">
        <f>IFERROR(IF(B90&gt;=INDEX(Households!$F$5:$F$154,MATCH(C90,Households!$A$5:$A$154,0)),"Yes","No – before latest assessment"),"")</f>
        <v>Yes</v>
      </c>
    </row>
    <row r="91" spans="1:9" x14ac:dyDescent="0.3">
      <c r="A91" s="29" t="s">
        <v>316</v>
      </c>
      <c r="B91" s="30">
        <v>46034</v>
      </c>
      <c r="C91" s="29" t="s">
        <v>317</v>
      </c>
      <c r="D91" s="24" t="str">
        <f>IFERROR(INDEX(Households!$B$5:$B$154,MATCH(C91,Households!$A$5:$A$154,0)),"Not in register")</f>
        <v>Site B – School Shelter</v>
      </c>
      <c r="E91" s="29" t="s">
        <v>68</v>
      </c>
      <c r="F91" s="29">
        <v>1</v>
      </c>
      <c r="G91" s="29" t="s">
        <v>191</v>
      </c>
      <c r="H91" s="29" t="s">
        <v>182</v>
      </c>
      <c r="I91" s="24" t="str">
        <f>IFERROR(IF(B91&gt;=INDEX(Households!$F$5:$F$154,MATCH(C91,Households!$A$5:$A$154,0)),"Yes","No – before latest assessment"),"")</f>
        <v>Yes</v>
      </c>
    </row>
    <row r="92" spans="1:9" x14ac:dyDescent="0.3">
      <c r="A92" s="29" t="s">
        <v>318</v>
      </c>
      <c r="B92" s="30">
        <v>46034</v>
      </c>
      <c r="C92" s="29" t="s">
        <v>319</v>
      </c>
      <c r="D92" s="24" t="str">
        <f>IFERROR(INDEX(Households!$B$5:$B$154,MATCH(C92,Households!$A$5:$A$154,0)),"Not in register")</f>
        <v>Site C – Informal Tent Area</v>
      </c>
      <c r="E92" s="29" t="s">
        <v>54</v>
      </c>
      <c r="F92" s="29">
        <v>3</v>
      </c>
      <c r="G92" s="29" t="s">
        <v>185</v>
      </c>
      <c r="H92" s="29" t="s">
        <v>182</v>
      </c>
      <c r="I92" s="24" t="str">
        <f>IFERROR(IF(B92&gt;=INDEX(Households!$F$5:$F$154,MATCH(C92,Households!$A$5:$A$154,0)),"Yes","No – before latest assessment"),"")</f>
        <v>Yes</v>
      </c>
    </row>
    <row r="93" spans="1:9" x14ac:dyDescent="0.3">
      <c r="A93" s="29" t="s">
        <v>320</v>
      </c>
      <c r="B93" s="30">
        <v>46034</v>
      </c>
      <c r="C93" s="29" t="s">
        <v>319</v>
      </c>
      <c r="D93" s="24" t="str">
        <f>IFERROR(INDEX(Households!$B$5:$B$154,MATCH(C93,Households!$A$5:$A$154,0)),"Not in register")</f>
        <v>Site C – Informal Tent Area</v>
      </c>
      <c r="E93" s="29" t="s">
        <v>65</v>
      </c>
      <c r="F93" s="29">
        <v>1</v>
      </c>
      <c r="G93" s="29" t="s">
        <v>189</v>
      </c>
      <c r="H93" s="29" t="s">
        <v>182</v>
      </c>
      <c r="I93" s="24" t="str">
        <f>IFERROR(IF(B93&gt;=INDEX(Households!$F$5:$F$154,MATCH(C93,Households!$A$5:$A$154,0)),"Yes","No – before latest assessment"),"")</f>
        <v>Yes</v>
      </c>
    </row>
    <row r="94" spans="1:9" x14ac:dyDescent="0.3">
      <c r="A94" s="29" t="s">
        <v>321</v>
      </c>
      <c r="B94" s="30">
        <v>46034</v>
      </c>
      <c r="C94" s="29" t="s">
        <v>322</v>
      </c>
      <c r="D94" s="24" t="str">
        <f>IFERROR(INDEX(Households!$B$5:$B$154,MATCH(C94,Households!$A$5:$A$154,0)),"Not in register")</f>
        <v>Site D – Collective Centre</v>
      </c>
      <c r="E94" s="29" t="s">
        <v>56</v>
      </c>
      <c r="F94" s="29">
        <v>1</v>
      </c>
      <c r="G94" s="29" t="s">
        <v>185</v>
      </c>
      <c r="H94" s="29" t="s">
        <v>182</v>
      </c>
      <c r="I94" s="24" t="str">
        <f>IFERROR(IF(B94&gt;=INDEX(Households!$F$5:$F$154,MATCH(C94,Households!$A$5:$A$154,0)),"Yes","No – before latest assessment"),"")</f>
        <v>Yes</v>
      </c>
    </row>
    <row r="95" spans="1:9" x14ac:dyDescent="0.3">
      <c r="A95" s="29" t="s">
        <v>323</v>
      </c>
      <c r="B95" s="30">
        <v>46035</v>
      </c>
      <c r="C95" s="29" t="s">
        <v>295</v>
      </c>
      <c r="D95" s="24" t="str">
        <f>IFERROR(INDEX(Households!$B$5:$B$154,MATCH(C95,Households!$A$5:$A$154,0)),"Not in register")</f>
        <v>Site A – School Shelter</v>
      </c>
      <c r="E95" s="29" t="s">
        <v>68</v>
      </c>
      <c r="F95" s="29">
        <v>1</v>
      </c>
      <c r="G95" s="29" t="s">
        <v>191</v>
      </c>
      <c r="H95" s="29" t="s">
        <v>182</v>
      </c>
      <c r="I95" s="24" t="str">
        <f>IFERROR(IF(B95&gt;=INDEX(Households!$F$5:$F$154,MATCH(C95,Households!$A$5:$A$154,0)),"Yes","No – before latest assessment"),"")</f>
        <v>Yes</v>
      </c>
    </row>
    <row r="96" spans="1:9" x14ac:dyDescent="0.3">
      <c r="A96" s="29" t="s">
        <v>324</v>
      </c>
      <c r="B96" s="30">
        <v>46035</v>
      </c>
      <c r="C96" s="29" t="s">
        <v>232</v>
      </c>
      <c r="D96" s="24" t="str">
        <f>IFERROR(INDEX(Households!$B$5:$B$154,MATCH(C96,Households!$A$5:$A$154,0)),"Not in register")</f>
        <v>Site A – School Shelter</v>
      </c>
      <c r="E96" s="29" t="s">
        <v>68</v>
      </c>
      <c r="F96" s="29">
        <v>1</v>
      </c>
      <c r="G96" s="29" t="s">
        <v>189</v>
      </c>
      <c r="H96" s="29" t="s">
        <v>182</v>
      </c>
      <c r="I96" s="24" t="str">
        <f>IFERROR(IF(B96&gt;=INDEX(Households!$F$5:$F$154,MATCH(C96,Households!$A$5:$A$154,0)),"Yes","No – before latest assessment"),"")</f>
        <v>No – before latest assessment</v>
      </c>
    </row>
    <row r="97" spans="1:9" x14ac:dyDescent="0.3">
      <c r="A97" s="29" t="s">
        <v>325</v>
      </c>
      <c r="B97" s="30">
        <v>46035</v>
      </c>
      <c r="C97" s="29" t="s">
        <v>326</v>
      </c>
      <c r="D97" s="24" t="str">
        <f>IFERROR(INDEX(Households!$B$5:$B$154,MATCH(C97,Households!$A$5:$A$154,0)),"Not in register")</f>
        <v>Site B – School Shelter</v>
      </c>
      <c r="E97" s="29" t="s">
        <v>56</v>
      </c>
      <c r="F97" s="29">
        <v>1</v>
      </c>
      <c r="G97" s="29" t="s">
        <v>185</v>
      </c>
      <c r="H97" s="29" t="s">
        <v>327</v>
      </c>
      <c r="I97" s="24" t="str">
        <f>IFERROR(IF(B97&gt;=INDEX(Households!$F$5:$F$154,MATCH(C97,Households!$A$5:$A$154,0)),"Yes","No – before latest assessment"),"")</f>
        <v>Yes</v>
      </c>
    </row>
    <row r="98" spans="1:9" x14ac:dyDescent="0.3">
      <c r="A98" s="29" t="s">
        <v>328</v>
      </c>
      <c r="B98" s="30">
        <v>46035</v>
      </c>
      <c r="C98" s="29" t="s">
        <v>285</v>
      </c>
      <c r="D98" s="24" t="str">
        <f>IFERROR(INDEX(Households!$B$5:$B$154,MATCH(C98,Households!$A$5:$A$154,0)),"Not in register")</f>
        <v>Site B – School Shelter</v>
      </c>
      <c r="E98" s="29" t="s">
        <v>65</v>
      </c>
      <c r="F98" s="29">
        <v>1</v>
      </c>
      <c r="G98" s="29" t="s">
        <v>189</v>
      </c>
      <c r="H98" s="29" t="s">
        <v>182</v>
      </c>
      <c r="I98" s="24" t="str">
        <f>IFERROR(IF(B98&gt;=INDEX(Households!$F$5:$F$154,MATCH(C98,Households!$A$5:$A$154,0)),"Yes","No – before latest assessment"),"")</f>
        <v>Yes</v>
      </c>
    </row>
    <row r="99" spans="1:9" x14ac:dyDescent="0.3">
      <c r="A99" s="29" t="s">
        <v>329</v>
      </c>
      <c r="B99" s="30">
        <v>46035</v>
      </c>
      <c r="C99" s="29" t="s">
        <v>330</v>
      </c>
      <c r="D99" s="24" t="str">
        <f>IFERROR(INDEX(Households!$B$5:$B$154,MATCH(C99,Households!$A$5:$A$154,0)),"Not in register")</f>
        <v>Site C – Informal Tent Area</v>
      </c>
      <c r="E99" s="29" t="s">
        <v>54</v>
      </c>
      <c r="F99" s="29">
        <v>5</v>
      </c>
      <c r="G99" s="29" t="s">
        <v>185</v>
      </c>
      <c r="H99" s="29" t="s">
        <v>182</v>
      </c>
      <c r="I99" s="24" t="str">
        <f>IFERROR(IF(B99&gt;=INDEX(Households!$F$5:$F$154,MATCH(C99,Households!$A$5:$A$154,0)),"Yes","No – before latest assessment"),"")</f>
        <v>Yes</v>
      </c>
    </row>
    <row r="100" spans="1:9" x14ac:dyDescent="0.3">
      <c r="A100" s="29" t="s">
        <v>331</v>
      </c>
      <c r="B100" s="30">
        <v>46035</v>
      </c>
      <c r="C100" s="29" t="s">
        <v>220</v>
      </c>
      <c r="D100" s="24" t="str">
        <f>IFERROR(INDEX(Households!$B$5:$B$154,MATCH(C100,Households!$A$5:$A$154,0)),"Not in register")</f>
        <v>Site D – Collective Centre</v>
      </c>
      <c r="E100" s="29" t="s">
        <v>68</v>
      </c>
      <c r="F100" s="29">
        <v>1</v>
      </c>
      <c r="G100" s="29" t="s">
        <v>191</v>
      </c>
      <c r="H100" s="29" t="s">
        <v>182</v>
      </c>
      <c r="I100" s="24" t="str">
        <f>IFERROR(IF(B100&gt;=INDEX(Households!$F$5:$F$154,MATCH(C100,Households!$A$5:$A$154,0)),"Yes","No – before latest assessment"),"")</f>
        <v>Yes</v>
      </c>
    </row>
    <row r="101" spans="1:9" x14ac:dyDescent="0.3">
      <c r="A101" s="29" t="s">
        <v>332</v>
      </c>
      <c r="B101" s="30">
        <v>46036</v>
      </c>
      <c r="C101" s="29" t="s">
        <v>333</v>
      </c>
      <c r="D101" s="24" t="str">
        <f>IFERROR(INDEX(Households!$B$5:$B$154,MATCH(C101,Households!$A$5:$A$154,0)),"Not in register")</f>
        <v>Site A – School Shelter</v>
      </c>
      <c r="E101" s="29" t="s">
        <v>54</v>
      </c>
      <c r="F101" s="29">
        <v>10</v>
      </c>
      <c r="G101" s="29" t="s">
        <v>185</v>
      </c>
      <c r="H101" s="29" t="s">
        <v>182</v>
      </c>
      <c r="I101" s="24" t="str">
        <f>IFERROR(IF(B101&gt;=INDEX(Households!$F$5:$F$154,MATCH(C101,Households!$A$5:$A$154,0)),"Yes","No – before latest assessment"),"")</f>
        <v>Yes</v>
      </c>
    </row>
    <row r="102" spans="1:9" x14ac:dyDescent="0.3">
      <c r="A102" s="29" t="s">
        <v>334</v>
      </c>
      <c r="B102" s="30">
        <v>46036</v>
      </c>
      <c r="C102" s="29" t="s">
        <v>335</v>
      </c>
      <c r="D102" s="24" t="str">
        <f>IFERROR(INDEX(Households!$B$5:$B$154,MATCH(C102,Households!$A$5:$A$154,0)),"Not in register")</f>
        <v>Site A – School Shelter</v>
      </c>
      <c r="E102" s="29" t="s">
        <v>54</v>
      </c>
      <c r="F102" s="29">
        <v>5</v>
      </c>
      <c r="G102" s="29" t="s">
        <v>185</v>
      </c>
      <c r="H102" s="29" t="s">
        <v>182</v>
      </c>
      <c r="I102" s="24" t="str">
        <f>IFERROR(IF(B102&gt;=INDEX(Households!$F$5:$F$154,MATCH(C102,Households!$A$5:$A$154,0)),"Yes","No – before latest assessment"),"")</f>
        <v>Yes</v>
      </c>
    </row>
    <row r="103" spans="1:9" x14ac:dyDescent="0.3">
      <c r="A103" s="29" t="s">
        <v>336</v>
      </c>
      <c r="B103" s="30">
        <v>46036</v>
      </c>
      <c r="C103" s="29" t="s">
        <v>184</v>
      </c>
      <c r="D103" s="24" t="str">
        <f>IFERROR(INDEX(Households!$B$5:$B$154,MATCH(C103,Households!$A$5:$A$154,0)),"Not in register")</f>
        <v>Site A – School Shelter</v>
      </c>
      <c r="E103" s="29" t="s">
        <v>63</v>
      </c>
      <c r="F103" s="29">
        <v>7</v>
      </c>
      <c r="G103" s="29" t="s">
        <v>189</v>
      </c>
      <c r="H103" s="29" t="s">
        <v>182</v>
      </c>
      <c r="I103" s="24" t="str">
        <f>IFERROR(IF(B103&gt;=INDEX(Households!$F$5:$F$154,MATCH(C103,Households!$A$5:$A$154,0)),"Yes","No – before latest assessment"),"")</f>
        <v>Yes</v>
      </c>
    </row>
    <row r="104" spans="1:9" x14ac:dyDescent="0.3">
      <c r="A104" s="29" t="s">
        <v>337</v>
      </c>
      <c r="B104" s="30">
        <v>46036</v>
      </c>
      <c r="C104" s="29" t="s">
        <v>314</v>
      </c>
      <c r="D104" s="24" t="str">
        <f>IFERROR(INDEX(Households!$B$5:$B$154,MATCH(C104,Households!$A$5:$A$154,0)),"Not in register")</f>
        <v>Site B – School Shelter</v>
      </c>
      <c r="E104" s="29" t="s">
        <v>54</v>
      </c>
      <c r="F104" s="29">
        <v>9</v>
      </c>
      <c r="G104" s="29" t="s">
        <v>189</v>
      </c>
      <c r="H104" s="29" t="s">
        <v>182</v>
      </c>
      <c r="I104" s="24" t="str">
        <f>IFERROR(IF(B104&gt;=INDEX(Households!$F$5:$F$154,MATCH(C104,Households!$A$5:$A$154,0)),"Yes","No – before latest assessment"),"")</f>
        <v>Yes</v>
      </c>
    </row>
    <row r="105" spans="1:9" x14ac:dyDescent="0.3">
      <c r="A105" s="29" t="s">
        <v>338</v>
      </c>
      <c r="B105" s="30">
        <v>46036</v>
      </c>
      <c r="C105" s="29" t="s">
        <v>195</v>
      </c>
      <c r="D105" s="24" t="str">
        <f>IFERROR(INDEX(Households!$B$5:$B$154,MATCH(C105,Households!$A$5:$A$154,0)),"Not in register")</f>
        <v>Site B – School Shelter</v>
      </c>
      <c r="E105" s="29" t="s">
        <v>66</v>
      </c>
      <c r="F105" s="29">
        <v>1</v>
      </c>
      <c r="G105" s="29" t="s">
        <v>189</v>
      </c>
      <c r="H105" s="29" t="s">
        <v>182</v>
      </c>
      <c r="I105" s="24" t="str">
        <f>IFERROR(IF(B105&gt;=INDEX(Households!$F$5:$F$154,MATCH(C105,Households!$A$5:$A$154,0)),"Yes","No – before latest assessment"),"")</f>
        <v>No – before latest assessment</v>
      </c>
    </row>
    <row r="106" spans="1:9" x14ac:dyDescent="0.3">
      <c r="A106" s="29" t="s">
        <v>339</v>
      </c>
      <c r="B106" s="30">
        <v>46036</v>
      </c>
      <c r="C106" s="29" t="s">
        <v>340</v>
      </c>
      <c r="D106" s="24" t="str">
        <f>IFERROR(INDEX(Households!$B$5:$B$154,MATCH(C106,Households!$A$5:$A$154,0)),"Not in register")</f>
        <v>Site C – Informal Tent Area</v>
      </c>
      <c r="E106" s="29" t="s">
        <v>56</v>
      </c>
      <c r="F106" s="29">
        <v>1</v>
      </c>
      <c r="G106" s="29" t="s">
        <v>185</v>
      </c>
      <c r="H106" s="29" t="s">
        <v>182</v>
      </c>
      <c r="I106" s="24" t="str">
        <f>IFERROR(IF(B106&gt;=INDEX(Households!$F$5:$F$154,MATCH(C106,Households!$A$5:$A$154,0)),"Yes","No – before latest assessment"),"")</f>
        <v>Yes</v>
      </c>
    </row>
    <row r="107" spans="1:9" x14ac:dyDescent="0.3">
      <c r="A107" s="29" t="s">
        <v>341</v>
      </c>
      <c r="B107" s="30">
        <v>46036</v>
      </c>
      <c r="C107" s="29" t="s">
        <v>342</v>
      </c>
      <c r="D107" s="24" t="str">
        <f>IFERROR(INDEX(Households!$B$5:$B$154,MATCH(C107,Households!$A$5:$A$154,0)),"Not in register")</f>
        <v>Site D – Collective Centre</v>
      </c>
      <c r="E107" s="29" t="s">
        <v>56</v>
      </c>
      <c r="F107" s="29">
        <v>1</v>
      </c>
      <c r="G107" s="29" t="s">
        <v>189</v>
      </c>
      <c r="H107" s="29" t="s">
        <v>182</v>
      </c>
      <c r="I107" s="24" t="str">
        <f>IFERROR(IF(B107&gt;=INDEX(Households!$F$5:$F$154,MATCH(C107,Households!$A$5:$A$154,0)),"Yes","No – before latest assessment"),"")</f>
        <v>No – before latest assessment</v>
      </c>
    </row>
    <row r="108" spans="1:9" x14ac:dyDescent="0.3">
      <c r="A108" s="29" t="s">
        <v>343</v>
      </c>
      <c r="B108" s="30">
        <v>46037</v>
      </c>
      <c r="C108" s="29" t="s">
        <v>295</v>
      </c>
      <c r="D108" s="24" t="str">
        <f>IFERROR(INDEX(Households!$B$5:$B$154,MATCH(C108,Households!$A$5:$A$154,0)),"Not in register")</f>
        <v>Site A – School Shelter</v>
      </c>
      <c r="E108" s="29" t="s">
        <v>54</v>
      </c>
      <c r="F108" s="29">
        <v>6</v>
      </c>
      <c r="G108" s="29" t="s">
        <v>185</v>
      </c>
      <c r="H108" s="29" t="s">
        <v>182</v>
      </c>
      <c r="I108" s="24" t="str">
        <f>IFERROR(IF(B108&gt;=INDEX(Households!$F$5:$F$154,MATCH(C108,Households!$A$5:$A$154,0)),"Yes","No – before latest assessment"),"")</f>
        <v>Yes</v>
      </c>
    </row>
    <row r="109" spans="1:9" x14ac:dyDescent="0.3">
      <c r="A109" s="29" t="s">
        <v>344</v>
      </c>
      <c r="B109" s="30">
        <v>46037</v>
      </c>
      <c r="C109" s="29" t="s">
        <v>282</v>
      </c>
      <c r="D109" s="24" t="str">
        <f>IFERROR(INDEX(Households!$B$5:$B$154,MATCH(C109,Households!$A$5:$A$154,0)),"Not in register")</f>
        <v>Site A – School Shelter</v>
      </c>
      <c r="E109" s="29" t="s">
        <v>56</v>
      </c>
      <c r="F109" s="29">
        <v>4</v>
      </c>
      <c r="G109" s="29" t="s">
        <v>185</v>
      </c>
      <c r="H109" s="29" t="s">
        <v>182</v>
      </c>
      <c r="I109" s="24" t="str">
        <f>IFERROR(IF(B109&gt;=INDEX(Households!$F$5:$F$154,MATCH(C109,Households!$A$5:$A$154,0)),"Yes","No – before latest assessment"),"")</f>
        <v>Yes</v>
      </c>
    </row>
    <row r="110" spans="1:9" x14ac:dyDescent="0.3">
      <c r="A110" s="29" t="s">
        <v>345</v>
      </c>
      <c r="B110" s="30">
        <v>46037</v>
      </c>
      <c r="C110" s="29" t="s">
        <v>228</v>
      </c>
      <c r="D110" s="24" t="str">
        <f>IFERROR(INDEX(Households!$B$5:$B$154,MATCH(C110,Households!$A$5:$A$154,0)),"Not in register")</f>
        <v>Site B – School Shelter</v>
      </c>
      <c r="E110" s="29" t="s">
        <v>66</v>
      </c>
      <c r="F110" s="29">
        <v>5</v>
      </c>
      <c r="G110" s="29" t="s">
        <v>181</v>
      </c>
      <c r="H110" s="29" t="s">
        <v>182</v>
      </c>
      <c r="I110" s="24" t="str">
        <f>IFERROR(IF(B110&gt;=INDEX(Households!$F$5:$F$154,MATCH(C110,Households!$A$5:$A$154,0)),"Yes","No – before latest assessment"),"")</f>
        <v>No – before latest assessment</v>
      </c>
    </row>
    <row r="111" spans="1:9" x14ac:dyDescent="0.3">
      <c r="A111" s="29" t="s">
        <v>346</v>
      </c>
      <c r="B111" s="30">
        <v>46037</v>
      </c>
      <c r="C111" s="29" t="s">
        <v>236</v>
      </c>
      <c r="D111" s="24" t="str">
        <f>IFERROR(INDEX(Households!$B$5:$B$154,MATCH(C111,Households!$A$5:$A$154,0)),"Not in register")</f>
        <v>Site B – School Shelter</v>
      </c>
      <c r="E111" s="29" t="s">
        <v>54</v>
      </c>
      <c r="F111" s="29">
        <v>6</v>
      </c>
      <c r="G111" s="29" t="s">
        <v>189</v>
      </c>
      <c r="H111" s="29" t="s">
        <v>182</v>
      </c>
      <c r="I111" s="24" t="str">
        <f>IFERROR(IF(B111&gt;=INDEX(Households!$F$5:$F$154,MATCH(C111,Households!$A$5:$A$154,0)),"Yes","No – before latest assessment"),"")</f>
        <v>No – before latest assessment</v>
      </c>
    </row>
    <row r="112" spans="1:9" x14ac:dyDescent="0.3">
      <c r="A112" s="29" t="s">
        <v>347</v>
      </c>
      <c r="B112" s="30">
        <v>46037</v>
      </c>
      <c r="C112" s="29" t="s">
        <v>348</v>
      </c>
      <c r="D112" s="24" t="str">
        <f>IFERROR(INDEX(Households!$B$5:$B$154,MATCH(C112,Households!$A$5:$A$154,0)),"Not in register")</f>
        <v>Site B – School Shelter</v>
      </c>
      <c r="E112" s="29" t="s">
        <v>68</v>
      </c>
      <c r="F112" s="29">
        <v>1</v>
      </c>
      <c r="G112" s="29" t="s">
        <v>191</v>
      </c>
      <c r="H112" s="29" t="s">
        <v>182</v>
      </c>
      <c r="I112" s="24" t="str">
        <f>IFERROR(IF(B112&gt;=INDEX(Households!$F$5:$F$154,MATCH(C112,Households!$A$5:$A$154,0)),"Yes","No – before latest assessment"),"")</f>
        <v>Yes</v>
      </c>
    </row>
    <row r="113" spans="1:9" x14ac:dyDescent="0.3">
      <c r="A113" s="29" t="s">
        <v>349</v>
      </c>
      <c r="B113" s="30">
        <v>46037</v>
      </c>
      <c r="C113" s="29" t="s">
        <v>245</v>
      </c>
      <c r="D113" s="24" t="str">
        <f>IFERROR(INDEX(Households!$B$5:$B$154,MATCH(C113,Households!$A$5:$A$154,0)),"Not in register")</f>
        <v>Site B – School Shelter</v>
      </c>
      <c r="E113" s="29" t="s">
        <v>68</v>
      </c>
      <c r="F113" s="29">
        <v>1</v>
      </c>
      <c r="G113" s="29" t="s">
        <v>191</v>
      </c>
      <c r="H113" s="29" t="s">
        <v>182</v>
      </c>
      <c r="I113" s="24" t="str">
        <f>IFERROR(IF(B113&gt;=INDEX(Households!$F$5:$F$154,MATCH(C113,Households!$A$5:$A$154,0)),"Yes","No – before latest assessment"),"")</f>
        <v>Yes</v>
      </c>
    </row>
    <row r="114" spans="1:9" x14ac:dyDescent="0.3">
      <c r="A114" s="29" t="s">
        <v>350</v>
      </c>
      <c r="B114" s="30">
        <v>46037</v>
      </c>
      <c r="C114" s="29" t="s">
        <v>245</v>
      </c>
      <c r="D114" s="24" t="str">
        <f>IFERROR(INDEX(Households!$B$5:$B$154,MATCH(C114,Households!$A$5:$A$154,0)),"Not in register")</f>
        <v>Site B – School Shelter</v>
      </c>
      <c r="E114" s="29" t="s">
        <v>61</v>
      </c>
      <c r="F114" s="29">
        <v>1</v>
      </c>
      <c r="G114" s="29" t="s">
        <v>351</v>
      </c>
      <c r="H114" s="29" t="s">
        <v>327</v>
      </c>
      <c r="I114" s="24" t="str">
        <f>IFERROR(IF(B114&gt;=INDEX(Households!$F$5:$F$154,MATCH(C114,Households!$A$5:$A$154,0)),"Yes","No – before latest assessment"),"")</f>
        <v>Yes</v>
      </c>
    </row>
    <row r="115" spans="1:9" x14ac:dyDescent="0.3">
      <c r="A115" s="29" t="s">
        <v>352</v>
      </c>
      <c r="B115" s="30">
        <v>46037</v>
      </c>
      <c r="C115" s="29" t="s">
        <v>340</v>
      </c>
      <c r="D115" s="24" t="str">
        <f>IFERROR(INDEX(Households!$B$5:$B$154,MATCH(C115,Households!$A$5:$A$154,0)),"Not in register")</f>
        <v>Site C – Informal Tent Area</v>
      </c>
      <c r="E115" s="29" t="s">
        <v>61</v>
      </c>
      <c r="F115" s="29">
        <v>1</v>
      </c>
      <c r="G115" s="29" t="s">
        <v>351</v>
      </c>
      <c r="H115" s="29" t="s">
        <v>182</v>
      </c>
      <c r="I115" s="24" t="str">
        <f>IFERROR(IF(B115&gt;=INDEX(Households!$F$5:$F$154,MATCH(C115,Households!$A$5:$A$154,0)),"Yes","No – before latest assessment"),"")</f>
        <v>Yes</v>
      </c>
    </row>
    <row r="116" spans="1:9" x14ac:dyDescent="0.3">
      <c r="A116" s="29" t="s">
        <v>353</v>
      </c>
      <c r="B116" s="30">
        <v>46037</v>
      </c>
      <c r="C116" s="29" t="s">
        <v>354</v>
      </c>
      <c r="D116" s="24" t="str">
        <f>IFERROR(INDEX(Households!$B$5:$B$154,MATCH(C116,Households!$A$5:$A$154,0)),"Not in register")</f>
        <v>Site D – Collective Centre</v>
      </c>
      <c r="E116" s="29" t="s">
        <v>68</v>
      </c>
      <c r="F116" s="29">
        <v>1</v>
      </c>
      <c r="G116" s="29" t="s">
        <v>191</v>
      </c>
      <c r="H116" s="29" t="s">
        <v>182</v>
      </c>
      <c r="I116" s="24" t="str">
        <f>IFERROR(IF(B116&gt;=INDEX(Households!$F$5:$F$154,MATCH(C116,Households!$A$5:$A$154,0)),"Yes","No – before latest assessment"),"")</f>
        <v>Yes</v>
      </c>
    </row>
    <row r="117" spans="1:9" x14ac:dyDescent="0.3">
      <c r="A117" s="29" t="s">
        <v>355</v>
      </c>
      <c r="B117" s="30">
        <v>46038</v>
      </c>
      <c r="C117" s="29" t="s">
        <v>257</v>
      </c>
      <c r="D117" s="24" t="str">
        <f>IFERROR(INDEX(Households!$B$5:$B$154,MATCH(C117,Households!$A$5:$A$154,0)),"Not in register")</f>
        <v>Site A – School Shelter</v>
      </c>
      <c r="E117" s="29" t="s">
        <v>65</v>
      </c>
      <c r="F117" s="29">
        <v>1</v>
      </c>
      <c r="G117" s="29" t="s">
        <v>189</v>
      </c>
      <c r="H117" s="29" t="s">
        <v>182</v>
      </c>
      <c r="I117" s="24" t="str">
        <f>IFERROR(IF(B117&gt;=INDEX(Households!$F$5:$F$154,MATCH(C117,Households!$A$5:$A$154,0)),"Yes","No – before latest assessment"),"")</f>
        <v>Yes</v>
      </c>
    </row>
    <row r="118" spans="1:9" x14ac:dyDescent="0.3">
      <c r="A118" s="29" t="s">
        <v>356</v>
      </c>
      <c r="B118" s="30">
        <v>46038</v>
      </c>
      <c r="C118" s="29" t="s">
        <v>211</v>
      </c>
      <c r="D118" s="24" t="str">
        <f>IFERROR(INDEX(Households!$B$5:$B$154,MATCH(C118,Households!$A$5:$A$154,0)),"Not in register")</f>
        <v>Site A – School Shelter</v>
      </c>
      <c r="E118" s="29" t="s">
        <v>68</v>
      </c>
      <c r="F118" s="29">
        <v>1</v>
      </c>
      <c r="G118" s="29" t="s">
        <v>191</v>
      </c>
      <c r="H118" s="29" t="s">
        <v>182</v>
      </c>
      <c r="I118" s="24" t="str">
        <f>IFERROR(IF(B118&gt;=INDEX(Households!$F$5:$F$154,MATCH(C118,Households!$A$5:$A$154,0)),"Yes","No – before latest assessment"),"")</f>
        <v>No – before latest assessment</v>
      </c>
    </row>
    <row r="119" spans="1:9" x14ac:dyDescent="0.3">
      <c r="A119" s="29" t="s">
        <v>357</v>
      </c>
      <c r="B119" s="30">
        <v>46038</v>
      </c>
      <c r="C119" s="29" t="s">
        <v>259</v>
      </c>
      <c r="D119" s="24" t="str">
        <f>IFERROR(INDEX(Households!$B$5:$B$154,MATCH(C119,Households!$A$5:$A$154,0)),"Not in register")</f>
        <v>Site A – School Shelter</v>
      </c>
      <c r="E119" s="29" t="s">
        <v>63</v>
      </c>
      <c r="F119" s="29">
        <v>1</v>
      </c>
      <c r="G119" s="29" t="s">
        <v>189</v>
      </c>
      <c r="H119" s="29" t="s">
        <v>182</v>
      </c>
      <c r="I119" s="24" t="str">
        <f>IFERROR(IF(B119&gt;=INDEX(Households!$F$5:$F$154,MATCH(C119,Households!$A$5:$A$154,0)),"Yes","No – before latest assessment"),"")</f>
        <v>Yes</v>
      </c>
    </row>
    <row r="120" spans="1:9" x14ac:dyDescent="0.3">
      <c r="A120" s="29" t="s">
        <v>358</v>
      </c>
      <c r="B120" s="30">
        <v>46038</v>
      </c>
      <c r="C120" s="29" t="s">
        <v>359</v>
      </c>
      <c r="D120" s="24" t="str">
        <f>IFERROR(INDEX(Households!$B$5:$B$154,MATCH(C120,Households!$A$5:$A$154,0)),"Not in register")</f>
        <v>Site A – School Shelter</v>
      </c>
      <c r="E120" s="29" t="s">
        <v>63</v>
      </c>
      <c r="F120" s="29">
        <v>3</v>
      </c>
      <c r="G120" s="29" t="s">
        <v>189</v>
      </c>
      <c r="H120" s="29" t="s">
        <v>182</v>
      </c>
      <c r="I120" s="24" t="str">
        <f>IFERROR(IF(B120&gt;=INDEX(Households!$F$5:$F$154,MATCH(C120,Households!$A$5:$A$154,0)),"Yes","No – before latest assessment"),"")</f>
        <v>Yes</v>
      </c>
    </row>
    <row r="121" spans="1:9" x14ac:dyDescent="0.3">
      <c r="A121" s="29" t="s">
        <v>360</v>
      </c>
      <c r="B121" s="30">
        <v>46038</v>
      </c>
      <c r="C121" s="29" t="s">
        <v>326</v>
      </c>
      <c r="D121" s="24" t="str">
        <f>IFERROR(INDEX(Households!$B$5:$B$154,MATCH(C121,Households!$A$5:$A$154,0)),"Not in register")</f>
        <v>Site B – School Shelter</v>
      </c>
      <c r="E121" s="29" t="s">
        <v>54</v>
      </c>
      <c r="F121" s="29">
        <v>2</v>
      </c>
      <c r="G121" s="29" t="s">
        <v>185</v>
      </c>
      <c r="H121" s="29" t="s">
        <v>182</v>
      </c>
      <c r="I121" s="24" t="str">
        <f>IFERROR(IF(B121&gt;=INDEX(Households!$F$5:$F$154,MATCH(C121,Households!$A$5:$A$154,0)),"Yes","No – before latest assessment"),"")</f>
        <v>Yes</v>
      </c>
    </row>
    <row r="122" spans="1:9" x14ac:dyDescent="0.3">
      <c r="A122" s="29" t="s">
        <v>361</v>
      </c>
      <c r="B122" s="30">
        <v>46038</v>
      </c>
      <c r="C122" s="29" t="s">
        <v>326</v>
      </c>
      <c r="D122" s="24" t="str">
        <f>IFERROR(INDEX(Households!$B$5:$B$154,MATCH(C122,Households!$A$5:$A$154,0)),"Not in register")</f>
        <v>Site B – School Shelter</v>
      </c>
      <c r="E122" s="29" t="s">
        <v>68</v>
      </c>
      <c r="F122" s="29">
        <v>1</v>
      </c>
      <c r="G122" s="29" t="s">
        <v>191</v>
      </c>
      <c r="H122" s="29" t="s">
        <v>182</v>
      </c>
      <c r="I122" s="24" t="str">
        <f>IFERROR(IF(B122&gt;=INDEX(Households!$F$5:$F$154,MATCH(C122,Households!$A$5:$A$154,0)),"Yes","No – before latest assessment"),"")</f>
        <v>Yes</v>
      </c>
    </row>
    <row r="123" spans="1:9" x14ac:dyDescent="0.3">
      <c r="A123" s="29" t="s">
        <v>362</v>
      </c>
      <c r="B123" s="30">
        <v>46038</v>
      </c>
      <c r="C123" s="29" t="s">
        <v>363</v>
      </c>
      <c r="D123" s="24" t="str">
        <f>IFERROR(INDEX(Households!$B$5:$B$154,MATCH(C123,Households!$A$5:$A$154,0)),"Not in register")</f>
        <v>Site B – School Shelter</v>
      </c>
      <c r="E123" s="29" t="s">
        <v>54</v>
      </c>
      <c r="F123" s="29">
        <v>1</v>
      </c>
      <c r="G123" s="29" t="s">
        <v>185</v>
      </c>
      <c r="H123" s="29" t="s">
        <v>182</v>
      </c>
      <c r="I123" s="24" t="str">
        <f>IFERROR(IF(B123&gt;=INDEX(Households!$F$5:$F$154,MATCH(C123,Households!$A$5:$A$154,0)),"Yes","No – before latest assessment"),"")</f>
        <v>Yes</v>
      </c>
    </row>
    <row r="124" spans="1:9" x14ac:dyDescent="0.3">
      <c r="A124" s="29" t="s">
        <v>364</v>
      </c>
      <c r="B124" s="30">
        <v>46038</v>
      </c>
      <c r="C124" s="29" t="s">
        <v>330</v>
      </c>
      <c r="D124" s="24" t="str">
        <f>IFERROR(INDEX(Households!$B$5:$B$154,MATCH(C124,Households!$A$5:$A$154,0)),"Not in register")</f>
        <v>Site C – Informal Tent Area</v>
      </c>
      <c r="E124" s="29" t="s">
        <v>56</v>
      </c>
      <c r="F124" s="29">
        <v>3</v>
      </c>
      <c r="G124" s="29" t="s">
        <v>185</v>
      </c>
      <c r="H124" s="29" t="s">
        <v>182</v>
      </c>
      <c r="I124" s="24" t="str">
        <f>IFERROR(IF(B124&gt;=INDEX(Households!$F$5:$F$154,MATCH(C124,Households!$A$5:$A$154,0)),"Yes","No – before latest assessment"),"")</f>
        <v>Yes</v>
      </c>
    </row>
    <row r="125" spans="1:9" x14ac:dyDescent="0.3">
      <c r="A125" s="29" t="s">
        <v>365</v>
      </c>
      <c r="B125" s="30">
        <v>46038</v>
      </c>
      <c r="C125" s="29" t="s">
        <v>319</v>
      </c>
      <c r="D125" s="24" t="str">
        <f>IFERROR(INDEX(Households!$B$5:$B$154,MATCH(C125,Households!$A$5:$A$154,0)),"Not in register")</f>
        <v>Site C – Informal Tent Area</v>
      </c>
      <c r="E125" s="29" t="s">
        <v>56</v>
      </c>
      <c r="F125" s="29">
        <v>5</v>
      </c>
      <c r="G125" s="29" t="s">
        <v>185</v>
      </c>
      <c r="H125" s="29" t="s">
        <v>182</v>
      </c>
      <c r="I125" s="24" t="str">
        <f>IFERROR(IF(B125&gt;=INDEX(Households!$F$5:$F$154,MATCH(C125,Households!$A$5:$A$154,0)),"Yes","No – before latest assessment"),"")</f>
        <v>Yes</v>
      </c>
    </row>
    <row r="126" spans="1:9" x14ac:dyDescent="0.3">
      <c r="A126" s="29" t="s">
        <v>366</v>
      </c>
      <c r="B126" s="30">
        <v>46038</v>
      </c>
      <c r="C126" s="29" t="s">
        <v>367</v>
      </c>
      <c r="D126" s="24" t="str">
        <f>IFERROR(INDEX(Households!$B$5:$B$154,MATCH(C126,Households!$A$5:$A$154,0)),"Not in register")</f>
        <v>Site C – Informal Tent Area</v>
      </c>
      <c r="E126" s="29" t="s">
        <v>63</v>
      </c>
      <c r="F126" s="29">
        <v>1</v>
      </c>
      <c r="G126" s="29" t="s">
        <v>189</v>
      </c>
      <c r="H126" s="29" t="s">
        <v>182</v>
      </c>
      <c r="I126" s="24" t="str">
        <f>IFERROR(IF(B126&gt;=INDEX(Households!$F$5:$F$154,MATCH(C126,Households!$A$5:$A$154,0)),"Yes","No – before latest assessment"),"")</f>
        <v>Yes</v>
      </c>
    </row>
    <row r="127" spans="1:9" x14ac:dyDescent="0.3">
      <c r="A127" s="29" t="s">
        <v>368</v>
      </c>
      <c r="B127" s="30">
        <v>46038</v>
      </c>
      <c r="C127" s="29" t="s">
        <v>369</v>
      </c>
      <c r="D127" s="24" t="str">
        <f>IFERROR(INDEX(Households!$B$5:$B$154,MATCH(C127,Households!$A$5:$A$154,0)),"Not in register")</f>
        <v>Site C – Informal Tent Area</v>
      </c>
      <c r="E127" s="29" t="s">
        <v>57</v>
      </c>
      <c r="F127" s="29">
        <v>2</v>
      </c>
      <c r="G127" s="29" t="s">
        <v>351</v>
      </c>
      <c r="H127" s="29" t="s">
        <v>182</v>
      </c>
      <c r="I127" s="24" t="str">
        <f>IFERROR(IF(B127&gt;=INDEX(Households!$F$5:$F$154,MATCH(C127,Households!$A$5:$A$154,0)),"Yes","No – before latest assessment"),"")</f>
        <v>Yes</v>
      </c>
    </row>
    <row r="128" spans="1:9" x14ac:dyDescent="0.3">
      <c r="A128" s="29" t="s">
        <v>370</v>
      </c>
      <c r="B128" s="30">
        <v>46039</v>
      </c>
      <c r="C128" s="29" t="s">
        <v>180</v>
      </c>
      <c r="D128" s="24" t="str">
        <f>IFERROR(INDEX(Households!$B$5:$B$154,MATCH(C128,Households!$A$5:$A$154,0)),"Not in register")</f>
        <v>Site A – School Shelter</v>
      </c>
      <c r="E128" s="29" t="s">
        <v>68</v>
      </c>
      <c r="F128" s="29">
        <v>1</v>
      </c>
      <c r="G128" s="29" t="s">
        <v>191</v>
      </c>
      <c r="H128" s="29" t="s">
        <v>182</v>
      </c>
      <c r="I128" s="24" t="str">
        <f>IFERROR(IF(B128&gt;=INDEX(Households!$F$5:$F$154,MATCH(C128,Households!$A$5:$A$154,0)),"Yes","No – before latest assessment"),"")</f>
        <v>Yes</v>
      </c>
    </row>
    <row r="129" spans="1:9" x14ac:dyDescent="0.3">
      <c r="A129" s="29" t="s">
        <v>371</v>
      </c>
      <c r="B129" s="30">
        <v>46039</v>
      </c>
      <c r="C129" s="29" t="s">
        <v>333</v>
      </c>
      <c r="D129" s="24" t="str">
        <f>IFERROR(INDEX(Households!$B$5:$B$154,MATCH(C129,Households!$A$5:$A$154,0)),"Not in register")</f>
        <v>Site A – School Shelter</v>
      </c>
      <c r="E129" s="29" t="s">
        <v>63</v>
      </c>
      <c r="F129" s="29">
        <v>2</v>
      </c>
      <c r="G129" s="29" t="s">
        <v>189</v>
      </c>
      <c r="H129" s="29" t="s">
        <v>327</v>
      </c>
      <c r="I129" s="24" t="str">
        <f>IFERROR(IF(B129&gt;=INDEX(Households!$F$5:$F$154,MATCH(C129,Households!$A$5:$A$154,0)),"Yes","No – before latest assessment"),"")</f>
        <v>Yes</v>
      </c>
    </row>
    <row r="130" spans="1:9" x14ac:dyDescent="0.3">
      <c r="A130" s="29" t="s">
        <v>372</v>
      </c>
      <c r="B130" s="30">
        <v>46039</v>
      </c>
      <c r="C130" s="29" t="s">
        <v>373</v>
      </c>
      <c r="D130" s="24" t="str">
        <f>IFERROR(INDEX(Households!$B$5:$B$154,MATCH(C130,Households!$A$5:$A$154,0)),"Not in register")</f>
        <v>Site B – School Shelter</v>
      </c>
      <c r="E130" s="29" t="s">
        <v>54</v>
      </c>
      <c r="F130" s="29">
        <v>3</v>
      </c>
      <c r="G130" s="29" t="s">
        <v>185</v>
      </c>
      <c r="H130" s="29" t="s">
        <v>182</v>
      </c>
      <c r="I130" s="24" t="str">
        <f>IFERROR(IF(B130&gt;=INDEX(Households!$F$5:$F$154,MATCH(C130,Households!$A$5:$A$154,0)),"Yes","No – before latest assessment"),"")</f>
        <v>Yes</v>
      </c>
    </row>
    <row r="131" spans="1:9" x14ac:dyDescent="0.3">
      <c r="A131" s="29" t="s">
        <v>374</v>
      </c>
      <c r="B131" s="30">
        <v>46039</v>
      </c>
      <c r="C131" s="29" t="s">
        <v>243</v>
      </c>
      <c r="D131" s="24" t="str">
        <f>IFERROR(INDEX(Households!$B$5:$B$154,MATCH(C131,Households!$A$5:$A$154,0)),"Not in register")</f>
        <v>Site B – School Shelter</v>
      </c>
      <c r="E131" s="29" t="s">
        <v>54</v>
      </c>
      <c r="F131" s="29">
        <v>3</v>
      </c>
      <c r="G131" s="29" t="s">
        <v>185</v>
      </c>
      <c r="H131" s="29" t="s">
        <v>182</v>
      </c>
      <c r="I131" s="24" t="str">
        <f>IFERROR(IF(B131&gt;=INDEX(Households!$F$5:$F$154,MATCH(C131,Households!$A$5:$A$154,0)),"Yes","No – before latest assessment"),"")</f>
        <v>No – before latest assessment</v>
      </c>
    </row>
    <row r="132" spans="1:9" x14ac:dyDescent="0.3">
      <c r="A132" s="29" t="s">
        <v>375</v>
      </c>
      <c r="B132" s="30">
        <v>46039</v>
      </c>
      <c r="C132" s="29" t="s">
        <v>376</v>
      </c>
      <c r="D132" s="24" t="str">
        <f>IFERROR(INDEX(Households!$B$5:$B$154,MATCH(C132,Households!$A$5:$A$154,0)),"Not in register")</f>
        <v>Site C – Informal Tent Area</v>
      </c>
      <c r="E132" s="29" t="s">
        <v>68</v>
      </c>
      <c r="F132" s="29">
        <v>1</v>
      </c>
      <c r="G132" s="29" t="s">
        <v>191</v>
      </c>
      <c r="H132" s="29" t="s">
        <v>182</v>
      </c>
      <c r="I132" s="24" t="str">
        <f>IFERROR(IF(B132&gt;=INDEX(Households!$F$5:$F$154,MATCH(C132,Households!$A$5:$A$154,0)),"Yes","No – before latest assessment"),"")</f>
        <v>Yes</v>
      </c>
    </row>
    <row r="133" spans="1:9" x14ac:dyDescent="0.3">
      <c r="A133" s="29" t="s">
        <v>377</v>
      </c>
      <c r="B133" s="30">
        <v>46039</v>
      </c>
      <c r="C133" s="29" t="s">
        <v>378</v>
      </c>
      <c r="D133" s="24" t="str">
        <f>IFERROR(INDEX(Households!$B$5:$B$154,MATCH(C133,Households!$A$5:$A$154,0)),"Not in register")</f>
        <v>Site C – Informal Tent Area</v>
      </c>
      <c r="E133" s="29" t="s">
        <v>66</v>
      </c>
      <c r="F133" s="29">
        <v>4</v>
      </c>
      <c r="G133" s="29" t="s">
        <v>181</v>
      </c>
      <c r="H133" s="29" t="s">
        <v>182</v>
      </c>
      <c r="I133" s="24" t="str">
        <f>IFERROR(IF(B133&gt;=INDEX(Households!$F$5:$F$154,MATCH(C133,Households!$A$5:$A$154,0)),"Yes","No – before latest assessment"),"")</f>
        <v>Yes</v>
      </c>
    </row>
    <row r="134" spans="1:9" x14ac:dyDescent="0.3">
      <c r="A134" s="29" t="s">
        <v>379</v>
      </c>
      <c r="B134" s="30">
        <v>46039</v>
      </c>
      <c r="C134" s="29" t="s">
        <v>378</v>
      </c>
      <c r="D134" s="24" t="str">
        <f>IFERROR(INDEX(Households!$B$5:$B$154,MATCH(C134,Households!$A$5:$A$154,0)),"Not in register")</f>
        <v>Site C – Informal Tent Area</v>
      </c>
      <c r="E134" s="29" t="s">
        <v>57</v>
      </c>
      <c r="F134" s="29">
        <v>2</v>
      </c>
      <c r="G134" s="29" t="s">
        <v>351</v>
      </c>
      <c r="H134" s="29" t="s">
        <v>182</v>
      </c>
      <c r="I134" s="24" t="str">
        <f>IFERROR(IF(B134&gt;=INDEX(Households!$F$5:$F$154,MATCH(C134,Households!$A$5:$A$154,0)),"Yes","No – before latest assessment"),"")</f>
        <v>Yes</v>
      </c>
    </row>
    <row r="135" spans="1:9" x14ac:dyDescent="0.3">
      <c r="A135" s="29" t="s">
        <v>380</v>
      </c>
      <c r="B135" s="30">
        <v>46039</v>
      </c>
      <c r="C135" s="29" t="s">
        <v>303</v>
      </c>
      <c r="D135" s="24" t="str">
        <f>IFERROR(INDEX(Households!$B$5:$B$154,MATCH(C135,Households!$A$5:$A$154,0)),"Not in register")</f>
        <v>Site C – Informal Tent Area</v>
      </c>
      <c r="E135" s="29" t="s">
        <v>63</v>
      </c>
      <c r="F135" s="29">
        <v>3</v>
      </c>
      <c r="G135" s="29" t="s">
        <v>189</v>
      </c>
      <c r="H135" s="29" t="s">
        <v>327</v>
      </c>
      <c r="I135" s="24" t="str">
        <f>IFERROR(IF(B135&gt;=INDEX(Households!$F$5:$F$154,MATCH(C135,Households!$A$5:$A$154,0)),"Yes","No – before latest assessment"),"")</f>
        <v>Yes</v>
      </c>
    </row>
    <row r="136" spans="1:9" x14ac:dyDescent="0.3">
      <c r="A136" s="29" t="s">
        <v>381</v>
      </c>
      <c r="B136" s="30">
        <v>46039</v>
      </c>
      <c r="C136" s="29" t="s">
        <v>276</v>
      </c>
      <c r="D136" s="24" t="str">
        <f>IFERROR(INDEX(Households!$B$5:$B$154,MATCH(C136,Households!$A$5:$A$154,0)),"Not in register")</f>
        <v>Site D – Collective Centre</v>
      </c>
      <c r="E136" s="29" t="s">
        <v>54</v>
      </c>
      <c r="F136" s="29">
        <v>5</v>
      </c>
      <c r="G136" s="29" t="s">
        <v>189</v>
      </c>
      <c r="H136" s="29" t="s">
        <v>182</v>
      </c>
      <c r="I136" s="24" t="str">
        <f>IFERROR(IF(B136&gt;=INDEX(Households!$F$5:$F$154,MATCH(C136,Households!$A$5:$A$154,0)),"Yes","No – before latest assessment"),"")</f>
        <v>Yes</v>
      </c>
    </row>
    <row r="137" spans="1:9" x14ac:dyDescent="0.3">
      <c r="A137" s="29" t="s">
        <v>382</v>
      </c>
      <c r="B137" s="30">
        <v>46039</v>
      </c>
      <c r="C137" s="29" t="s">
        <v>276</v>
      </c>
      <c r="D137" s="24" t="str">
        <f>IFERROR(INDEX(Households!$B$5:$B$154,MATCH(C137,Households!$A$5:$A$154,0)),"Not in register")</f>
        <v>Site D – Collective Centre</v>
      </c>
      <c r="E137" s="29" t="s">
        <v>54</v>
      </c>
      <c r="F137" s="29">
        <v>5</v>
      </c>
      <c r="G137" s="29" t="s">
        <v>185</v>
      </c>
      <c r="H137" s="29" t="s">
        <v>182</v>
      </c>
      <c r="I137" s="24" t="str">
        <f>IFERROR(IF(B137&gt;=INDEX(Households!$F$5:$F$154,MATCH(C137,Households!$A$5:$A$154,0)),"Yes","No – before latest assessment"),"")</f>
        <v>Yes</v>
      </c>
    </row>
    <row r="138" spans="1:9" x14ac:dyDescent="0.3">
      <c r="A138" s="29" t="s">
        <v>383</v>
      </c>
      <c r="B138" s="30">
        <v>46039</v>
      </c>
      <c r="C138" s="29" t="s">
        <v>276</v>
      </c>
      <c r="D138" s="24" t="str">
        <f>IFERROR(INDEX(Households!$B$5:$B$154,MATCH(C138,Households!$A$5:$A$154,0)),"Not in register")</f>
        <v>Site D – Collective Centre</v>
      </c>
      <c r="E138" s="29" t="s">
        <v>68</v>
      </c>
      <c r="F138" s="29">
        <v>1</v>
      </c>
      <c r="G138" s="29" t="s">
        <v>191</v>
      </c>
      <c r="H138" s="29" t="s">
        <v>327</v>
      </c>
      <c r="I138" s="24" t="str">
        <f>IFERROR(IF(B138&gt;=INDEX(Households!$F$5:$F$154,MATCH(C138,Households!$A$5:$A$154,0)),"Yes","No – before latest assessment"),"")</f>
        <v>Yes</v>
      </c>
    </row>
    <row r="139" spans="1:9" x14ac:dyDescent="0.3">
      <c r="A139" s="29" t="s">
        <v>384</v>
      </c>
      <c r="B139" s="30">
        <v>46040</v>
      </c>
      <c r="C139" s="29" t="s">
        <v>385</v>
      </c>
      <c r="D139" s="24" t="str">
        <f>IFERROR(INDEX(Households!$B$5:$B$154,MATCH(C139,Households!$A$5:$A$154,0)),"Not in register")</f>
        <v>Site A – School Shelter</v>
      </c>
      <c r="E139" s="29" t="s">
        <v>70</v>
      </c>
      <c r="F139" s="29">
        <v>1</v>
      </c>
      <c r="G139" s="29" t="s">
        <v>191</v>
      </c>
      <c r="H139" s="29" t="s">
        <v>182</v>
      </c>
      <c r="I139" s="24" t="str">
        <f>IFERROR(IF(B139&gt;=INDEX(Households!$F$5:$F$154,MATCH(C139,Households!$A$5:$A$154,0)),"Yes","No – before latest assessment"),"")</f>
        <v>Yes</v>
      </c>
    </row>
    <row r="140" spans="1:9" x14ac:dyDescent="0.3">
      <c r="A140" s="29" t="s">
        <v>386</v>
      </c>
      <c r="B140" s="30">
        <v>46040</v>
      </c>
      <c r="C140" s="29" t="s">
        <v>387</v>
      </c>
      <c r="D140" s="24" t="str">
        <f>IFERROR(INDEX(Households!$B$5:$B$154,MATCH(C140,Households!$A$5:$A$154,0)),"Not in register")</f>
        <v>Site A – School Shelter</v>
      </c>
      <c r="E140" s="29" t="s">
        <v>56</v>
      </c>
      <c r="F140" s="29">
        <v>4</v>
      </c>
      <c r="G140" s="29" t="s">
        <v>185</v>
      </c>
      <c r="H140" s="29" t="s">
        <v>182</v>
      </c>
      <c r="I140" s="24" t="str">
        <f>IFERROR(IF(B140&gt;=INDEX(Households!$F$5:$F$154,MATCH(C140,Households!$A$5:$A$154,0)),"Yes","No – before latest assessment"),"")</f>
        <v>Yes</v>
      </c>
    </row>
    <row r="141" spans="1:9" x14ac:dyDescent="0.3">
      <c r="A141" s="29" t="s">
        <v>388</v>
      </c>
      <c r="B141" s="30">
        <v>46040</v>
      </c>
      <c r="C141" s="29" t="s">
        <v>389</v>
      </c>
      <c r="D141" s="24" t="str">
        <f>IFERROR(INDEX(Households!$B$5:$B$154,MATCH(C141,Households!$A$5:$A$154,0)),"Not in register")</f>
        <v>Site B – School Shelter</v>
      </c>
      <c r="E141" s="29" t="s">
        <v>54</v>
      </c>
      <c r="F141" s="29">
        <v>7</v>
      </c>
      <c r="G141" s="29" t="s">
        <v>185</v>
      </c>
      <c r="H141" s="29" t="s">
        <v>182</v>
      </c>
      <c r="I141" s="24" t="str">
        <f>IFERROR(IF(B141&gt;=INDEX(Households!$F$5:$F$154,MATCH(C141,Households!$A$5:$A$154,0)),"Yes","No – before latest assessment"),"")</f>
        <v>Yes</v>
      </c>
    </row>
    <row r="142" spans="1:9" x14ac:dyDescent="0.3">
      <c r="A142" s="29" t="s">
        <v>390</v>
      </c>
      <c r="B142" s="30">
        <v>46040</v>
      </c>
      <c r="C142" s="29" t="s">
        <v>240</v>
      </c>
      <c r="D142" s="24" t="str">
        <f>IFERROR(INDEX(Households!$B$5:$B$154,MATCH(C142,Households!$A$5:$A$154,0)),"Not in register")</f>
        <v>Site B – School Shelter</v>
      </c>
      <c r="E142" s="29" t="s">
        <v>68</v>
      </c>
      <c r="F142" s="29">
        <v>1</v>
      </c>
      <c r="G142" s="29" t="s">
        <v>191</v>
      </c>
      <c r="H142" s="29" t="s">
        <v>182</v>
      </c>
      <c r="I142" s="24" t="str">
        <f>IFERROR(IF(B142&gt;=INDEX(Households!$F$5:$F$154,MATCH(C142,Households!$A$5:$A$154,0)),"Yes","No – before latest assessment"),"")</f>
        <v>Yes</v>
      </c>
    </row>
    <row r="143" spans="1:9" x14ac:dyDescent="0.3">
      <c r="A143" s="29" t="s">
        <v>391</v>
      </c>
      <c r="B143" s="30">
        <v>46040</v>
      </c>
      <c r="C143" s="29" t="s">
        <v>301</v>
      </c>
      <c r="D143" s="24" t="str">
        <f>IFERROR(INDEX(Households!$B$5:$B$154,MATCH(C143,Households!$A$5:$A$154,0)),"Not in register")</f>
        <v>Site C – Informal Tent Area</v>
      </c>
      <c r="E143" s="29" t="s">
        <v>54</v>
      </c>
      <c r="F143" s="29">
        <v>2</v>
      </c>
      <c r="G143" s="29" t="s">
        <v>185</v>
      </c>
      <c r="H143" s="29" t="s">
        <v>182</v>
      </c>
      <c r="I143" s="24" t="str">
        <f>IFERROR(IF(B143&gt;=INDEX(Households!$F$5:$F$154,MATCH(C143,Households!$A$5:$A$154,0)),"Yes","No – before latest assessment"),"")</f>
        <v>Yes</v>
      </c>
    </row>
    <row r="144" spans="1:9" x14ac:dyDescent="0.3">
      <c r="A144" s="29" t="s">
        <v>392</v>
      </c>
      <c r="B144" s="30">
        <v>46040</v>
      </c>
      <c r="C144" s="29" t="s">
        <v>274</v>
      </c>
      <c r="D144" s="24" t="str">
        <f>IFERROR(INDEX(Households!$B$5:$B$154,MATCH(C144,Households!$A$5:$A$154,0)),"Not in register")</f>
        <v>Site D – Collective Centre</v>
      </c>
      <c r="E144" s="29" t="s">
        <v>66</v>
      </c>
      <c r="F144" s="29">
        <v>3</v>
      </c>
      <c r="G144" s="29" t="s">
        <v>181</v>
      </c>
      <c r="H144" s="29" t="s">
        <v>182</v>
      </c>
      <c r="I144" s="24" t="str">
        <f>IFERROR(IF(B144&gt;=INDEX(Households!$F$5:$F$154,MATCH(C144,Households!$A$5:$A$154,0)),"Yes","No – before latest assessment"),"")</f>
        <v>Yes</v>
      </c>
    </row>
    <row r="145" spans="1:9" x14ac:dyDescent="0.3">
      <c r="A145" s="29" t="s">
        <v>393</v>
      </c>
      <c r="B145" s="30">
        <v>46040</v>
      </c>
      <c r="C145" s="29" t="s">
        <v>342</v>
      </c>
      <c r="D145" s="24" t="str">
        <f>IFERROR(INDEX(Households!$B$5:$B$154,MATCH(C145,Households!$A$5:$A$154,0)),"Not in register")</f>
        <v>Site D – Collective Centre</v>
      </c>
      <c r="E145" s="29" t="s">
        <v>54</v>
      </c>
      <c r="F145" s="29">
        <v>7</v>
      </c>
      <c r="G145" s="29" t="s">
        <v>189</v>
      </c>
      <c r="H145" s="29" t="s">
        <v>182</v>
      </c>
      <c r="I145" s="24" t="str">
        <f>IFERROR(IF(B145&gt;=INDEX(Households!$F$5:$F$154,MATCH(C145,Households!$A$5:$A$154,0)),"Yes","No – before latest assessment"),"")</f>
        <v>No – before latest assessment</v>
      </c>
    </row>
    <row r="146" spans="1:9" x14ac:dyDescent="0.3">
      <c r="A146" s="29" t="s">
        <v>394</v>
      </c>
      <c r="B146" s="30">
        <v>46041</v>
      </c>
      <c r="C146" s="29" t="s">
        <v>312</v>
      </c>
      <c r="D146" s="24" t="str">
        <f>IFERROR(INDEX(Households!$B$5:$B$154,MATCH(C146,Households!$A$5:$A$154,0)),"Not in register")</f>
        <v>Site A – School Shelter</v>
      </c>
      <c r="E146" s="29" t="s">
        <v>68</v>
      </c>
      <c r="F146" s="29">
        <v>1</v>
      </c>
      <c r="G146" s="29" t="s">
        <v>191</v>
      </c>
      <c r="H146" s="29" t="s">
        <v>182</v>
      </c>
      <c r="I146" s="24" t="str">
        <f>IFERROR(IF(B146&gt;=INDEX(Households!$F$5:$F$154,MATCH(C146,Households!$A$5:$A$154,0)),"Yes","No – before latest assessment"),"")</f>
        <v>Yes</v>
      </c>
    </row>
    <row r="147" spans="1:9" x14ac:dyDescent="0.3">
      <c r="A147" s="29" t="s">
        <v>395</v>
      </c>
      <c r="B147" s="30">
        <v>46041</v>
      </c>
      <c r="C147" s="29" t="s">
        <v>396</v>
      </c>
      <c r="D147" s="24" t="str">
        <f>IFERROR(INDEX(Households!$B$5:$B$154,MATCH(C147,Households!$A$5:$A$154,0)),"Not in register")</f>
        <v>Site A – School Shelter</v>
      </c>
      <c r="E147" s="29" t="s">
        <v>56</v>
      </c>
      <c r="F147" s="29">
        <v>2</v>
      </c>
      <c r="G147" s="29" t="s">
        <v>189</v>
      </c>
      <c r="H147" s="29" t="s">
        <v>182</v>
      </c>
      <c r="I147" s="24" t="str">
        <f>IFERROR(IF(B147&gt;=INDEX(Households!$F$5:$F$154,MATCH(C147,Households!$A$5:$A$154,0)),"Yes","No – before latest assessment"),"")</f>
        <v>Yes</v>
      </c>
    </row>
    <row r="148" spans="1:9" x14ac:dyDescent="0.3">
      <c r="A148" s="29" t="s">
        <v>397</v>
      </c>
      <c r="B148" s="30">
        <v>46041</v>
      </c>
      <c r="C148" s="29" t="s">
        <v>387</v>
      </c>
      <c r="D148" s="24" t="str">
        <f>IFERROR(INDEX(Households!$B$5:$B$154,MATCH(C148,Households!$A$5:$A$154,0)),"Not in register")</f>
        <v>Site A – School Shelter</v>
      </c>
      <c r="E148" s="29" t="s">
        <v>68</v>
      </c>
      <c r="F148" s="29">
        <v>1</v>
      </c>
      <c r="G148" s="29" t="s">
        <v>191</v>
      </c>
      <c r="H148" s="29" t="s">
        <v>182</v>
      </c>
      <c r="I148" s="24" t="str">
        <f>IFERROR(IF(B148&gt;=INDEX(Households!$F$5:$F$154,MATCH(C148,Households!$A$5:$A$154,0)),"Yes","No – before latest assessment"),"")</f>
        <v>Yes</v>
      </c>
    </row>
    <row r="149" spans="1:9" x14ac:dyDescent="0.3">
      <c r="A149" s="29" t="s">
        <v>398</v>
      </c>
      <c r="B149" s="30">
        <v>46041</v>
      </c>
      <c r="C149" s="29" t="s">
        <v>399</v>
      </c>
      <c r="D149" s="24" t="str">
        <f>IFERROR(INDEX(Households!$B$5:$B$154,MATCH(C149,Households!$A$5:$A$154,0)),"Not in register")</f>
        <v>Site B – School Shelter</v>
      </c>
      <c r="E149" s="29" t="s">
        <v>68</v>
      </c>
      <c r="F149" s="29">
        <v>1</v>
      </c>
      <c r="G149" s="29" t="s">
        <v>191</v>
      </c>
      <c r="H149" s="29" t="s">
        <v>327</v>
      </c>
      <c r="I149" s="24" t="str">
        <f>IFERROR(IF(B149&gt;=INDEX(Households!$F$5:$F$154,MATCH(C149,Households!$A$5:$A$154,0)),"Yes","No – before latest assessment"),"")</f>
        <v>Yes</v>
      </c>
    </row>
    <row r="150" spans="1:9" x14ac:dyDescent="0.3">
      <c r="A150" s="29" t="s">
        <v>400</v>
      </c>
      <c r="B150" s="30">
        <v>46041</v>
      </c>
      <c r="C150" s="29" t="s">
        <v>193</v>
      </c>
      <c r="D150" s="24" t="str">
        <f>IFERROR(INDEX(Households!$B$5:$B$154,MATCH(C150,Households!$A$5:$A$154,0)),"Not in register")</f>
        <v>Site B – School Shelter</v>
      </c>
      <c r="E150" s="29" t="s">
        <v>63</v>
      </c>
      <c r="F150" s="29">
        <v>1</v>
      </c>
      <c r="G150" s="29" t="s">
        <v>189</v>
      </c>
      <c r="H150" s="29" t="s">
        <v>182</v>
      </c>
      <c r="I150" s="24" t="str">
        <f>IFERROR(IF(B150&gt;=INDEX(Households!$F$5:$F$154,MATCH(C150,Households!$A$5:$A$154,0)),"Yes","No – before latest assessment"),"")</f>
        <v>Yes</v>
      </c>
    </row>
    <row r="151" spans="1:9" x14ac:dyDescent="0.3">
      <c r="A151" s="29" t="s">
        <v>401</v>
      </c>
      <c r="B151" s="30">
        <v>46041</v>
      </c>
      <c r="C151" s="29" t="s">
        <v>240</v>
      </c>
      <c r="D151" s="24" t="str">
        <f>IFERROR(INDEX(Households!$B$5:$B$154,MATCH(C151,Households!$A$5:$A$154,0)),"Not in register")</f>
        <v>Site B – School Shelter</v>
      </c>
      <c r="E151" s="29" t="s">
        <v>54</v>
      </c>
      <c r="F151" s="29">
        <v>3</v>
      </c>
      <c r="G151" s="29" t="s">
        <v>185</v>
      </c>
      <c r="H151" s="29" t="s">
        <v>182</v>
      </c>
      <c r="I151" s="24" t="str">
        <f>IFERROR(IF(B151&gt;=INDEX(Households!$F$5:$F$154,MATCH(C151,Households!$A$5:$A$154,0)),"Yes","No – before latest assessment"),"")</f>
        <v>Yes</v>
      </c>
    </row>
    <row r="152" spans="1:9" x14ac:dyDescent="0.3">
      <c r="A152" s="29" t="s">
        <v>402</v>
      </c>
      <c r="B152" s="30">
        <v>46041</v>
      </c>
      <c r="C152" s="29" t="s">
        <v>348</v>
      </c>
      <c r="D152" s="24" t="str">
        <f>IFERROR(INDEX(Households!$B$5:$B$154,MATCH(C152,Households!$A$5:$A$154,0)),"Not in register")</f>
        <v>Site B – School Shelter</v>
      </c>
      <c r="E152" s="29" t="s">
        <v>54</v>
      </c>
      <c r="F152" s="29">
        <v>12</v>
      </c>
      <c r="G152" s="29" t="s">
        <v>185</v>
      </c>
      <c r="H152" s="29" t="s">
        <v>182</v>
      </c>
      <c r="I152" s="24" t="str">
        <f>IFERROR(IF(B152&gt;=INDEX(Households!$F$5:$F$154,MATCH(C152,Households!$A$5:$A$154,0)),"Yes","No – before latest assessment"),"")</f>
        <v>Yes</v>
      </c>
    </row>
    <row r="153" spans="1:9" x14ac:dyDescent="0.3">
      <c r="A153" s="29" t="s">
        <v>403</v>
      </c>
      <c r="B153" s="30">
        <v>46041</v>
      </c>
      <c r="C153" s="29" t="s">
        <v>243</v>
      </c>
      <c r="D153" s="24" t="str">
        <f>IFERROR(INDEX(Households!$B$5:$B$154,MATCH(C153,Households!$A$5:$A$154,0)),"Not in register")</f>
        <v>Site B – School Shelter</v>
      </c>
      <c r="E153" s="29" t="s">
        <v>63</v>
      </c>
      <c r="F153" s="29">
        <v>3</v>
      </c>
      <c r="G153" s="29" t="s">
        <v>189</v>
      </c>
      <c r="H153" s="29" t="s">
        <v>182</v>
      </c>
      <c r="I153" s="24" t="str">
        <f>IFERROR(IF(B153&gt;=INDEX(Households!$F$5:$F$154,MATCH(C153,Households!$A$5:$A$154,0)),"Yes","No – before latest assessment"),"")</f>
        <v>No – before latest assessment</v>
      </c>
    </row>
    <row r="154" spans="1:9" x14ac:dyDescent="0.3">
      <c r="A154" s="29" t="s">
        <v>404</v>
      </c>
      <c r="B154" s="30">
        <v>46041</v>
      </c>
      <c r="C154" s="29" t="s">
        <v>405</v>
      </c>
      <c r="D154" s="24" t="str">
        <f>IFERROR(INDEX(Households!$B$5:$B$154,MATCH(C154,Households!$A$5:$A$154,0)),"Not in register")</f>
        <v>Site C – Informal Tent Area</v>
      </c>
      <c r="E154" s="29" t="s">
        <v>63</v>
      </c>
      <c r="F154" s="29">
        <v>3</v>
      </c>
      <c r="G154" s="29" t="s">
        <v>189</v>
      </c>
      <c r="H154" s="29" t="s">
        <v>182</v>
      </c>
      <c r="I154" s="24" t="str">
        <f>IFERROR(IF(B154&gt;=INDEX(Households!$F$5:$F$154,MATCH(C154,Households!$A$5:$A$154,0)),"Yes","No – before latest assessment"),"")</f>
        <v>Yes</v>
      </c>
    </row>
    <row r="155" spans="1:9" x14ac:dyDescent="0.3">
      <c r="A155" s="29" t="s">
        <v>406</v>
      </c>
      <c r="B155" s="30">
        <v>46041</v>
      </c>
      <c r="C155" s="29" t="s">
        <v>407</v>
      </c>
      <c r="D155" s="24" t="str">
        <f>IFERROR(INDEX(Households!$B$5:$B$154,MATCH(C155,Households!$A$5:$A$154,0)),"Not in register")</f>
        <v>Site C – Informal Tent Area</v>
      </c>
      <c r="E155" s="29" t="s">
        <v>68</v>
      </c>
      <c r="F155" s="29">
        <v>1</v>
      </c>
      <c r="G155" s="29" t="s">
        <v>191</v>
      </c>
      <c r="H155" s="29" t="s">
        <v>182</v>
      </c>
      <c r="I155" s="24" t="str">
        <f>IFERROR(IF(B155&gt;=INDEX(Households!$F$5:$F$154,MATCH(C155,Households!$A$5:$A$154,0)),"Yes","No – before latest assessment"),"")</f>
        <v>Yes</v>
      </c>
    </row>
    <row r="156" spans="1:9" x14ac:dyDescent="0.3">
      <c r="A156" s="29" t="s">
        <v>408</v>
      </c>
      <c r="B156" s="30">
        <v>46041</v>
      </c>
      <c r="C156" s="29" t="s">
        <v>299</v>
      </c>
      <c r="D156" s="24" t="str">
        <f>IFERROR(INDEX(Households!$B$5:$B$154,MATCH(C156,Households!$A$5:$A$154,0)),"Not in register")</f>
        <v>Site C – Informal Tent Area</v>
      </c>
      <c r="E156" s="29" t="s">
        <v>63</v>
      </c>
      <c r="F156" s="29">
        <v>3</v>
      </c>
      <c r="G156" s="29" t="s">
        <v>189</v>
      </c>
      <c r="H156" s="29" t="s">
        <v>182</v>
      </c>
      <c r="I156" s="24" t="str">
        <f>IFERROR(IF(B156&gt;=INDEX(Households!$F$5:$F$154,MATCH(C156,Households!$A$5:$A$154,0)),"Yes","No – before latest assessment"),"")</f>
        <v>No – before latest assessment</v>
      </c>
    </row>
    <row r="157" spans="1:9" x14ac:dyDescent="0.3">
      <c r="A157" s="29" t="s">
        <v>409</v>
      </c>
      <c r="B157" s="30">
        <v>46041</v>
      </c>
      <c r="C157" s="29" t="s">
        <v>319</v>
      </c>
      <c r="D157" s="24" t="str">
        <f>IFERROR(INDEX(Households!$B$5:$B$154,MATCH(C157,Households!$A$5:$A$154,0)),"Not in register")</f>
        <v>Site C – Informal Tent Area</v>
      </c>
      <c r="E157" s="29" t="s">
        <v>54</v>
      </c>
      <c r="F157" s="29">
        <v>3</v>
      </c>
      <c r="G157" s="29" t="s">
        <v>185</v>
      </c>
      <c r="H157" s="29" t="s">
        <v>182</v>
      </c>
      <c r="I157" s="24" t="str">
        <f>IFERROR(IF(B157&gt;=INDEX(Households!$F$5:$F$154,MATCH(C157,Households!$A$5:$A$154,0)),"Yes","No – before latest assessment"),"")</f>
        <v>Yes</v>
      </c>
    </row>
    <row r="158" spans="1:9" x14ac:dyDescent="0.3">
      <c r="A158" s="29" t="s">
        <v>410</v>
      </c>
      <c r="B158" s="30">
        <v>46041</v>
      </c>
      <c r="C158" s="29" t="s">
        <v>319</v>
      </c>
      <c r="D158" s="24" t="str">
        <f>IFERROR(INDEX(Households!$B$5:$B$154,MATCH(C158,Households!$A$5:$A$154,0)),"Not in register")</f>
        <v>Site C – Informal Tent Area</v>
      </c>
      <c r="E158" s="29" t="s">
        <v>68</v>
      </c>
      <c r="F158" s="29">
        <v>1</v>
      </c>
      <c r="G158" s="29" t="s">
        <v>191</v>
      </c>
      <c r="H158" s="29" t="s">
        <v>182</v>
      </c>
      <c r="I158" s="24" t="str">
        <f>IFERROR(IF(B158&gt;=INDEX(Households!$F$5:$F$154,MATCH(C158,Households!$A$5:$A$154,0)),"Yes","No – before latest assessment"),"")</f>
        <v>Yes</v>
      </c>
    </row>
    <row r="159" spans="1:9" x14ac:dyDescent="0.3">
      <c r="A159" s="29" t="s">
        <v>411</v>
      </c>
      <c r="B159" s="30">
        <v>46041</v>
      </c>
      <c r="C159" s="29" t="s">
        <v>412</v>
      </c>
      <c r="D159" s="24" t="str">
        <f>IFERROR(INDEX(Households!$B$5:$B$154,MATCH(C159,Households!$A$5:$A$154,0)),"Not in register")</f>
        <v>Site C – Informal Tent Area</v>
      </c>
      <c r="E159" s="29" t="s">
        <v>57</v>
      </c>
      <c r="F159" s="29">
        <v>1</v>
      </c>
      <c r="G159" s="29" t="s">
        <v>351</v>
      </c>
      <c r="H159" s="29" t="s">
        <v>182</v>
      </c>
      <c r="I159" s="24" t="str">
        <f>IFERROR(IF(B159&gt;=INDEX(Households!$F$5:$F$154,MATCH(C159,Households!$A$5:$A$154,0)),"Yes","No – before latest assessment"),"")</f>
        <v>Yes</v>
      </c>
    </row>
    <row r="160" spans="1:9" x14ac:dyDescent="0.3">
      <c r="A160" s="29" t="s">
        <v>413</v>
      </c>
      <c r="B160" s="30">
        <v>46041</v>
      </c>
      <c r="C160" s="29" t="s">
        <v>276</v>
      </c>
      <c r="D160" s="24" t="str">
        <f>IFERROR(INDEX(Households!$B$5:$B$154,MATCH(C160,Households!$A$5:$A$154,0)),"Not in register")</f>
        <v>Site D – Collective Centre</v>
      </c>
      <c r="E160" s="29" t="s">
        <v>70</v>
      </c>
      <c r="F160" s="29">
        <v>2</v>
      </c>
      <c r="G160" s="29" t="s">
        <v>191</v>
      </c>
      <c r="H160" s="29" t="s">
        <v>182</v>
      </c>
      <c r="I160" s="24" t="str">
        <f>IFERROR(IF(B160&gt;=INDEX(Households!$F$5:$F$154,MATCH(C160,Households!$A$5:$A$154,0)),"Yes","No – before latest assessment"),"")</f>
        <v>Yes</v>
      </c>
    </row>
    <row r="161" spans="1:9" x14ac:dyDescent="0.3">
      <c r="A161" s="29" t="s">
        <v>414</v>
      </c>
      <c r="B161" s="30">
        <v>46042</v>
      </c>
      <c r="C161" s="29" t="s">
        <v>293</v>
      </c>
      <c r="D161" s="24" t="str">
        <f>IFERROR(INDEX(Households!$B$5:$B$154,MATCH(C161,Households!$A$5:$A$154,0)),"Not in register")</f>
        <v>Site A – School Shelter</v>
      </c>
      <c r="E161" s="29" t="s">
        <v>56</v>
      </c>
      <c r="F161" s="29">
        <v>6</v>
      </c>
      <c r="G161" s="29" t="s">
        <v>189</v>
      </c>
      <c r="H161" s="29" t="s">
        <v>182</v>
      </c>
      <c r="I161" s="24" t="str">
        <f>IFERROR(IF(B161&gt;=INDEX(Households!$F$5:$F$154,MATCH(C161,Households!$A$5:$A$154,0)),"Yes","No – before latest assessment"),"")</f>
        <v>Yes</v>
      </c>
    </row>
    <row r="162" spans="1:9" x14ac:dyDescent="0.3">
      <c r="A162" s="29" t="s">
        <v>415</v>
      </c>
      <c r="B162" s="30">
        <v>46042</v>
      </c>
      <c r="C162" s="29" t="s">
        <v>282</v>
      </c>
      <c r="D162" s="24" t="str">
        <f>IFERROR(INDEX(Households!$B$5:$B$154,MATCH(C162,Households!$A$5:$A$154,0)),"Not in register")</f>
        <v>Site A – School Shelter</v>
      </c>
      <c r="E162" s="29" t="s">
        <v>56</v>
      </c>
      <c r="F162" s="29">
        <v>4</v>
      </c>
      <c r="G162" s="29" t="s">
        <v>185</v>
      </c>
      <c r="H162" s="29" t="s">
        <v>182</v>
      </c>
      <c r="I162" s="24" t="str">
        <f>IFERROR(IF(B162&gt;=INDEX(Households!$F$5:$F$154,MATCH(C162,Households!$A$5:$A$154,0)),"Yes","No – before latest assessment"),"")</f>
        <v>Yes</v>
      </c>
    </row>
    <row r="163" spans="1:9" x14ac:dyDescent="0.3">
      <c r="A163" s="29" t="s">
        <v>416</v>
      </c>
      <c r="B163" s="30">
        <v>46042</v>
      </c>
      <c r="C163" s="29" t="s">
        <v>385</v>
      </c>
      <c r="D163" s="24" t="str">
        <f>IFERROR(INDEX(Households!$B$5:$B$154,MATCH(C163,Households!$A$5:$A$154,0)),"Not in register")</f>
        <v>Site A – School Shelter</v>
      </c>
      <c r="E163" s="29" t="s">
        <v>54</v>
      </c>
      <c r="F163" s="29">
        <v>3</v>
      </c>
      <c r="G163" s="29" t="s">
        <v>185</v>
      </c>
      <c r="H163" s="29" t="s">
        <v>182</v>
      </c>
      <c r="I163" s="24" t="str">
        <f>IFERROR(IF(B163&gt;=INDEX(Households!$F$5:$F$154,MATCH(C163,Households!$A$5:$A$154,0)),"Yes","No – before latest assessment"),"")</f>
        <v>Yes</v>
      </c>
    </row>
    <row r="164" spans="1:9" x14ac:dyDescent="0.3">
      <c r="A164" s="29" t="s">
        <v>417</v>
      </c>
      <c r="B164" s="30">
        <v>46042</v>
      </c>
      <c r="C164" s="29" t="s">
        <v>396</v>
      </c>
      <c r="D164" s="24" t="str">
        <f>IFERROR(INDEX(Households!$B$5:$B$154,MATCH(C164,Households!$A$5:$A$154,0)),"Not in register")</f>
        <v>Site A – School Shelter</v>
      </c>
      <c r="E164" s="29" t="s">
        <v>68</v>
      </c>
      <c r="F164" s="29">
        <v>1</v>
      </c>
      <c r="G164" s="29" t="s">
        <v>191</v>
      </c>
      <c r="H164" s="29" t="s">
        <v>182</v>
      </c>
      <c r="I164" s="24" t="str">
        <f>IFERROR(IF(B164&gt;=INDEX(Households!$F$5:$F$154,MATCH(C164,Households!$A$5:$A$154,0)),"Yes","No – before latest assessment"),"")</f>
        <v>Yes</v>
      </c>
    </row>
    <row r="165" spans="1:9" x14ac:dyDescent="0.3">
      <c r="A165" s="29" t="s">
        <v>418</v>
      </c>
      <c r="B165" s="30">
        <v>46042</v>
      </c>
      <c r="C165" s="29" t="s">
        <v>213</v>
      </c>
      <c r="D165" s="24" t="str">
        <f>IFERROR(INDEX(Households!$B$5:$B$154,MATCH(C165,Households!$A$5:$A$154,0)),"Not in register")</f>
        <v>Site A – School Shelter</v>
      </c>
      <c r="E165" s="29" t="s">
        <v>54</v>
      </c>
      <c r="F165" s="29">
        <v>2</v>
      </c>
      <c r="G165" s="29" t="s">
        <v>185</v>
      </c>
      <c r="H165" s="29" t="s">
        <v>182</v>
      </c>
      <c r="I165" s="24" t="str">
        <f>IFERROR(IF(B165&gt;=INDEX(Households!$F$5:$F$154,MATCH(C165,Households!$A$5:$A$154,0)),"Yes","No – before latest assessment"),"")</f>
        <v>Yes</v>
      </c>
    </row>
    <row r="166" spans="1:9" x14ac:dyDescent="0.3">
      <c r="A166" s="29" t="s">
        <v>419</v>
      </c>
      <c r="B166" s="30">
        <v>46042</v>
      </c>
      <c r="C166" s="29" t="s">
        <v>285</v>
      </c>
      <c r="D166" s="24" t="str">
        <f>IFERROR(INDEX(Households!$B$5:$B$154,MATCH(C166,Households!$A$5:$A$154,0)),"Not in register")</f>
        <v>Site B – School Shelter</v>
      </c>
      <c r="E166" s="29" t="s">
        <v>54</v>
      </c>
      <c r="F166" s="29">
        <v>3</v>
      </c>
      <c r="G166" s="29" t="s">
        <v>189</v>
      </c>
      <c r="H166" s="29" t="s">
        <v>182</v>
      </c>
      <c r="I166" s="24" t="str">
        <f>IFERROR(IF(B166&gt;=INDEX(Households!$F$5:$F$154,MATCH(C166,Households!$A$5:$A$154,0)),"Yes","No – before latest assessment"),"")</f>
        <v>Yes</v>
      </c>
    </row>
    <row r="167" spans="1:9" x14ac:dyDescent="0.3">
      <c r="A167" s="29" t="s">
        <v>420</v>
      </c>
      <c r="B167" s="30">
        <v>46042</v>
      </c>
      <c r="C167" s="29" t="s">
        <v>421</v>
      </c>
      <c r="D167" s="24" t="str">
        <f>IFERROR(INDEX(Households!$B$5:$B$154,MATCH(C167,Households!$A$5:$A$154,0)),"Not in register")</f>
        <v>Site B – School Shelter</v>
      </c>
      <c r="E167" s="29" t="s">
        <v>65</v>
      </c>
      <c r="F167" s="29">
        <v>2</v>
      </c>
      <c r="G167" s="29" t="s">
        <v>189</v>
      </c>
      <c r="H167" s="29" t="s">
        <v>182</v>
      </c>
      <c r="I167" s="24" t="str">
        <f>IFERROR(IF(B167&gt;=INDEX(Households!$F$5:$F$154,MATCH(C167,Households!$A$5:$A$154,0)),"Yes","No – before latest assessment"),"")</f>
        <v>Yes</v>
      </c>
    </row>
    <row r="168" spans="1:9" x14ac:dyDescent="0.3">
      <c r="A168" s="29" t="s">
        <v>422</v>
      </c>
      <c r="B168" s="30">
        <v>46042</v>
      </c>
      <c r="C168" s="29" t="s">
        <v>199</v>
      </c>
      <c r="D168" s="24" t="str">
        <f>IFERROR(INDEX(Households!$B$5:$B$154,MATCH(C168,Households!$A$5:$A$154,0)),"Not in register")</f>
        <v>Site B – School Shelter</v>
      </c>
      <c r="E168" s="29" t="s">
        <v>68</v>
      </c>
      <c r="F168" s="29">
        <v>1</v>
      </c>
      <c r="G168" s="29" t="s">
        <v>191</v>
      </c>
      <c r="H168" s="29" t="s">
        <v>182</v>
      </c>
      <c r="I168" s="24" t="str">
        <f>IFERROR(IF(B168&gt;=INDEX(Households!$F$5:$F$154,MATCH(C168,Households!$A$5:$A$154,0)),"Yes","No – before latest assessment"),"")</f>
        <v>Yes</v>
      </c>
    </row>
    <row r="169" spans="1:9" x14ac:dyDescent="0.3">
      <c r="A169" s="29" t="s">
        <v>423</v>
      </c>
      <c r="B169" s="30">
        <v>46042</v>
      </c>
      <c r="C169" s="29" t="s">
        <v>424</v>
      </c>
      <c r="D169" s="24" t="str">
        <f>IFERROR(INDEX(Households!$B$5:$B$154,MATCH(C169,Households!$A$5:$A$154,0)),"Not in register")</f>
        <v>Site C – Informal Tent Area</v>
      </c>
      <c r="E169" s="29" t="s">
        <v>68</v>
      </c>
      <c r="F169" s="29">
        <v>1</v>
      </c>
      <c r="G169" s="29" t="s">
        <v>189</v>
      </c>
      <c r="H169" s="29" t="s">
        <v>182</v>
      </c>
      <c r="I169" s="24" t="str">
        <f>IFERROR(IF(B169&gt;=INDEX(Households!$F$5:$F$154,MATCH(C169,Households!$A$5:$A$154,0)),"Yes","No – before latest assessment"),"")</f>
        <v>Yes</v>
      </c>
    </row>
    <row r="170" spans="1:9" x14ac:dyDescent="0.3">
      <c r="A170" s="29" t="s">
        <v>425</v>
      </c>
      <c r="B170" s="30">
        <v>46042</v>
      </c>
      <c r="C170" s="29" t="s">
        <v>426</v>
      </c>
      <c r="D170" s="24" t="str">
        <f>IFERROR(INDEX(Households!$B$5:$B$154,MATCH(C170,Households!$A$5:$A$154,0)),"Not in register")</f>
        <v>Site C – Informal Tent Area</v>
      </c>
      <c r="E170" s="29" t="s">
        <v>68</v>
      </c>
      <c r="F170" s="29">
        <v>1</v>
      </c>
      <c r="G170" s="29" t="s">
        <v>191</v>
      </c>
      <c r="H170" s="29" t="s">
        <v>182</v>
      </c>
      <c r="I170" s="24" t="str">
        <f>IFERROR(IF(B170&gt;=INDEX(Households!$F$5:$F$154,MATCH(C170,Households!$A$5:$A$154,0)),"Yes","No – before latest assessment"),"")</f>
        <v>Yes</v>
      </c>
    </row>
    <row r="171" spans="1:9" x14ac:dyDescent="0.3">
      <c r="A171" s="29" t="s">
        <v>427</v>
      </c>
      <c r="B171" s="30">
        <v>46042</v>
      </c>
      <c r="C171" s="29" t="s">
        <v>303</v>
      </c>
      <c r="D171" s="24" t="str">
        <f>IFERROR(INDEX(Households!$B$5:$B$154,MATCH(C171,Households!$A$5:$A$154,0)),"Not in register")</f>
        <v>Site C – Informal Tent Area</v>
      </c>
      <c r="E171" s="29" t="s">
        <v>54</v>
      </c>
      <c r="F171" s="29">
        <v>8</v>
      </c>
      <c r="G171" s="29" t="s">
        <v>185</v>
      </c>
      <c r="H171" s="29" t="s">
        <v>182</v>
      </c>
      <c r="I171" s="24" t="str">
        <f>IFERROR(IF(B171&gt;=INDEX(Households!$F$5:$F$154,MATCH(C171,Households!$A$5:$A$154,0)),"Yes","No – before latest assessment"),"")</f>
        <v>Yes</v>
      </c>
    </row>
    <row r="172" spans="1:9" x14ac:dyDescent="0.3">
      <c r="A172" s="29" t="s">
        <v>428</v>
      </c>
      <c r="B172" s="30">
        <v>46042</v>
      </c>
      <c r="C172" s="29" t="s">
        <v>429</v>
      </c>
      <c r="D172" s="24" t="str">
        <f>IFERROR(INDEX(Households!$B$5:$B$154,MATCH(C172,Households!$A$5:$A$154,0)),"Not in register")</f>
        <v>Site C – Informal Tent Area</v>
      </c>
      <c r="E172" s="29" t="s">
        <v>65</v>
      </c>
      <c r="F172" s="29">
        <v>1</v>
      </c>
      <c r="G172" s="29" t="s">
        <v>189</v>
      </c>
      <c r="H172" s="29" t="s">
        <v>182</v>
      </c>
      <c r="I172" s="24" t="str">
        <f>IFERROR(IF(B172&gt;=INDEX(Households!$F$5:$F$154,MATCH(C172,Households!$A$5:$A$154,0)),"Yes","No – before latest assessment"),"")</f>
        <v>Yes</v>
      </c>
    </row>
    <row r="173" spans="1:9" x14ac:dyDescent="0.3">
      <c r="A173" s="29" t="s">
        <v>430</v>
      </c>
      <c r="B173" s="30">
        <v>46042</v>
      </c>
      <c r="C173" s="29" t="s">
        <v>431</v>
      </c>
      <c r="D173" s="24" t="str">
        <f>IFERROR(INDEX(Households!$B$5:$B$154,MATCH(C173,Households!$A$5:$A$154,0)),"Not in register")</f>
        <v>Site D – Collective Centre</v>
      </c>
      <c r="E173" s="29" t="s">
        <v>54</v>
      </c>
      <c r="F173" s="29">
        <v>2</v>
      </c>
      <c r="G173" s="29" t="s">
        <v>189</v>
      </c>
      <c r="H173" s="29" t="s">
        <v>182</v>
      </c>
      <c r="I173" s="24" t="str">
        <f>IFERROR(IF(B173&gt;=INDEX(Households!$F$5:$F$154,MATCH(C173,Households!$A$5:$A$154,0)),"Yes","No – before latest assessment"),"")</f>
        <v>Yes</v>
      </c>
    </row>
    <row r="174" spans="1:9" x14ac:dyDescent="0.3">
      <c r="A174" s="29" t="s">
        <v>432</v>
      </c>
      <c r="B174" s="30">
        <v>46042</v>
      </c>
      <c r="C174" s="29" t="s">
        <v>431</v>
      </c>
      <c r="D174" s="24" t="str">
        <f>IFERROR(INDEX(Households!$B$5:$B$154,MATCH(C174,Households!$A$5:$A$154,0)),"Not in register")</f>
        <v>Site D – Collective Centre</v>
      </c>
      <c r="E174" s="29" t="s">
        <v>68</v>
      </c>
      <c r="F174" s="29">
        <v>1</v>
      </c>
      <c r="G174" s="29" t="s">
        <v>191</v>
      </c>
      <c r="H174" s="29" t="s">
        <v>182</v>
      </c>
      <c r="I174" s="24" t="str">
        <f>IFERROR(IF(B174&gt;=INDEX(Households!$F$5:$F$154,MATCH(C174,Households!$A$5:$A$154,0)),"Yes","No – before latest assessment"),"")</f>
        <v>Yes</v>
      </c>
    </row>
    <row r="175" spans="1:9" x14ac:dyDescent="0.3">
      <c r="A175" s="29" t="s">
        <v>433</v>
      </c>
      <c r="B175" s="30">
        <v>46043</v>
      </c>
      <c r="C175" s="29" t="s">
        <v>434</v>
      </c>
      <c r="D175" s="24" t="str">
        <f>IFERROR(INDEX(Households!$B$5:$B$154,MATCH(C175,Households!$A$5:$A$154,0)),"Not in register")</f>
        <v>Site A – School Shelter</v>
      </c>
      <c r="E175" s="29" t="s">
        <v>66</v>
      </c>
      <c r="F175" s="29">
        <v>2</v>
      </c>
      <c r="G175" s="29" t="s">
        <v>181</v>
      </c>
      <c r="H175" s="29" t="s">
        <v>182</v>
      </c>
      <c r="I175" s="24" t="str">
        <f>IFERROR(IF(B175&gt;=INDEX(Households!$F$5:$F$154,MATCH(C175,Households!$A$5:$A$154,0)),"Yes","No – before latest assessment"),"")</f>
        <v>Yes</v>
      </c>
    </row>
    <row r="176" spans="1:9" x14ac:dyDescent="0.3">
      <c r="A176" s="29" t="s">
        <v>435</v>
      </c>
      <c r="B176" s="30">
        <v>46043</v>
      </c>
      <c r="C176" s="29" t="s">
        <v>312</v>
      </c>
      <c r="D176" s="24" t="str">
        <f>IFERROR(INDEX(Households!$B$5:$B$154,MATCH(C176,Households!$A$5:$A$154,0)),"Not in register")</f>
        <v>Site A – School Shelter</v>
      </c>
      <c r="E176" s="29" t="s">
        <v>54</v>
      </c>
      <c r="F176" s="29">
        <v>4</v>
      </c>
      <c r="G176" s="29" t="s">
        <v>185</v>
      </c>
      <c r="H176" s="29" t="s">
        <v>182</v>
      </c>
      <c r="I176" s="24" t="str">
        <f>IFERROR(IF(B176&gt;=INDEX(Households!$F$5:$F$154,MATCH(C176,Households!$A$5:$A$154,0)),"Yes","No – before latest assessment"),"")</f>
        <v>Yes</v>
      </c>
    </row>
    <row r="177" spans="1:9" x14ac:dyDescent="0.3">
      <c r="A177" s="29" t="s">
        <v>436</v>
      </c>
      <c r="B177" s="30">
        <v>46043</v>
      </c>
      <c r="C177" s="29" t="s">
        <v>335</v>
      </c>
      <c r="D177" s="24" t="str">
        <f>IFERROR(INDEX(Households!$B$5:$B$154,MATCH(C177,Households!$A$5:$A$154,0)),"Not in register")</f>
        <v>Site A – School Shelter</v>
      </c>
      <c r="E177" s="29" t="s">
        <v>54</v>
      </c>
      <c r="F177" s="29">
        <v>5</v>
      </c>
      <c r="G177" s="29" t="s">
        <v>185</v>
      </c>
      <c r="H177" s="29" t="s">
        <v>182</v>
      </c>
      <c r="I177" s="24" t="str">
        <f>IFERROR(IF(B177&gt;=INDEX(Households!$F$5:$F$154,MATCH(C177,Households!$A$5:$A$154,0)),"Yes","No – before latest assessment"),"")</f>
        <v>Yes</v>
      </c>
    </row>
    <row r="178" spans="1:9" x14ac:dyDescent="0.3">
      <c r="A178" s="29" t="s">
        <v>437</v>
      </c>
      <c r="B178" s="30">
        <v>46043</v>
      </c>
      <c r="C178" s="29" t="s">
        <v>399</v>
      </c>
      <c r="D178" s="24" t="str">
        <f>IFERROR(INDEX(Households!$B$5:$B$154,MATCH(C178,Households!$A$5:$A$154,0)),"Not in register")</f>
        <v>Site B – School Shelter</v>
      </c>
      <c r="E178" s="29" t="s">
        <v>56</v>
      </c>
      <c r="F178" s="29">
        <v>1</v>
      </c>
      <c r="G178" s="29" t="s">
        <v>185</v>
      </c>
      <c r="H178" s="29" t="s">
        <v>182</v>
      </c>
      <c r="I178" s="24" t="str">
        <f>IFERROR(IF(B178&gt;=INDEX(Households!$F$5:$F$154,MATCH(C178,Households!$A$5:$A$154,0)),"Yes","No – before latest assessment"),"")</f>
        <v>Yes</v>
      </c>
    </row>
    <row r="179" spans="1:9" x14ac:dyDescent="0.3">
      <c r="A179" s="29" t="s">
        <v>438</v>
      </c>
      <c r="B179" s="30">
        <v>46043</v>
      </c>
      <c r="C179" s="29" t="s">
        <v>373</v>
      </c>
      <c r="D179" s="24" t="str">
        <f>IFERROR(INDEX(Households!$B$5:$B$154,MATCH(C179,Households!$A$5:$A$154,0)),"Not in register")</f>
        <v>Site B – School Shelter</v>
      </c>
      <c r="E179" s="29" t="s">
        <v>54</v>
      </c>
      <c r="F179" s="29">
        <v>3</v>
      </c>
      <c r="G179" s="29" t="s">
        <v>185</v>
      </c>
      <c r="H179" s="29" t="s">
        <v>182</v>
      </c>
      <c r="I179" s="24" t="str">
        <f>IFERROR(IF(B179&gt;=INDEX(Households!$F$5:$F$154,MATCH(C179,Households!$A$5:$A$154,0)),"Yes","No – before latest assessment"),"")</f>
        <v>Yes</v>
      </c>
    </row>
    <row r="180" spans="1:9" x14ac:dyDescent="0.3">
      <c r="A180" s="29" t="s">
        <v>439</v>
      </c>
      <c r="B180" s="30">
        <v>46043</v>
      </c>
      <c r="C180" s="29" t="s">
        <v>426</v>
      </c>
      <c r="D180" s="24" t="str">
        <f>IFERROR(INDEX(Households!$B$5:$B$154,MATCH(C180,Households!$A$5:$A$154,0)),"Not in register")</f>
        <v>Site C – Informal Tent Area</v>
      </c>
      <c r="E180" s="29" t="s">
        <v>66</v>
      </c>
      <c r="F180" s="29">
        <v>4</v>
      </c>
      <c r="G180" s="29" t="s">
        <v>181</v>
      </c>
      <c r="H180" s="29" t="s">
        <v>182</v>
      </c>
      <c r="I180" s="24" t="str">
        <f>IFERROR(IF(B180&gt;=INDEX(Households!$F$5:$F$154,MATCH(C180,Households!$A$5:$A$154,0)),"Yes","No – before latest assessment"),"")</f>
        <v>Yes</v>
      </c>
    </row>
    <row r="181" spans="1:9" x14ac:dyDescent="0.3">
      <c r="A181" s="29" t="s">
        <v>440</v>
      </c>
      <c r="B181" s="30">
        <v>46043</v>
      </c>
      <c r="C181" s="29" t="s">
        <v>299</v>
      </c>
      <c r="D181" s="24" t="str">
        <f>IFERROR(INDEX(Households!$B$5:$B$154,MATCH(C181,Households!$A$5:$A$154,0)),"Not in register")</f>
        <v>Site C – Informal Tent Area</v>
      </c>
      <c r="E181" s="29" t="s">
        <v>56</v>
      </c>
      <c r="F181" s="29">
        <v>4</v>
      </c>
      <c r="G181" s="29" t="s">
        <v>185</v>
      </c>
      <c r="H181" s="29" t="s">
        <v>182</v>
      </c>
      <c r="I181" s="24" t="str">
        <f>IFERROR(IF(B181&gt;=INDEX(Households!$F$5:$F$154,MATCH(C181,Households!$A$5:$A$154,0)),"Yes","No – before latest assessment"),"")</f>
        <v>No – before latest assessment</v>
      </c>
    </row>
    <row r="182" spans="1:9" x14ac:dyDescent="0.3">
      <c r="A182" s="29" t="s">
        <v>441</v>
      </c>
      <c r="B182" s="30">
        <v>46043</v>
      </c>
      <c r="C182" s="29" t="s">
        <v>442</v>
      </c>
      <c r="D182" s="24" t="str">
        <f>IFERROR(INDEX(Households!$B$5:$B$154,MATCH(C182,Households!$A$5:$A$154,0)),"Not in register")</f>
        <v>Site D – Collective Centre</v>
      </c>
      <c r="E182" s="29" t="s">
        <v>68</v>
      </c>
      <c r="F182" s="29">
        <v>1</v>
      </c>
      <c r="G182" s="29" t="s">
        <v>191</v>
      </c>
      <c r="H182" s="29" t="s">
        <v>182</v>
      </c>
      <c r="I182" s="24" t="str">
        <f>IFERROR(IF(B182&gt;=INDEX(Households!$F$5:$F$154,MATCH(C182,Households!$A$5:$A$154,0)),"Yes","No – before latest assessment"),"")</f>
        <v>Yes</v>
      </c>
    </row>
    <row r="183" spans="1:9" x14ac:dyDescent="0.3">
      <c r="A183" s="29" t="s">
        <v>443</v>
      </c>
      <c r="B183" s="30">
        <v>46044</v>
      </c>
      <c r="C183" s="29" t="s">
        <v>444</v>
      </c>
      <c r="D183" s="24" t="str">
        <f>IFERROR(INDEX(Households!$B$5:$B$154,MATCH(C183,Households!$A$5:$A$154,0)),"Not in register")</f>
        <v>Site A – School Shelter</v>
      </c>
      <c r="E183" s="29" t="s">
        <v>68</v>
      </c>
      <c r="F183" s="29">
        <v>1</v>
      </c>
      <c r="G183" s="29" t="s">
        <v>191</v>
      </c>
      <c r="H183" s="29" t="s">
        <v>182</v>
      </c>
      <c r="I183" s="24" t="str">
        <f>IFERROR(IF(B183&gt;=INDEX(Households!$F$5:$F$154,MATCH(C183,Households!$A$5:$A$154,0)),"Yes","No – before latest assessment"),"")</f>
        <v>Yes</v>
      </c>
    </row>
    <row r="184" spans="1:9" x14ac:dyDescent="0.3">
      <c r="A184" s="29" t="s">
        <v>445</v>
      </c>
      <c r="B184" s="30">
        <v>46044</v>
      </c>
      <c r="C184" s="29" t="s">
        <v>269</v>
      </c>
      <c r="D184" s="24" t="str">
        <f>IFERROR(INDEX(Households!$B$5:$B$154,MATCH(C184,Households!$A$5:$A$154,0)),"Not in register")</f>
        <v>Site A – School Shelter</v>
      </c>
      <c r="E184" s="29" t="s">
        <v>68</v>
      </c>
      <c r="F184" s="29">
        <v>1</v>
      </c>
      <c r="G184" s="29" t="s">
        <v>191</v>
      </c>
      <c r="H184" s="29" t="s">
        <v>182</v>
      </c>
      <c r="I184" s="24" t="str">
        <f>IFERROR(IF(B184&gt;=INDEX(Households!$F$5:$F$154,MATCH(C184,Households!$A$5:$A$154,0)),"Yes","No – before latest assessment"),"")</f>
        <v>Yes</v>
      </c>
    </row>
    <row r="185" spans="1:9" x14ac:dyDescent="0.3">
      <c r="A185" s="29" t="s">
        <v>446</v>
      </c>
      <c r="B185" s="30">
        <v>46044</v>
      </c>
      <c r="C185" s="29" t="s">
        <v>396</v>
      </c>
      <c r="D185" s="24" t="str">
        <f>IFERROR(INDEX(Households!$B$5:$B$154,MATCH(C185,Households!$A$5:$A$154,0)),"Not in register")</f>
        <v>Site A – School Shelter</v>
      </c>
      <c r="E185" s="29" t="s">
        <v>63</v>
      </c>
      <c r="F185" s="29">
        <v>1</v>
      </c>
      <c r="G185" s="29" t="s">
        <v>189</v>
      </c>
      <c r="H185" s="29" t="s">
        <v>182</v>
      </c>
      <c r="I185" s="24" t="str">
        <f>IFERROR(IF(B185&gt;=INDEX(Households!$F$5:$F$154,MATCH(C185,Households!$A$5:$A$154,0)),"Yes","No – before latest assessment"),"")</f>
        <v>Yes</v>
      </c>
    </row>
    <row r="186" spans="1:9" x14ac:dyDescent="0.3">
      <c r="A186" s="29" t="s">
        <v>447</v>
      </c>
      <c r="B186" s="30">
        <v>46044</v>
      </c>
      <c r="C186" s="29" t="s">
        <v>448</v>
      </c>
      <c r="D186" s="24" t="str">
        <f>IFERROR(INDEX(Households!$B$5:$B$154,MATCH(C186,Households!$A$5:$A$154,0)),"Not in register")</f>
        <v>Site A – School Shelter</v>
      </c>
      <c r="E186" s="29" t="s">
        <v>61</v>
      </c>
      <c r="F186" s="29">
        <v>1</v>
      </c>
      <c r="G186" s="29" t="s">
        <v>351</v>
      </c>
      <c r="H186" s="29" t="s">
        <v>182</v>
      </c>
      <c r="I186" s="24" t="str">
        <f>IFERROR(IF(B186&gt;=INDEX(Households!$F$5:$F$154,MATCH(C186,Households!$A$5:$A$154,0)),"Yes","No – before latest assessment"),"")</f>
        <v>Yes</v>
      </c>
    </row>
    <row r="187" spans="1:9" x14ac:dyDescent="0.3">
      <c r="A187" s="29" t="s">
        <v>449</v>
      </c>
      <c r="B187" s="30">
        <v>46044</v>
      </c>
      <c r="C187" s="29" t="s">
        <v>232</v>
      </c>
      <c r="D187" s="24" t="str">
        <f>IFERROR(INDEX(Households!$B$5:$B$154,MATCH(C187,Households!$A$5:$A$154,0)),"Not in register")</f>
        <v>Site A – School Shelter</v>
      </c>
      <c r="E187" s="29" t="s">
        <v>54</v>
      </c>
      <c r="F187" s="29">
        <v>2</v>
      </c>
      <c r="G187" s="29" t="s">
        <v>185</v>
      </c>
      <c r="H187" s="29" t="s">
        <v>182</v>
      </c>
      <c r="I187" s="24" t="str">
        <f>IFERROR(IF(B187&gt;=INDEX(Households!$F$5:$F$154,MATCH(C187,Households!$A$5:$A$154,0)),"Yes","No – before latest assessment"),"")</f>
        <v>Yes</v>
      </c>
    </row>
    <row r="188" spans="1:9" x14ac:dyDescent="0.3">
      <c r="A188" s="29" t="s">
        <v>450</v>
      </c>
      <c r="B188" s="30">
        <v>46044</v>
      </c>
      <c r="C188" s="29" t="s">
        <v>285</v>
      </c>
      <c r="D188" s="24" t="str">
        <f>IFERROR(INDEX(Households!$B$5:$B$154,MATCH(C188,Households!$A$5:$A$154,0)),"Not in register")</f>
        <v>Site B – School Shelter</v>
      </c>
      <c r="E188" s="29" t="s">
        <v>68</v>
      </c>
      <c r="F188" s="29">
        <v>1</v>
      </c>
      <c r="G188" s="29" t="s">
        <v>191</v>
      </c>
      <c r="H188" s="29" t="s">
        <v>182</v>
      </c>
      <c r="I188" s="24" t="str">
        <f>IFERROR(IF(B188&gt;=INDEX(Households!$F$5:$F$154,MATCH(C188,Households!$A$5:$A$154,0)),"Yes","No – before latest assessment"),"")</f>
        <v>Yes</v>
      </c>
    </row>
    <row r="189" spans="1:9" x14ac:dyDescent="0.3">
      <c r="A189" s="29" t="s">
        <v>451</v>
      </c>
      <c r="B189" s="30">
        <v>46044</v>
      </c>
      <c r="C189" s="29" t="s">
        <v>452</v>
      </c>
      <c r="D189" s="24" t="str">
        <f>IFERROR(INDEX(Households!$B$5:$B$154,MATCH(C189,Households!$A$5:$A$154,0)),"Not in register")</f>
        <v>Site B – School Shelter</v>
      </c>
      <c r="E189" s="29" t="s">
        <v>68</v>
      </c>
      <c r="F189" s="29">
        <v>1</v>
      </c>
      <c r="G189" s="29" t="s">
        <v>191</v>
      </c>
      <c r="H189" s="29" t="s">
        <v>182</v>
      </c>
      <c r="I189" s="24" t="str">
        <f>IFERROR(IF(B189&gt;=INDEX(Households!$F$5:$F$154,MATCH(C189,Households!$A$5:$A$154,0)),"Yes","No – before latest assessment"),"")</f>
        <v>Yes</v>
      </c>
    </row>
    <row r="190" spans="1:9" x14ac:dyDescent="0.3">
      <c r="A190" s="29" t="s">
        <v>453</v>
      </c>
      <c r="B190" s="30">
        <v>46044</v>
      </c>
      <c r="C190" s="29" t="s">
        <v>454</v>
      </c>
      <c r="D190" s="24" t="str">
        <f>IFERROR(INDEX(Households!$B$5:$B$154,MATCH(C190,Households!$A$5:$A$154,0)),"Not in register")</f>
        <v>Site B – School Shelter</v>
      </c>
      <c r="E190" s="29" t="s">
        <v>70</v>
      </c>
      <c r="F190" s="29">
        <v>2</v>
      </c>
      <c r="G190" s="29" t="s">
        <v>191</v>
      </c>
      <c r="H190" s="29" t="s">
        <v>182</v>
      </c>
      <c r="I190" s="24" t="str">
        <f>IFERROR(IF(B190&gt;=INDEX(Households!$F$5:$F$154,MATCH(C190,Households!$A$5:$A$154,0)),"Yes","No – before latest assessment"),"")</f>
        <v>Yes</v>
      </c>
    </row>
    <row r="191" spans="1:9" x14ac:dyDescent="0.3">
      <c r="A191" s="29" t="s">
        <v>455</v>
      </c>
      <c r="B191" s="30">
        <v>46044</v>
      </c>
      <c r="C191" s="29" t="s">
        <v>456</v>
      </c>
      <c r="D191" s="24" t="str">
        <f>IFERROR(INDEX(Households!$B$5:$B$154,MATCH(C191,Households!$A$5:$A$154,0)),"Not in register")</f>
        <v>Site B – School Shelter</v>
      </c>
      <c r="E191" s="29" t="s">
        <v>70</v>
      </c>
      <c r="F191" s="29">
        <v>1</v>
      </c>
      <c r="G191" s="29" t="s">
        <v>191</v>
      </c>
      <c r="H191" s="29" t="s">
        <v>182</v>
      </c>
      <c r="I191" s="24" t="str">
        <f>IFERROR(IF(B191&gt;=INDEX(Households!$F$5:$F$154,MATCH(C191,Households!$A$5:$A$154,0)),"Yes","No – before latest assessment"),"")</f>
        <v>Yes</v>
      </c>
    </row>
    <row r="192" spans="1:9" x14ac:dyDescent="0.3">
      <c r="A192" s="29" t="s">
        <v>457</v>
      </c>
      <c r="B192" s="30">
        <v>46044</v>
      </c>
      <c r="C192" s="29" t="s">
        <v>376</v>
      </c>
      <c r="D192" s="24" t="str">
        <f>IFERROR(INDEX(Households!$B$5:$B$154,MATCH(C192,Households!$A$5:$A$154,0)),"Not in register")</f>
        <v>Site C – Informal Tent Area</v>
      </c>
      <c r="E192" s="29" t="s">
        <v>56</v>
      </c>
      <c r="F192" s="29">
        <v>1</v>
      </c>
      <c r="G192" s="29" t="s">
        <v>185</v>
      </c>
      <c r="H192" s="29" t="s">
        <v>182</v>
      </c>
      <c r="I192" s="24" t="str">
        <f>IFERROR(IF(B192&gt;=INDEX(Households!$F$5:$F$154,MATCH(C192,Households!$A$5:$A$154,0)),"Yes","No – before latest assessment"),"")</f>
        <v>Yes</v>
      </c>
    </row>
    <row r="193" spans="1:9" x14ac:dyDescent="0.3">
      <c r="A193" s="29" t="s">
        <v>458</v>
      </c>
      <c r="B193" s="30">
        <v>46044</v>
      </c>
      <c r="C193" s="29" t="s">
        <v>367</v>
      </c>
      <c r="D193" s="24" t="str">
        <f>IFERROR(INDEX(Households!$B$5:$B$154,MATCH(C193,Households!$A$5:$A$154,0)),"Not in register")</f>
        <v>Site C – Informal Tent Area</v>
      </c>
      <c r="E193" s="29" t="s">
        <v>68</v>
      </c>
      <c r="F193" s="29">
        <v>1</v>
      </c>
      <c r="G193" s="29" t="s">
        <v>191</v>
      </c>
      <c r="H193" s="29" t="s">
        <v>182</v>
      </c>
      <c r="I193" s="24" t="str">
        <f>IFERROR(IF(B193&gt;=INDEX(Households!$F$5:$F$154,MATCH(C193,Households!$A$5:$A$154,0)),"Yes","No – before latest assessment"),"")</f>
        <v>Yes</v>
      </c>
    </row>
    <row r="194" spans="1:9" x14ac:dyDescent="0.3">
      <c r="A194" s="29" t="s">
        <v>459</v>
      </c>
      <c r="B194" s="30">
        <v>46044</v>
      </c>
      <c r="C194" s="29" t="s">
        <v>460</v>
      </c>
      <c r="D194" s="24" t="str">
        <f>IFERROR(INDEX(Households!$B$5:$B$154,MATCH(C194,Households!$A$5:$A$154,0)),"Not in register")</f>
        <v>Site D – Collective Centre</v>
      </c>
      <c r="E194" s="29" t="s">
        <v>54</v>
      </c>
      <c r="F194" s="29">
        <v>4</v>
      </c>
      <c r="G194" s="29" t="s">
        <v>185</v>
      </c>
      <c r="H194" s="29" t="s">
        <v>327</v>
      </c>
      <c r="I194" s="24" t="str">
        <f>IFERROR(IF(B194&gt;=INDEX(Households!$F$5:$F$154,MATCH(C194,Households!$A$5:$A$154,0)),"Yes","No – before latest assessment"),"")</f>
        <v>Yes</v>
      </c>
    </row>
    <row r="195" spans="1:9" x14ac:dyDescent="0.3">
      <c r="A195" s="29" t="s">
        <v>461</v>
      </c>
      <c r="B195" s="30">
        <v>46044</v>
      </c>
      <c r="C195" s="29" t="s">
        <v>322</v>
      </c>
      <c r="D195" s="24" t="str">
        <f>IFERROR(INDEX(Households!$B$5:$B$154,MATCH(C195,Households!$A$5:$A$154,0)),"Not in register")</f>
        <v>Site D – Collective Centre</v>
      </c>
      <c r="E195" s="29" t="s">
        <v>54</v>
      </c>
      <c r="F195" s="29">
        <v>2</v>
      </c>
      <c r="G195" s="29" t="s">
        <v>185</v>
      </c>
      <c r="H195" s="29" t="s">
        <v>182</v>
      </c>
      <c r="I195" s="24" t="str">
        <f>IFERROR(IF(B195&gt;=INDEX(Households!$F$5:$F$154,MATCH(C195,Households!$A$5:$A$154,0)),"Yes","No – before latest assessment"),"")</f>
        <v>Yes</v>
      </c>
    </row>
    <row r="196" spans="1:9" x14ac:dyDescent="0.3">
      <c r="A196" s="29" t="s">
        <v>462</v>
      </c>
      <c r="B196" s="30">
        <v>46044</v>
      </c>
      <c r="C196" s="29" t="s">
        <v>249</v>
      </c>
      <c r="D196" s="24" t="str">
        <f>IFERROR(INDEX(Households!$B$5:$B$154,MATCH(C196,Households!$A$5:$A$154,0)),"Not in register")</f>
        <v>Site D – Collective Centre</v>
      </c>
      <c r="E196" s="29" t="s">
        <v>68</v>
      </c>
      <c r="F196" s="29">
        <v>1</v>
      </c>
      <c r="G196" s="29" t="s">
        <v>191</v>
      </c>
      <c r="H196" s="29" t="s">
        <v>182</v>
      </c>
      <c r="I196" s="24" t="str">
        <f>IFERROR(IF(B196&gt;=INDEX(Households!$F$5:$F$154,MATCH(C196,Households!$A$5:$A$154,0)),"Yes","No – before latest assessment"),"")</f>
        <v>Yes</v>
      </c>
    </row>
    <row r="197" spans="1:9" x14ac:dyDescent="0.3">
      <c r="A197" s="29" t="s">
        <v>463</v>
      </c>
      <c r="B197" s="30">
        <v>46045</v>
      </c>
      <c r="C197" s="29" t="s">
        <v>180</v>
      </c>
      <c r="D197" s="24" t="str">
        <f>IFERROR(INDEX(Households!$B$5:$B$154,MATCH(C197,Households!$A$5:$A$154,0)),"Not in register")</f>
        <v>Site A – School Shelter</v>
      </c>
      <c r="E197" s="29" t="s">
        <v>63</v>
      </c>
      <c r="F197" s="29">
        <v>4</v>
      </c>
      <c r="G197" s="29" t="s">
        <v>189</v>
      </c>
      <c r="H197" s="29" t="s">
        <v>182</v>
      </c>
      <c r="I197" s="24" t="str">
        <f>IFERROR(IF(B197&gt;=INDEX(Households!$F$5:$F$154,MATCH(C197,Households!$A$5:$A$154,0)),"Yes","No – before latest assessment"),"")</f>
        <v>Yes</v>
      </c>
    </row>
    <row r="198" spans="1:9" x14ac:dyDescent="0.3">
      <c r="A198" s="29" t="s">
        <v>464</v>
      </c>
      <c r="B198" s="30">
        <v>46045</v>
      </c>
      <c r="C198" s="29" t="s">
        <v>385</v>
      </c>
      <c r="D198" s="24" t="str">
        <f>IFERROR(INDEX(Households!$B$5:$B$154,MATCH(C198,Households!$A$5:$A$154,0)),"Not in register")</f>
        <v>Site A – School Shelter</v>
      </c>
      <c r="E198" s="29" t="s">
        <v>54</v>
      </c>
      <c r="F198" s="29">
        <v>3</v>
      </c>
      <c r="G198" s="29" t="s">
        <v>185</v>
      </c>
      <c r="H198" s="29" t="s">
        <v>182</v>
      </c>
      <c r="I198" s="24" t="str">
        <f>IFERROR(IF(B198&gt;=INDEX(Households!$F$5:$F$154,MATCH(C198,Households!$A$5:$A$154,0)),"Yes","No – before latest assessment"),"")</f>
        <v>Yes</v>
      </c>
    </row>
    <row r="199" spans="1:9" x14ac:dyDescent="0.3">
      <c r="A199" s="29" t="s">
        <v>465</v>
      </c>
      <c r="B199" s="30">
        <v>46045</v>
      </c>
      <c r="C199" s="29" t="s">
        <v>466</v>
      </c>
      <c r="D199" s="24" t="str">
        <f>IFERROR(INDEX(Households!$B$5:$B$154,MATCH(C199,Households!$A$5:$A$154,0)),"Not in register")</f>
        <v>Site A – School Shelter</v>
      </c>
      <c r="E199" s="29" t="s">
        <v>56</v>
      </c>
      <c r="F199" s="29">
        <v>1</v>
      </c>
      <c r="G199" s="29" t="s">
        <v>185</v>
      </c>
      <c r="H199" s="29" t="s">
        <v>182</v>
      </c>
      <c r="I199" s="24" t="str">
        <f>IFERROR(IF(B199&gt;=INDEX(Households!$F$5:$F$154,MATCH(C199,Households!$A$5:$A$154,0)),"Yes","No – before latest assessment"),"")</f>
        <v>Yes</v>
      </c>
    </row>
    <row r="200" spans="1:9" x14ac:dyDescent="0.3">
      <c r="A200" s="29" t="s">
        <v>467</v>
      </c>
      <c r="B200" s="30">
        <v>46045</v>
      </c>
      <c r="C200" s="29" t="s">
        <v>326</v>
      </c>
      <c r="D200" s="24" t="str">
        <f>IFERROR(INDEX(Households!$B$5:$B$154,MATCH(C200,Households!$A$5:$A$154,0)),"Not in register")</f>
        <v>Site B – School Shelter</v>
      </c>
      <c r="E200" s="29" t="s">
        <v>54</v>
      </c>
      <c r="F200" s="29">
        <v>2</v>
      </c>
      <c r="G200" s="29" t="s">
        <v>185</v>
      </c>
      <c r="H200" s="29" t="s">
        <v>182</v>
      </c>
      <c r="I200" s="24" t="str">
        <f>IFERROR(IF(B200&gt;=INDEX(Households!$F$5:$F$154,MATCH(C200,Households!$A$5:$A$154,0)),"Yes","No – before latest assessment"),"")</f>
        <v>Yes</v>
      </c>
    </row>
    <row r="201" spans="1:9" x14ac:dyDescent="0.3">
      <c r="A201" s="29" t="s">
        <v>468</v>
      </c>
      <c r="B201" s="30">
        <v>46045</v>
      </c>
      <c r="C201" s="29" t="s">
        <v>469</v>
      </c>
      <c r="D201" s="24" t="str">
        <f>IFERROR(INDEX(Households!$B$5:$B$154,MATCH(C201,Households!$A$5:$A$154,0)),"Not in register")</f>
        <v>Site B – School Shelter</v>
      </c>
      <c r="E201" s="29" t="s">
        <v>68</v>
      </c>
      <c r="F201" s="29">
        <v>1</v>
      </c>
      <c r="G201" s="29" t="s">
        <v>191</v>
      </c>
      <c r="H201" s="29" t="s">
        <v>182</v>
      </c>
      <c r="I201" s="24" t="str">
        <f>IFERROR(IF(B201&gt;=INDEX(Households!$F$5:$F$154,MATCH(C201,Households!$A$5:$A$154,0)),"Yes","No – before latest assessment"),"")</f>
        <v>Yes</v>
      </c>
    </row>
    <row r="202" spans="1:9" x14ac:dyDescent="0.3">
      <c r="A202" s="29" t="s">
        <v>470</v>
      </c>
      <c r="B202" s="30">
        <v>46045</v>
      </c>
      <c r="C202" s="29" t="s">
        <v>424</v>
      </c>
      <c r="D202" s="24" t="str">
        <f>IFERROR(INDEX(Households!$B$5:$B$154,MATCH(C202,Households!$A$5:$A$154,0)),"Not in register")</f>
        <v>Site C – Informal Tent Area</v>
      </c>
      <c r="E202" s="29" t="s">
        <v>56</v>
      </c>
      <c r="F202" s="29">
        <v>1</v>
      </c>
      <c r="G202" s="29" t="s">
        <v>185</v>
      </c>
      <c r="H202" s="29" t="s">
        <v>182</v>
      </c>
      <c r="I202" s="24" t="str">
        <f>IFERROR(IF(B202&gt;=INDEX(Households!$F$5:$F$154,MATCH(C202,Households!$A$5:$A$154,0)),"Yes","No – before latest assessment"),"")</f>
        <v>Yes</v>
      </c>
    </row>
    <row r="203" spans="1:9" x14ac:dyDescent="0.3">
      <c r="A203" s="29" t="s">
        <v>471</v>
      </c>
      <c r="B203" s="30">
        <v>46045</v>
      </c>
      <c r="C203" s="29" t="s">
        <v>407</v>
      </c>
      <c r="D203" s="24" t="str">
        <f>IFERROR(INDEX(Households!$B$5:$B$154,MATCH(C203,Households!$A$5:$A$154,0)),"Not in register")</f>
        <v>Site C – Informal Tent Area</v>
      </c>
      <c r="E203" s="29" t="s">
        <v>66</v>
      </c>
      <c r="F203" s="29">
        <v>3</v>
      </c>
      <c r="G203" s="29" t="s">
        <v>189</v>
      </c>
      <c r="H203" s="29" t="s">
        <v>182</v>
      </c>
      <c r="I203" s="24" t="str">
        <f>IFERROR(IF(B203&gt;=INDEX(Households!$F$5:$F$154,MATCH(C203,Households!$A$5:$A$154,0)),"Yes","No – before latest assessment"),"")</f>
        <v>Yes</v>
      </c>
    </row>
    <row r="204" spans="1:9" x14ac:dyDescent="0.3">
      <c r="A204" s="29" t="s">
        <v>472</v>
      </c>
      <c r="B204" s="30">
        <v>46045</v>
      </c>
      <c r="C204" s="29" t="s">
        <v>473</v>
      </c>
      <c r="D204" s="24" t="str">
        <f>IFERROR(INDEX(Households!$B$5:$B$154,MATCH(C204,Households!$A$5:$A$154,0)),"Not in register")</f>
        <v>Site C – Informal Tent Area</v>
      </c>
      <c r="E204" s="29" t="s">
        <v>54</v>
      </c>
      <c r="F204" s="29">
        <v>6</v>
      </c>
      <c r="G204" s="29" t="s">
        <v>185</v>
      </c>
      <c r="H204" s="29" t="s">
        <v>182</v>
      </c>
      <c r="I204" s="24" t="str">
        <f>IFERROR(IF(B204&gt;=INDEX(Households!$F$5:$F$154,MATCH(C204,Households!$A$5:$A$154,0)),"Yes","No – before latest assessment"),"")</f>
        <v>Yes</v>
      </c>
    </row>
    <row r="205" spans="1:9" x14ac:dyDescent="0.3">
      <c r="A205" s="29" t="s">
        <v>474</v>
      </c>
      <c r="B205" s="30">
        <v>46045</v>
      </c>
      <c r="C205" s="29" t="s">
        <v>340</v>
      </c>
      <c r="D205" s="24" t="str">
        <f>IFERROR(INDEX(Households!$B$5:$B$154,MATCH(C205,Households!$A$5:$A$154,0)),"Not in register")</f>
        <v>Site C – Informal Tent Area</v>
      </c>
      <c r="E205" s="29" t="s">
        <v>68</v>
      </c>
      <c r="F205" s="29">
        <v>1</v>
      </c>
      <c r="G205" s="29" t="s">
        <v>191</v>
      </c>
      <c r="H205" s="29" t="s">
        <v>182</v>
      </c>
      <c r="I205" s="24" t="str">
        <f>IFERROR(IF(B205&gt;=INDEX(Households!$F$5:$F$154,MATCH(C205,Households!$A$5:$A$154,0)),"Yes","No – before latest assessment"),"")</f>
        <v>Yes</v>
      </c>
    </row>
    <row r="206" spans="1:9" x14ac:dyDescent="0.3">
      <c r="A206" s="29" t="s">
        <v>475</v>
      </c>
      <c r="B206" s="30">
        <v>46046</v>
      </c>
      <c r="C206" s="29" t="s">
        <v>295</v>
      </c>
      <c r="D206" s="24" t="str">
        <f>IFERROR(INDEX(Households!$B$5:$B$154,MATCH(C206,Households!$A$5:$A$154,0)),"Not in register")</f>
        <v>Site A – School Shelter</v>
      </c>
      <c r="E206" s="29" t="s">
        <v>54</v>
      </c>
      <c r="F206" s="29">
        <v>6</v>
      </c>
      <c r="G206" s="29" t="s">
        <v>185</v>
      </c>
      <c r="H206" s="29" t="s">
        <v>182</v>
      </c>
      <c r="I206" s="24" t="str">
        <f>IFERROR(IF(B206&gt;=INDEX(Households!$F$5:$F$154,MATCH(C206,Households!$A$5:$A$154,0)),"Yes","No – before latest assessment"),"")</f>
        <v>Yes</v>
      </c>
    </row>
    <row r="207" spans="1:9" x14ac:dyDescent="0.3">
      <c r="A207" s="29" t="s">
        <v>476</v>
      </c>
      <c r="B207" s="30">
        <v>46046</v>
      </c>
      <c r="C207" s="29" t="s">
        <v>295</v>
      </c>
      <c r="D207" s="24" t="str">
        <f>IFERROR(INDEX(Households!$B$5:$B$154,MATCH(C207,Households!$A$5:$A$154,0)),"Not in register")</f>
        <v>Site A – School Shelter</v>
      </c>
      <c r="E207" s="29" t="s">
        <v>63</v>
      </c>
      <c r="F207" s="29">
        <v>2</v>
      </c>
      <c r="G207" s="29" t="s">
        <v>189</v>
      </c>
      <c r="H207" s="29" t="s">
        <v>182</v>
      </c>
      <c r="I207" s="24" t="str">
        <f>IFERROR(IF(B207&gt;=INDEX(Households!$F$5:$F$154,MATCH(C207,Households!$A$5:$A$154,0)),"Yes","No – before latest assessment"),"")</f>
        <v>Yes</v>
      </c>
    </row>
    <row r="208" spans="1:9" x14ac:dyDescent="0.3">
      <c r="A208" s="29" t="s">
        <v>477</v>
      </c>
      <c r="B208" s="30">
        <v>46046</v>
      </c>
      <c r="C208" s="29" t="s">
        <v>434</v>
      </c>
      <c r="D208" s="24" t="str">
        <f>IFERROR(INDEX(Households!$B$5:$B$154,MATCH(C208,Households!$A$5:$A$154,0)),"Not in register")</f>
        <v>Site A – School Shelter</v>
      </c>
      <c r="E208" s="29" t="s">
        <v>66</v>
      </c>
      <c r="F208" s="29">
        <v>2</v>
      </c>
      <c r="G208" s="29" t="s">
        <v>181</v>
      </c>
      <c r="H208" s="29" t="s">
        <v>182</v>
      </c>
      <c r="I208" s="24" t="str">
        <f>IFERROR(IF(B208&gt;=INDEX(Households!$F$5:$F$154,MATCH(C208,Households!$A$5:$A$154,0)),"Yes","No – before latest assessment"),"")</f>
        <v>Yes</v>
      </c>
    </row>
    <row r="209" spans="1:9" x14ac:dyDescent="0.3">
      <c r="A209" s="29" t="s">
        <v>478</v>
      </c>
      <c r="B209" s="30">
        <v>46046</v>
      </c>
      <c r="C209" s="29" t="s">
        <v>282</v>
      </c>
      <c r="D209" s="24" t="str">
        <f>IFERROR(INDEX(Households!$B$5:$B$154,MATCH(C209,Households!$A$5:$A$154,0)),"Not in register")</f>
        <v>Site A – School Shelter</v>
      </c>
      <c r="E209" s="29" t="s">
        <v>63</v>
      </c>
      <c r="F209" s="29">
        <v>2</v>
      </c>
      <c r="G209" s="29" t="s">
        <v>189</v>
      </c>
      <c r="H209" s="29" t="s">
        <v>182</v>
      </c>
      <c r="I209" s="24" t="str">
        <f>IFERROR(IF(B209&gt;=INDEX(Households!$F$5:$F$154,MATCH(C209,Households!$A$5:$A$154,0)),"Yes","No – before latest assessment"),"")</f>
        <v>Yes</v>
      </c>
    </row>
    <row r="210" spans="1:9" x14ac:dyDescent="0.3">
      <c r="A210" s="29" t="s">
        <v>479</v>
      </c>
      <c r="B210" s="30">
        <v>46046</v>
      </c>
      <c r="C210" s="29" t="s">
        <v>448</v>
      </c>
      <c r="D210" s="24" t="str">
        <f>IFERROR(INDEX(Households!$B$5:$B$154,MATCH(C210,Households!$A$5:$A$154,0)),"Not in register")</f>
        <v>Site A – School Shelter</v>
      </c>
      <c r="E210" s="29" t="s">
        <v>68</v>
      </c>
      <c r="F210" s="29">
        <v>1</v>
      </c>
      <c r="G210" s="29" t="s">
        <v>191</v>
      </c>
      <c r="H210" s="29" t="s">
        <v>182</v>
      </c>
      <c r="I210" s="24" t="str">
        <f>IFERROR(IF(B210&gt;=INDEX(Households!$F$5:$F$154,MATCH(C210,Households!$A$5:$A$154,0)),"Yes","No – before latest assessment"),"")</f>
        <v>Yes</v>
      </c>
    </row>
    <row r="211" spans="1:9" x14ac:dyDescent="0.3">
      <c r="A211" s="29" t="s">
        <v>480</v>
      </c>
      <c r="B211" s="30">
        <v>46046</v>
      </c>
      <c r="C211" s="29" t="s">
        <v>232</v>
      </c>
      <c r="D211" s="24" t="str">
        <f>IFERROR(INDEX(Households!$B$5:$B$154,MATCH(C211,Households!$A$5:$A$154,0)),"Not in register")</f>
        <v>Site A – School Shelter</v>
      </c>
      <c r="E211" s="29" t="s">
        <v>54</v>
      </c>
      <c r="F211" s="29">
        <v>2</v>
      </c>
      <c r="G211" s="29" t="s">
        <v>185</v>
      </c>
      <c r="H211" s="29" t="s">
        <v>182</v>
      </c>
      <c r="I211" s="24" t="str">
        <f>IFERROR(IF(B211&gt;=INDEX(Households!$F$5:$F$154,MATCH(C211,Households!$A$5:$A$154,0)),"Yes","No – before latest assessment"),"")</f>
        <v>Yes</v>
      </c>
    </row>
    <row r="212" spans="1:9" x14ac:dyDescent="0.3">
      <c r="A212" s="29" t="s">
        <v>481</v>
      </c>
      <c r="B212" s="30">
        <v>46046</v>
      </c>
      <c r="C212" s="29" t="s">
        <v>232</v>
      </c>
      <c r="D212" s="24" t="str">
        <f>IFERROR(INDEX(Households!$B$5:$B$154,MATCH(C212,Households!$A$5:$A$154,0)),"Not in register")</f>
        <v>Site A – School Shelter</v>
      </c>
      <c r="E212" s="29" t="s">
        <v>68</v>
      </c>
      <c r="F212" s="29">
        <v>1</v>
      </c>
      <c r="G212" s="29" t="s">
        <v>191</v>
      </c>
      <c r="H212" s="29" t="s">
        <v>182</v>
      </c>
      <c r="I212" s="24" t="str">
        <f>IFERROR(IF(B212&gt;=INDEX(Households!$F$5:$F$154,MATCH(C212,Households!$A$5:$A$154,0)),"Yes","No – before latest assessment"),"")</f>
        <v>Yes</v>
      </c>
    </row>
    <row r="213" spans="1:9" x14ac:dyDescent="0.3">
      <c r="A213" s="29" t="s">
        <v>482</v>
      </c>
      <c r="B213" s="30">
        <v>46046</v>
      </c>
      <c r="C213" s="29" t="s">
        <v>213</v>
      </c>
      <c r="D213" s="24" t="str">
        <f>IFERROR(INDEX(Households!$B$5:$B$154,MATCH(C213,Households!$A$5:$A$154,0)),"Not in register")</f>
        <v>Site A – School Shelter</v>
      </c>
      <c r="E213" s="29" t="s">
        <v>70</v>
      </c>
      <c r="F213" s="29">
        <v>1</v>
      </c>
      <c r="G213" s="29" t="s">
        <v>191</v>
      </c>
      <c r="H213" s="29" t="s">
        <v>182</v>
      </c>
      <c r="I213" s="24" t="str">
        <f>IFERROR(IF(B213&gt;=INDEX(Households!$F$5:$F$154,MATCH(C213,Households!$A$5:$A$154,0)),"Yes","No – before latest assessment"),"")</f>
        <v>Yes</v>
      </c>
    </row>
    <row r="214" spans="1:9" x14ac:dyDescent="0.3">
      <c r="A214" s="29" t="s">
        <v>483</v>
      </c>
      <c r="B214" s="30">
        <v>46046</v>
      </c>
      <c r="C214" s="29" t="s">
        <v>254</v>
      </c>
      <c r="D214" s="24" t="str">
        <f>IFERROR(INDEX(Households!$B$5:$B$154,MATCH(C214,Households!$A$5:$A$154,0)),"Not in register")</f>
        <v>Site A – School Shelter</v>
      </c>
      <c r="E214" s="29" t="s">
        <v>54</v>
      </c>
      <c r="F214" s="29">
        <v>2</v>
      </c>
      <c r="G214" s="29" t="s">
        <v>185</v>
      </c>
      <c r="H214" s="29" t="s">
        <v>182</v>
      </c>
      <c r="I214" s="24" t="str">
        <f>IFERROR(IF(B214&gt;=INDEX(Households!$F$5:$F$154,MATCH(C214,Households!$A$5:$A$154,0)),"Yes","No – before latest assessment"),"")</f>
        <v>Yes</v>
      </c>
    </row>
    <row r="215" spans="1:9" x14ac:dyDescent="0.3">
      <c r="A215" s="29" t="s">
        <v>484</v>
      </c>
      <c r="B215" s="30">
        <v>46046</v>
      </c>
      <c r="C215" s="29" t="s">
        <v>234</v>
      </c>
      <c r="D215" s="24" t="str">
        <f>IFERROR(INDEX(Households!$B$5:$B$154,MATCH(C215,Households!$A$5:$A$154,0)),"Not in register")</f>
        <v>Site B – School Shelter</v>
      </c>
      <c r="E215" s="29" t="s">
        <v>68</v>
      </c>
      <c r="F215" s="29">
        <v>1</v>
      </c>
      <c r="G215" s="29" t="s">
        <v>191</v>
      </c>
      <c r="H215" s="29" t="s">
        <v>182</v>
      </c>
      <c r="I215" s="24" t="str">
        <f>IFERROR(IF(B215&gt;=INDEX(Households!$F$5:$F$154,MATCH(C215,Households!$A$5:$A$154,0)),"Yes","No – before latest assessment"),"")</f>
        <v>Yes</v>
      </c>
    </row>
    <row r="216" spans="1:9" x14ac:dyDescent="0.3">
      <c r="A216" s="29" t="s">
        <v>485</v>
      </c>
      <c r="B216" s="30">
        <v>46046</v>
      </c>
      <c r="C216" s="29" t="s">
        <v>193</v>
      </c>
      <c r="D216" s="24" t="str">
        <f>IFERROR(INDEX(Households!$B$5:$B$154,MATCH(C216,Households!$A$5:$A$154,0)),"Not in register")</f>
        <v>Site B – School Shelter</v>
      </c>
      <c r="E216" s="29" t="s">
        <v>70</v>
      </c>
      <c r="F216" s="29">
        <v>1</v>
      </c>
      <c r="G216" s="29" t="s">
        <v>191</v>
      </c>
      <c r="H216" s="29" t="s">
        <v>327</v>
      </c>
      <c r="I216" s="24" t="str">
        <f>IFERROR(IF(B216&gt;=INDEX(Households!$F$5:$F$154,MATCH(C216,Households!$A$5:$A$154,0)),"Yes","No – before latest assessment"),"")</f>
        <v>Yes</v>
      </c>
    </row>
    <row r="217" spans="1:9" x14ac:dyDescent="0.3">
      <c r="A217" s="29" t="s">
        <v>486</v>
      </c>
      <c r="B217" s="30">
        <v>46046</v>
      </c>
      <c r="C217" s="29" t="s">
        <v>389</v>
      </c>
      <c r="D217" s="24" t="str">
        <f>IFERROR(INDEX(Households!$B$5:$B$154,MATCH(C217,Households!$A$5:$A$154,0)),"Not in register")</f>
        <v>Site B – School Shelter</v>
      </c>
      <c r="E217" s="29" t="s">
        <v>68</v>
      </c>
      <c r="F217" s="29">
        <v>1</v>
      </c>
      <c r="G217" s="29" t="s">
        <v>191</v>
      </c>
      <c r="H217" s="29" t="s">
        <v>182</v>
      </c>
      <c r="I217" s="24" t="str">
        <f>IFERROR(IF(B217&gt;=INDEX(Households!$F$5:$F$154,MATCH(C217,Households!$A$5:$A$154,0)),"Yes","No – before latest assessment"),"")</f>
        <v>Yes</v>
      </c>
    </row>
    <row r="218" spans="1:9" x14ac:dyDescent="0.3">
      <c r="A218" s="29" t="s">
        <v>487</v>
      </c>
      <c r="B218" s="30">
        <v>46046</v>
      </c>
      <c r="C218" s="29" t="s">
        <v>488</v>
      </c>
      <c r="D218" s="24" t="str">
        <f>IFERROR(INDEX(Households!$B$5:$B$154,MATCH(C218,Households!$A$5:$A$154,0)),"Not in register")</f>
        <v>Site B – School Shelter</v>
      </c>
      <c r="E218" s="29" t="s">
        <v>68</v>
      </c>
      <c r="F218" s="29">
        <v>1</v>
      </c>
      <c r="G218" s="29" t="s">
        <v>189</v>
      </c>
      <c r="H218" s="29" t="s">
        <v>182</v>
      </c>
      <c r="I218" s="24" t="str">
        <f>IFERROR(IF(B218&gt;=INDEX(Households!$F$5:$F$154,MATCH(C218,Households!$A$5:$A$154,0)),"Yes","No – before latest assessment"),"")</f>
        <v>Yes</v>
      </c>
    </row>
    <row r="219" spans="1:9" x14ac:dyDescent="0.3">
      <c r="A219" s="29" t="s">
        <v>489</v>
      </c>
      <c r="B219" s="30">
        <v>46046</v>
      </c>
      <c r="C219" s="29" t="s">
        <v>488</v>
      </c>
      <c r="D219" s="24" t="str">
        <f>IFERROR(INDEX(Households!$B$5:$B$154,MATCH(C219,Households!$A$5:$A$154,0)),"Not in register")</f>
        <v>Site B – School Shelter</v>
      </c>
      <c r="E219" s="29" t="s">
        <v>65</v>
      </c>
      <c r="F219" s="29">
        <v>1</v>
      </c>
      <c r="G219" s="29" t="s">
        <v>189</v>
      </c>
      <c r="H219" s="29" t="s">
        <v>182</v>
      </c>
      <c r="I219" s="24" t="str">
        <f>IFERROR(IF(B219&gt;=INDEX(Households!$F$5:$F$154,MATCH(C219,Households!$A$5:$A$154,0)),"Yes","No – before latest assessment"),"")</f>
        <v>Yes</v>
      </c>
    </row>
    <row r="220" spans="1:9" x14ac:dyDescent="0.3">
      <c r="A220" s="29" t="s">
        <v>490</v>
      </c>
      <c r="B220" s="30">
        <v>46046</v>
      </c>
      <c r="C220" s="29" t="s">
        <v>488</v>
      </c>
      <c r="D220" s="24" t="str">
        <f>IFERROR(INDEX(Households!$B$5:$B$154,MATCH(C220,Households!$A$5:$A$154,0)),"Not in register")</f>
        <v>Site B – School Shelter</v>
      </c>
      <c r="E220" s="29" t="s">
        <v>63</v>
      </c>
      <c r="F220" s="29">
        <v>6</v>
      </c>
      <c r="G220" s="29" t="s">
        <v>189</v>
      </c>
      <c r="H220" s="29" t="s">
        <v>182</v>
      </c>
      <c r="I220" s="24" t="str">
        <f>IFERROR(IF(B220&gt;=INDEX(Households!$F$5:$F$154,MATCH(C220,Households!$A$5:$A$154,0)),"Yes","No – before latest assessment"),"")</f>
        <v>Yes</v>
      </c>
    </row>
    <row r="221" spans="1:9" x14ac:dyDescent="0.3">
      <c r="A221" s="29" t="s">
        <v>491</v>
      </c>
      <c r="B221" s="30">
        <v>46046</v>
      </c>
      <c r="C221" s="29" t="s">
        <v>492</v>
      </c>
      <c r="D221" s="24" t="str">
        <f>IFERROR(INDEX(Households!$B$5:$B$154,MATCH(C221,Households!$A$5:$A$154,0)),"Not in register")</f>
        <v>Site B – School Shelter</v>
      </c>
      <c r="E221" s="29" t="s">
        <v>54</v>
      </c>
      <c r="F221" s="29">
        <v>4</v>
      </c>
      <c r="G221" s="29" t="s">
        <v>185</v>
      </c>
      <c r="H221" s="29" t="s">
        <v>182</v>
      </c>
      <c r="I221" s="24" t="str">
        <f>IFERROR(IF(B221&gt;=INDEX(Households!$F$5:$F$154,MATCH(C221,Households!$A$5:$A$154,0)),"Yes","No – before latest assessment"),"")</f>
        <v>Yes</v>
      </c>
    </row>
    <row r="222" spans="1:9" x14ac:dyDescent="0.3">
      <c r="A222" s="29" t="s">
        <v>493</v>
      </c>
      <c r="B222" s="30">
        <v>46046</v>
      </c>
      <c r="C222" s="29" t="s">
        <v>492</v>
      </c>
      <c r="D222" s="24" t="str">
        <f>IFERROR(INDEX(Households!$B$5:$B$154,MATCH(C222,Households!$A$5:$A$154,0)),"Not in register")</f>
        <v>Site B – School Shelter</v>
      </c>
      <c r="E222" s="29" t="s">
        <v>66</v>
      </c>
      <c r="F222" s="29">
        <v>2</v>
      </c>
      <c r="G222" s="29" t="s">
        <v>181</v>
      </c>
      <c r="H222" s="29" t="s">
        <v>182</v>
      </c>
      <c r="I222" s="24" t="str">
        <f>IFERROR(IF(B222&gt;=INDEX(Households!$F$5:$F$154,MATCH(C222,Households!$A$5:$A$154,0)),"Yes","No – before latest assessment"),"")</f>
        <v>Yes</v>
      </c>
    </row>
    <row r="223" spans="1:9" x14ac:dyDescent="0.3">
      <c r="A223" s="29" t="s">
        <v>494</v>
      </c>
      <c r="B223" s="30">
        <v>46046</v>
      </c>
      <c r="C223" s="29" t="s">
        <v>228</v>
      </c>
      <c r="D223" s="24" t="str">
        <f>IFERROR(INDEX(Households!$B$5:$B$154,MATCH(C223,Households!$A$5:$A$154,0)),"Not in register")</f>
        <v>Site B – School Shelter</v>
      </c>
      <c r="E223" s="29" t="s">
        <v>70</v>
      </c>
      <c r="F223" s="29">
        <v>1</v>
      </c>
      <c r="G223" s="29" t="s">
        <v>191</v>
      </c>
      <c r="H223" s="29" t="s">
        <v>182</v>
      </c>
      <c r="I223" s="24" t="str">
        <f>IFERROR(IF(B223&gt;=INDEX(Households!$F$5:$F$154,MATCH(C223,Households!$A$5:$A$154,0)),"Yes","No – before latest assessment"),"")</f>
        <v>No – before latest assessment</v>
      </c>
    </row>
    <row r="224" spans="1:9" x14ac:dyDescent="0.3">
      <c r="A224" s="29" t="s">
        <v>495</v>
      </c>
      <c r="B224" s="30">
        <v>46046</v>
      </c>
      <c r="C224" s="29" t="s">
        <v>363</v>
      </c>
      <c r="D224" s="24" t="str">
        <f>IFERROR(INDEX(Households!$B$5:$B$154,MATCH(C224,Households!$A$5:$A$154,0)),"Not in register")</f>
        <v>Site B – School Shelter</v>
      </c>
      <c r="E224" s="29" t="s">
        <v>63</v>
      </c>
      <c r="F224" s="29">
        <v>3</v>
      </c>
      <c r="G224" s="29" t="s">
        <v>189</v>
      </c>
      <c r="H224" s="29" t="s">
        <v>182</v>
      </c>
      <c r="I224" s="24" t="str">
        <f>IFERROR(IF(B224&gt;=INDEX(Households!$F$5:$F$154,MATCH(C224,Households!$A$5:$A$154,0)),"Yes","No – before latest assessment"),"")</f>
        <v>Yes</v>
      </c>
    </row>
    <row r="225" spans="1:9" x14ac:dyDescent="0.3">
      <c r="A225" s="29" t="s">
        <v>496</v>
      </c>
      <c r="B225" s="30">
        <v>46046</v>
      </c>
      <c r="C225" s="29" t="s">
        <v>421</v>
      </c>
      <c r="D225" s="24" t="str">
        <f>IFERROR(INDEX(Households!$B$5:$B$154,MATCH(C225,Households!$A$5:$A$154,0)),"Not in register")</f>
        <v>Site B – School Shelter</v>
      </c>
      <c r="E225" s="29" t="s">
        <v>63</v>
      </c>
      <c r="F225" s="29">
        <v>1</v>
      </c>
      <c r="G225" s="29" t="s">
        <v>189</v>
      </c>
      <c r="H225" s="29" t="s">
        <v>182</v>
      </c>
      <c r="I225" s="24" t="str">
        <f>IFERROR(IF(B225&gt;=INDEX(Households!$F$5:$F$154,MATCH(C225,Households!$A$5:$A$154,0)),"Yes","No – before latest assessment"),"")</f>
        <v>Yes</v>
      </c>
    </row>
    <row r="226" spans="1:9" x14ac:dyDescent="0.3">
      <c r="A226" s="29" t="s">
        <v>497</v>
      </c>
      <c r="B226" s="30">
        <v>46046</v>
      </c>
      <c r="C226" s="29" t="s">
        <v>272</v>
      </c>
      <c r="D226" s="24" t="str">
        <f>IFERROR(INDEX(Households!$B$5:$B$154,MATCH(C226,Households!$A$5:$A$154,0)),"Not in register")</f>
        <v>Site C – Informal Tent Area</v>
      </c>
      <c r="E226" s="29" t="s">
        <v>54</v>
      </c>
      <c r="F226" s="29">
        <v>3</v>
      </c>
      <c r="G226" s="29" t="s">
        <v>185</v>
      </c>
      <c r="H226" s="29" t="s">
        <v>327</v>
      </c>
      <c r="I226" s="24" t="str">
        <f>IFERROR(IF(B226&gt;=INDEX(Households!$F$5:$F$154,MATCH(C226,Households!$A$5:$A$154,0)),"Yes","No – before latest assessment"),"")</f>
        <v>Yes</v>
      </c>
    </row>
    <row r="227" spans="1:9" x14ac:dyDescent="0.3">
      <c r="A227" s="29" t="s">
        <v>498</v>
      </c>
      <c r="B227" s="30">
        <v>46046</v>
      </c>
      <c r="C227" s="29" t="s">
        <v>407</v>
      </c>
      <c r="D227" s="24" t="str">
        <f>IFERROR(INDEX(Households!$B$5:$B$154,MATCH(C227,Households!$A$5:$A$154,0)),"Not in register")</f>
        <v>Site C – Informal Tent Area</v>
      </c>
      <c r="E227" s="29" t="s">
        <v>61</v>
      </c>
      <c r="F227" s="29">
        <v>1</v>
      </c>
      <c r="G227" s="29" t="s">
        <v>351</v>
      </c>
      <c r="H227" s="29" t="s">
        <v>182</v>
      </c>
      <c r="I227" s="24" t="str">
        <f>IFERROR(IF(B227&gt;=INDEX(Households!$F$5:$F$154,MATCH(C227,Households!$A$5:$A$154,0)),"Yes","No – before latest assessment"),"")</f>
        <v>Yes</v>
      </c>
    </row>
    <row r="228" spans="1:9" x14ac:dyDescent="0.3">
      <c r="A228" s="29" t="s">
        <v>499</v>
      </c>
      <c r="B228" s="30">
        <v>46046</v>
      </c>
      <c r="C228" s="29" t="s">
        <v>378</v>
      </c>
      <c r="D228" s="24" t="str">
        <f>IFERROR(INDEX(Households!$B$5:$B$154,MATCH(C228,Households!$A$5:$A$154,0)),"Not in register")</f>
        <v>Site C – Informal Tent Area</v>
      </c>
      <c r="E228" s="29" t="s">
        <v>54</v>
      </c>
      <c r="F228" s="29">
        <v>9</v>
      </c>
      <c r="G228" s="29" t="s">
        <v>185</v>
      </c>
      <c r="H228" s="29" t="s">
        <v>182</v>
      </c>
      <c r="I228" s="24" t="str">
        <f>IFERROR(IF(B228&gt;=INDEX(Households!$F$5:$F$154,MATCH(C228,Households!$A$5:$A$154,0)),"Yes","No – before latest assessment"),"")</f>
        <v>Yes</v>
      </c>
    </row>
    <row r="229" spans="1:9" x14ac:dyDescent="0.3">
      <c r="A229" s="29" t="s">
        <v>500</v>
      </c>
      <c r="B229" s="30">
        <v>46046</v>
      </c>
      <c r="C229" s="29" t="s">
        <v>303</v>
      </c>
      <c r="D229" s="24" t="str">
        <f>IFERROR(INDEX(Households!$B$5:$B$154,MATCH(C229,Households!$A$5:$A$154,0)),"Not in register")</f>
        <v>Site C – Informal Tent Area</v>
      </c>
      <c r="E229" s="29" t="s">
        <v>54</v>
      </c>
      <c r="F229" s="29">
        <v>8</v>
      </c>
      <c r="G229" s="29" t="s">
        <v>189</v>
      </c>
      <c r="H229" s="29" t="s">
        <v>182</v>
      </c>
      <c r="I229" s="24" t="str">
        <f>IFERROR(IF(B229&gt;=INDEX(Households!$F$5:$F$154,MATCH(C229,Households!$A$5:$A$154,0)),"Yes","No – before latest assessment"),"")</f>
        <v>Yes</v>
      </c>
    </row>
    <row r="230" spans="1:9" x14ac:dyDescent="0.3">
      <c r="A230" s="29" t="s">
        <v>501</v>
      </c>
      <c r="B230" s="30">
        <v>46046</v>
      </c>
      <c r="C230" s="29" t="s">
        <v>319</v>
      </c>
      <c r="D230" s="24" t="str">
        <f>IFERROR(INDEX(Households!$B$5:$B$154,MATCH(C230,Households!$A$5:$A$154,0)),"Not in register")</f>
        <v>Site C – Informal Tent Area</v>
      </c>
      <c r="E230" s="29" t="s">
        <v>61</v>
      </c>
      <c r="F230" s="29">
        <v>1</v>
      </c>
      <c r="G230" s="29" t="s">
        <v>351</v>
      </c>
      <c r="H230" s="29" t="s">
        <v>182</v>
      </c>
      <c r="I230" s="24" t="str">
        <f>IFERROR(IF(B230&gt;=INDEX(Households!$F$5:$F$154,MATCH(C230,Households!$A$5:$A$154,0)),"Yes","No – before latest assessment"),"")</f>
        <v>Yes</v>
      </c>
    </row>
    <row r="231" spans="1:9" x14ac:dyDescent="0.3">
      <c r="A231" s="29" t="s">
        <v>502</v>
      </c>
      <c r="B231" s="30">
        <v>46046</v>
      </c>
      <c r="C231" s="29" t="s">
        <v>503</v>
      </c>
      <c r="D231" s="24" t="str">
        <f>IFERROR(INDEX(Households!$B$5:$B$154,MATCH(C231,Households!$A$5:$A$154,0)),"Not in register")</f>
        <v>Site C – Informal Tent Area</v>
      </c>
      <c r="E231" s="29" t="s">
        <v>56</v>
      </c>
      <c r="F231" s="29">
        <v>1</v>
      </c>
      <c r="G231" s="29" t="s">
        <v>185</v>
      </c>
      <c r="H231" s="29" t="s">
        <v>182</v>
      </c>
      <c r="I231" s="24" t="str">
        <f>IFERROR(IF(B231&gt;=INDEX(Households!$F$5:$F$154,MATCH(C231,Households!$A$5:$A$154,0)),"Yes","No – before latest assessment"),"")</f>
        <v>Yes</v>
      </c>
    </row>
    <row r="232" spans="1:9" x14ac:dyDescent="0.3">
      <c r="A232" s="29" t="s">
        <v>504</v>
      </c>
      <c r="B232" s="30">
        <v>46046</v>
      </c>
      <c r="C232" s="29" t="s">
        <v>503</v>
      </c>
      <c r="D232" s="24" t="str">
        <f>IFERROR(INDEX(Households!$B$5:$B$154,MATCH(C232,Households!$A$5:$A$154,0)),"Not in register")</f>
        <v>Site C – Informal Tent Area</v>
      </c>
      <c r="E232" s="29" t="s">
        <v>63</v>
      </c>
      <c r="F232" s="29">
        <v>2</v>
      </c>
      <c r="G232" s="29" t="s">
        <v>189</v>
      </c>
      <c r="H232" s="29" t="s">
        <v>182</v>
      </c>
      <c r="I232" s="24" t="str">
        <f>IFERROR(IF(B232&gt;=INDEX(Households!$F$5:$F$154,MATCH(C232,Households!$A$5:$A$154,0)),"Yes","No – before latest assessment"),"")</f>
        <v>Yes</v>
      </c>
    </row>
    <row r="233" spans="1:9" x14ac:dyDescent="0.3">
      <c r="A233" s="29" t="s">
        <v>505</v>
      </c>
      <c r="B233" s="30">
        <v>46046</v>
      </c>
      <c r="C233" s="29" t="s">
        <v>369</v>
      </c>
      <c r="D233" s="24" t="str">
        <f>IFERROR(INDEX(Households!$B$5:$B$154,MATCH(C233,Households!$A$5:$A$154,0)),"Not in register")</f>
        <v>Site C – Informal Tent Area</v>
      </c>
      <c r="E233" s="29" t="s">
        <v>70</v>
      </c>
      <c r="F233" s="29">
        <v>1</v>
      </c>
      <c r="G233" s="29" t="s">
        <v>191</v>
      </c>
      <c r="H233" s="29" t="s">
        <v>182</v>
      </c>
      <c r="I233" s="24" t="str">
        <f>IFERROR(IF(B233&gt;=INDEX(Households!$F$5:$F$154,MATCH(C233,Households!$A$5:$A$154,0)),"Yes","No – before latest assessment"),"")</f>
        <v>Yes</v>
      </c>
    </row>
    <row r="234" spans="1:9" x14ac:dyDescent="0.3">
      <c r="A234" s="29" t="s">
        <v>506</v>
      </c>
      <c r="B234" s="30">
        <v>46046</v>
      </c>
      <c r="C234" s="29" t="s">
        <v>507</v>
      </c>
      <c r="D234" s="24" t="str">
        <f>IFERROR(INDEX(Households!$B$5:$B$154,MATCH(C234,Households!$A$5:$A$154,0)),"Not in register")</f>
        <v>Site D – Collective Centre</v>
      </c>
      <c r="E234" s="29" t="s">
        <v>56</v>
      </c>
      <c r="F234" s="29">
        <v>1</v>
      </c>
      <c r="G234" s="29" t="s">
        <v>185</v>
      </c>
      <c r="H234" s="29" t="s">
        <v>182</v>
      </c>
      <c r="I234" s="24" t="str">
        <f>IFERROR(IF(B234&gt;=INDEX(Households!$F$5:$F$154,MATCH(C234,Households!$A$5:$A$154,0)),"Yes","No – before latest assessment"),"")</f>
        <v>Yes</v>
      </c>
    </row>
    <row r="235" spans="1:9" x14ac:dyDescent="0.3">
      <c r="A235" s="29" t="s">
        <v>508</v>
      </c>
      <c r="B235" s="30">
        <v>46046</v>
      </c>
      <c r="C235" s="29" t="s">
        <v>509</v>
      </c>
      <c r="D235" s="24" t="str">
        <f>IFERROR(INDEX(Households!$B$5:$B$154,MATCH(C235,Households!$A$5:$A$154,0)),"Not in register")</f>
        <v>Site D – Collective Centre</v>
      </c>
      <c r="E235" s="29" t="s">
        <v>56</v>
      </c>
      <c r="F235" s="29">
        <v>3</v>
      </c>
      <c r="G235" s="29" t="s">
        <v>185</v>
      </c>
      <c r="H235" s="29" t="s">
        <v>182</v>
      </c>
      <c r="I235" s="24" t="str">
        <f>IFERROR(IF(B235&gt;=INDEX(Households!$F$5:$F$154,MATCH(C235,Households!$A$5:$A$154,0)),"Yes","No – before latest assessment"),"")</f>
        <v>Yes</v>
      </c>
    </row>
    <row r="236" spans="1:9" x14ac:dyDescent="0.3">
      <c r="A236" s="29" t="s">
        <v>510</v>
      </c>
      <c r="B236" s="30">
        <v>46047</v>
      </c>
      <c r="C236" s="29" t="s">
        <v>511</v>
      </c>
      <c r="D236" s="24" t="str">
        <f>IFERROR(INDEX(Households!$B$5:$B$154,MATCH(C236,Households!$A$5:$A$154,0)),"Not in register")</f>
        <v>Site A – School Shelter</v>
      </c>
      <c r="E236" s="29" t="s">
        <v>68</v>
      </c>
      <c r="F236" s="29">
        <v>1</v>
      </c>
      <c r="G236" s="29" t="s">
        <v>191</v>
      </c>
      <c r="H236" s="29" t="s">
        <v>182</v>
      </c>
      <c r="I236" s="24" t="str">
        <f>IFERROR(IF(B236&gt;=INDEX(Households!$F$5:$F$154,MATCH(C236,Households!$A$5:$A$154,0)),"Yes","No – before latest assessment"),"")</f>
        <v>Yes</v>
      </c>
    </row>
    <row r="237" spans="1:9" x14ac:dyDescent="0.3">
      <c r="A237" s="29" t="s">
        <v>512</v>
      </c>
      <c r="B237" s="30">
        <v>46047</v>
      </c>
      <c r="C237" s="29" t="s">
        <v>444</v>
      </c>
      <c r="D237" s="24" t="str">
        <f>IFERROR(INDEX(Households!$B$5:$B$154,MATCH(C237,Households!$A$5:$A$154,0)),"Not in register")</f>
        <v>Site A – School Shelter</v>
      </c>
      <c r="E237" s="29" t="s">
        <v>54</v>
      </c>
      <c r="F237" s="29">
        <v>15</v>
      </c>
      <c r="G237" s="29" t="s">
        <v>185</v>
      </c>
      <c r="H237" s="29" t="s">
        <v>182</v>
      </c>
      <c r="I237" s="24" t="str">
        <f>IFERROR(IF(B237&gt;=INDEX(Households!$F$5:$F$154,MATCH(C237,Households!$A$5:$A$154,0)),"Yes","No – before latest assessment"),"")</f>
        <v>Yes</v>
      </c>
    </row>
    <row r="238" spans="1:9" x14ac:dyDescent="0.3">
      <c r="A238" s="29" t="s">
        <v>513</v>
      </c>
      <c r="B238" s="30">
        <v>46047</v>
      </c>
      <c r="C238" s="29" t="s">
        <v>197</v>
      </c>
      <c r="D238" s="24" t="str">
        <f>IFERROR(INDEX(Households!$B$5:$B$154,MATCH(C238,Households!$A$5:$A$154,0)),"Not in register")</f>
        <v>Site B – School Shelter</v>
      </c>
      <c r="E238" s="29" t="s">
        <v>70</v>
      </c>
      <c r="F238" s="29">
        <v>1</v>
      </c>
      <c r="G238" s="29" t="s">
        <v>191</v>
      </c>
      <c r="H238" s="29" t="s">
        <v>182</v>
      </c>
      <c r="I238" s="24" t="str">
        <f>IFERROR(IF(B238&gt;=INDEX(Households!$F$5:$F$154,MATCH(C238,Households!$A$5:$A$154,0)),"Yes","No – before latest assessment"),"")</f>
        <v>Yes</v>
      </c>
    </row>
    <row r="239" spans="1:9" x14ac:dyDescent="0.3">
      <c r="A239" s="29" t="s">
        <v>514</v>
      </c>
      <c r="B239" s="30">
        <v>46047</v>
      </c>
      <c r="C239" s="29" t="s">
        <v>240</v>
      </c>
      <c r="D239" s="24" t="str">
        <f>IFERROR(INDEX(Households!$B$5:$B$154,MATCH(C239,Households!$A$5:$A$154,0)),"Not in register")</f>
        <v>Site B – School Shelter</v>
      </c>
      <c r="E239" s="29" t="s">
        <v>54</v>
      </c>
      <c r="F239" s="29">
        <v>2</v>
      </c>
      <c r="G239" s="29" t="s">
        <v>185</v>
      </c>
      <c r="H239" s="29" t="s">
        <v>182</v>
      </c>
      <c r="I239" s="24" t="str">
        <f>IFERROR(IF(B239&gt;=INDEX(Households!$F$5:$F$154,MATCH(C239,Households!$A$5:$A$154,0)),"Yes","No – before latest assessment"),"")</f>
        <v>Yes</v>
      </c>
    </row>
    <row r="240" spans="1:9" x14ac:dyDescent="0.3">
      <c r="A240" s="29" t="s">
        <v>515</v>
      </c>
      <c r="B240" s="30">
        <v>46047</v>
      </c>
      <c r="C240" s="29" t="s">
        <v>373</v>
      </c>
      <c r="D240" s="24" t="str">
        <f>IFERROR(INDEX(Households!$B$5:$B$154,MATCH(C240,Households!$A$5:$A$154,0)),"Not in register")</f>
        <v>Site B – School Shelter</v>
      </c>
      <c r="E240" s="29" t="s">
        <v>56</v>
      </c>
      <c r="F240" s="29">
        <v>10</v>
      </c>
      <c r="G240" s="29" t="s">
        <v>185</v>
      </c>
      <c r="H240" s="29" t="s">
        <v>182</v>
      </c>
      <c r="I240" s="24" t="str">
        <f>IFERROR(IF(B240&gt;=INDEX(Households!$F$5:$F$154,MATCH(C240,Households!$A$5:$A$154,0)),"Yes","No – before latest assessment"),"")</f>
        <v>Yes</v>
      </c>
    </row>
    <row r="241" spans="1:9" x14ac:dyDescent="0.3">
      <c r="A241" s="29" t="s">
        <v>516</v>
      </c>
      <c r="B241" s="30">
        <v>46047</v>
      </c>
      <c r="C241" s="29" t="s">
        <v>454</v>
      </c>
      <c r="D241" s="24" t="str">
        <f>IFERROR(INDEX(Households!$B$5:$B$154,MATCH(C241,Households!$A$5:$A$154,0)),"Not in register")</f>
        <v>Site B – School Shelter</v>
      </c>
      <c r="E241" s="29" t="s">
        <v>68</v>
      </c>
      <c r="F241" s="29">
        <v>1</v>
      </c>
      <c r="G241" s="29" t="s">
        <v>189</v>
      </c>
      <c r="H241" s="29" t="s">
        <v>182</v>
      </c>
      <c r="I241" s="24" t="str">
        <f>IFERROR(IF(B241&gt;=INDEX(Households!$F$5:$F$154,MATCH(C241,Households!$A$5:$A$154,0)),"Yes","No – before latest assessment"),"")</f>
        <v>Yes</v>
      </c>
    </row>
    <row r="242" spans="1:9" x14ac:dyDescent="0.3">
      <c r="A242" s="29" t="s">
        <v>517</v>
      </c>
      <c r="B242" s="30">
        <v>46047</v>
      </c>
      <c r="C242" s="29" t="s">
        <v>424</v>
      </c>
      <c r="D242" s="24" t="str">
        <f>IFERROR(INDEX(Households!$B$5:$B$154,MATCH(C242,Households!$A$5:$A$154,0)),"Not in register")</f>
        <v>Site C – Informal Tent Area</v>
      </c>
      <c r="E242" s="29" t="s">
        <v>54</v>
      </c>
      <c r="F242" s="29">
        <v>2</v>
      </c>
      <c r="G242" s="29" t="s">
        <v>185</v>
      </c>
      <c r="H242" s="29" t="s">
        <v>182</v>
      </c>
      <c r="I242" s="24" t="str">
        <f>IFERROR(IF(B242&gt;=INDEX(Households!$F$5:$F$154,MATCH(C242,Households!$A$5:$A$154,0)),"Yes","No – before latest assessment"),"")</f>
        <v>Yes</v>
      </c>
    </row>
    <row r="243" spans="1:9" x14ac:dyDescent="0.3">
      <c r="A243" s="29" t="s">
        <v>518</v>
      </c>
      <c r="B243" s="30">
        <v>46047</v>
      </c>
      <c r="C243" s="29" t="s">
        <v>299</v>
      </c>
      <c r="D243" s="24" t="str">
        <f>IFERROR(INDEX(Households!$B$5:$B$154,MATCH(C243,Households!$A$5:$A$154,0)),"Not in register")</f>
        <v>Site C – Informal Tent Area</v>
      </c>
      <c r="E243" s="29" t="s">
        <v>65</v>
      </c>
      <c r="F243" s="29">
        <v>1</v>
      </c>
      <c r="G243" s="29" t="s">
        <v>189</v>
      </c>
      <c r="H243" s="29" t="s">
        <v>182</v>
      </c>
      <c r="I243" s="24" t="str">
        <f>IFERROR(IF(B243&gt;=INDEX(Households!$F$5:$F$154,MATCH(C243,Households!$A$5:$A$154,0)),"Yes","No – before latest assessment"),"")</f>
        <v>No – before latest assessment</v>
      </c>
    </row>
    <row r="244" spans="1:9" x14ac:dyDescent="0.3">
      <c r="A244" s="29" t="s">
        <v>519</v>
      </c>
      <c r="B244" s="30">
        <v>46047</v>
      </c>
      <c r="C244" s="29" t="s">
        <v>378</v>
      </c>
      <c r="D244" s="24" t="str">
        <f>IFERROR(INDEX(Households!$B$5:$B$154,MATCH(C244,Households!$A$5:$A$154,0)),"Not in register")</f>
        <v>Site C – Informal Tent Area</v>
      </c>
      <c r="E244" s="29" t="s">
        <v>63</v>
      </c>
      <c r="F244" s="29">
        <v>5</v>
      </c>
      <c r="G244" s="29" t="s">
        <v>189</v>
      </c>
      <c r="H244" s="29" t="s">
        <v>182</v>
      </c>
      <c r="I244" s="24" t="str">
        <f>IFERROR(IF(B244&gt;=INDEX(Households!$F$5:$F$154,MATCH(C244,Households!$A$5:$A$154,0)),"Yes","No – before latest assessment"),"")</f>
        <v>Yes</v>
      </c>
    </row>
    <row r="245" spans="1:9" x14ac:dyDescent="0.3">
      <c r="A245" s="29" t="s">
        <v>520</v>
      </c>
      <c r="B245" s="30">
        <v>46047</v>
      </c>
      <c r="C245" s="29" t="s">
        <v>303</v>
      </c>
      <c r="D245" s="24" t="str">
        <f>IFERROR(INDEX(Households!$B$5:$B$154,MATCH(C245,Households!$A$5:$A$154,0)),"Not in register")</f>
        <v>Site C – Informal Tent Area</v>
      </c>
      <c r="E245" s="29" t="s">
        <v>63</v>
      </c>
      <c r="F245" s="29">
        <v>3</v>
      </c>
      <c r="G245" s="29" t="s">
        <v>189</v>
      </c>
      <c r="H245" s="29" t="s">
        <v>182</v>
      </c>
      <c r="I245" s="24" t="str">
        <f>IFERROR(IF(B245&gt;=INDEX(Households!$F$5:$F$154,MATCH(C245,Households!$A$5:$A$154,0)),"Yes","No – before latest assessment"),"")</f>
        <v>Yes</v>
      </c>
    </row>
    <row r="246" spans="1:9" x14ac:dyDescent="0.3">
      <c r="A246" s="29" t="s">
        <v>521</v>
      </c>
      <c r="B246" s="30">
        <v>46047</v>
      </c>
      <c r="C246" s="29" t="s">
        <v>319</v>
      </c>
      <c r="D246" s="24" t="str">
        <f>IFERROR(INDEX(Households!$B$5:$B$154,MATCH(C246,Households!$A$5:$A$154,0)),"Not in register")</f>
        <v>Site C – Informal Tent Area</v>
      </c>
      <c r="E246" s="29" t="s">
        <v>63</v>
      </c>
      <c r="F246" s="29">
        <v>1</v>
      </c>
      <c r="G246" s="29" t="s">
        <v>189</v>
      </c>
      <c r="H246" s="29" t="s">
        <v>182</v>
      </c>
      <c r="I246" s="24" t="str">
        <f>IFERROR(IF(B246&gt;=INDEX(Households!$F$5:$F$154,MATCH(C246,Households!$A$5:$A$154,0)),"Yes","No – before latest assessment"),"")</f>
        <v>Yes</v>
      </c>
    </row>
    <row r="247" spans="1:9" x14ac:dyDescent="0.3">
      <c r="A247" s="29" t="s">
        <v>522</v>
      </c>
      <c r="B247" s="30">
        <v>46047</v>
      </c>
      <c r="C247" s="29" t="s">
        <v>523</v>
      </c>
      <c r="D247" s="24" t="str">
        <f>IFERROR(INDEX(Households!$B$5:$B$154,MATCH(C247,Households!$A$5:$A$154,0)),"Not in register")</f>
        <v>Site C – Informal Tent Area</v>
      </c>
      <c r="E247" s="29" t="s">
        <v>54</v>
      </c>
      <c r="F247" s="29">
        <v>1</v>
      </c>
      <c r="G247" s="29" t="s">
        <v>185</v>
      </c>
      <c r="H247" s="29" t="s">
        <v>182</v>
      </c>
      <c r="I247" s="24" t="str">
        <f>IFERROR(IF(B247&gt;=INDEX(Households!$F$5:$F$154,MATCH(C247,Households!$A$5:$A$154,0)),"Yes","No – before latest assessment"),"")</f>
        <v>Yes</v>
      </c>
    </row>
    <row r="248" spans="1:9" x14ac:dyDescent="0.3">
      <c r="A248" s="29" t="s">
        <v>524</v>
      </c>
      <c r="B248" s="30">
        <v>46047</v>
      </c>
      <c r="C248" s="29" t="s">
        <v>525</v>
      </c>
      <c r="D248" s="24" t="str">
        <f>IFERROR(INDEX(Households!$B$5:$B$154,MATCH(C248,Households!$A$5:$A$154,0)),"Not in register")</f>
        <v>Site D – Collective Centre</v>
      </c>
      <c r="E248" s="29" t="s">
        <v>68</v>
      </c>
      <c r="F248" s="29">
        <v>1</v>
      </c>
      <c r="G248" s="29" t="s">
        <v>191</v>
      </c>
      <c r="H248" s="29" t="s">
        <v>182</v>
      </c>
      <c r="I248" s="24" t="str">
        <f>IFERROR(IF(B248&gt;=INDEX(Households!$F$5:$F$154,MATCH(C248,Households!$A$5:$A$154,0)),"Yes","No – before latest assessment"),"")</f>
        <v>Yes</v>
      </c>
    </row>
    <row r="249" spans="1:9" x14ac:dyDescent="0.3">
      <c r="A249" s="29" t="s">
        <v>526</v>
      </c>
      <c r="B249" s="30">
        <v>46048</v>
      </c>
      <c r="C249" s="29" t="s">
        <v>511</v>
      </c>
      <c r="D249" s="24" t="str">
        <f>IFERROR(INDEX(Households!$B$5:$B$154,MATCH(C249,Households!$A$5:$A$154,0)),"Not in register")</f>
        <v>Site A – School Shelter</v>
      </c>
      <c r="E249" s="29" t="s">
        <v>56</v>
      </c>
      <c r="F249" s="29">
        <v>3</v>
      </c>
      <c r="G249" s="29" t="s">
        <v>185</v>
      </c>
      <c r="H249" s="29" t="s">
        <v>182</v>
      </c>
      <c r="I249" s="24" t="str">
        <f>IFERROR(IF(B249&gt;=INDEX(Households!$F$5:$F$154,MATCH(C249,Households!$A$5:$A$154,0)),"Yes","No – before latest assessment"),"")</f>
        <v>Yes</v>
      </c>
    </row>
    <row r="250" spans="1:9" x14ac:dyDescent="0.3">
      <c r="A250" s="29" t="s">
        <v>527</v>
      </c>
      <c r="B250" s="30">
        <v>46048</v>
      </c>
      <c r="C250" s="29" t="s">
        <v>492</v>
      </c>
      <c r="D250" s="24" t="str">
        <f>IFERROR(INDEX(Households!$B$5:$B$154,MATCH(C250,Households!$A$5:$A$154,0)),"Not in register")</f>
        <v>Site B – School Shelter</v>
      </c>
      <c r="E250" s="29" t="s">
        <v>66</v>
      </c>
      <c r="F250" s="29">
        <v>2</v>
      </c>
      <c r="G250" s="29" t="s">
        <v>181</v>
      </c>
      <c r="H250" s="29" t="s">
        <v>182</v>
      </c>
      <c r="I250" s="24" t="str">
        <f>IFERROR(IF(B250&gt;=INDEX(Households!$F$5:$F$154,MATCH(C250,Households!$A$5:$A$154,0)),"Yes","No – before latest assessment"),"")</f>
        <v>Yes</v>
      </c>
    </row>
    <row r="251" spans="1:9" x14ac:dyDescent="0.3">
      <c r="A251" s="29" t="s">
        <v>528</v>
      </c>
      <c r="B251" s="30">
        <v>46048</v>
      </c>
      <c r="C251" s="29" t="s">
        <v>236</v>
      </c>
      <c r="D251" s="24" t="str">
        <f>IFERROR(INDEX(Households!$B$5:$B$154,MATCH(C251,Households!$A$5:$A$154,0)),"Not in register")</f>
        <v>Site B – School Shelter</v>
      </c>
      <c r="E251" s="29" t="s">
        <v>66</v>
      </c>
      <c r="F251" s="29">
        <v>2</v>
      </c>
      <c r="G251" s="29" t="s">
        <v>181</v>
      </c>
      <c r="H251" s="29" t="s">
        <v>182</v>
      </c>
      <c r="I251" s="24" t="str">
        <f>IFERROR(IF(B251&gt;=INDEX(Households!$F$5:$F$154,MATCH(C251,Households!$A$5:$A$154,0)),"Yes","No – before latest assessment"),"")</f>
        <v>Yes</v>
      </c>
    </row>
    <row r="252" spans="1:9" x14ac:dyDescent="0.3">
      <c r="A252" s="29" t="s">
        <v>529</v>
      </c>
      <c r="B252" s="30">
        <v>46048</v>
      </c>
      <c r="C252" s="29" t="s">
        <v>317</v>
      </c>
      <c r="D252" s="24" t="str">
        <f>IFERROR(INDEX(Households!$B$5:$B$154,MATCH(C252,Households!$A$5:$A$154,0)),"Not in register")</f>
        <v>Site B – School Shelter</v>
      </c>
      <c r="E252" s="29" t="s">
        <v>54</v>
      </c>
      <c r="F252" s="29">
        <v>4</v>
      </c>
      <c r="G252" s="29" t="s">
        <v>185</v>
      </c>
      <c r="H252" s="29" t="s">
        <v>182</v>
      </c>
      <c r="I252" s="24" t="str">
        <f>IFERROR(IF(B252&gt;=INDEX(Households!$F$5:$F$154,MATCH(C252,Households!$A$5:$A$154,0)),"Yes","No – before latest assessment"),"")</f>
        <v>Yes</v>
      </c>
    </row>
    <row r="253" spans="1:9" x14ac:dyDescent="0.3">
      <c r="A253" s="29" t="s">
        <v>530</v>
      </c>
      <c r="B253" s="30">
        <v>46048</v>
      </c>
      <c r="C253" s="29" t="s">
        <v>469</v>
      </c>
      <c r="D253" s="24" t="str">
        <f>IFERROR(INDEX(Households!$B$5:$B$154,MATCH(C253,Households!$A$5:$A$154,0)),"Not in register")</f>
        <v>Site B – School Shelter</v>
      </c>
      <c r="E253" s="29" t="s">
        <v>66</v>
      </c>
      <c r="F253" s="29">
        <v>3</v>
      </c>
      <c r="G253" s="29" t="s">
        <v>181</v>
      </c>
      <c r="H253" s="29" t="s">
        <v>182</v>
      </c>
      <c r="I253" s="24" t="str">
        <f>IFERROR(IF(B253&gt;=INDEX(Households!$F$5:$F$154,MATCH(C253,Households!$A$5:$A$154,0)),"Yes","No – before latest assessment"),"")</f>
        <v>Yes</v>
      </c>
    </row>
    <row r="254" spans="1:9" x14ac:dyDescent="0.3">
      <c r="A254" s="29" t="s">
        <v>531</v>
      </c>
      <c r="B254" s="30">
        <v>46048</v>
      </c>
      <c r="C254" s="29" t="s">
        <v>532</v>
      </c>
      <c r="D254" s="24" t="str">
        <f>IFERROR(INDEX(Households!$B$5:$B$154,MATCH(C254,Households!$A$5:$A$154,0)),"Not in register")</f>
        <v>Site C – Informal Tent Area</v>
      </c>
      <c r="E254" s="29" t="s">
        <v>68</v>
      </c>
      <c r="F254" s="29">
        <v>1</v>
      </c>
      <c r="G254" s="29" t="s">
        <v>191</v>
      </c>
      <c r="H254" s="29" t="s">
        <v>182</v>
      </c>
      <c r="I254" s="24" t="str">
        <f>IFERROR(IF(B254&gt;=INDEX(Households!$F$5:$F$154,MATCH(C254,Households!$A$5:$A$154,0)),"Yes","No – before latest assessment"),"")</f>
        <v>Yes</v>
      </c>
    </row>
    <row r="255" spans="1:9" x14ac:dyDescent="0.3">
      <c r="A255" s="29" t="s">
        <v>533</v>
      </c>
      <c r="B255" s="30">
        <v>46048</v>
      </c>
      <c r="C255" s="29" t="s">
        <v>473</v>
      </c>
      <c r="D255" s="24" t="str">
        <f>IFERROR(INDEX(Households!$B$5:$B$154,MATCH(C255,Households!$A$5:$A$154,0)),"Not in register")</f>
        <v>Site C – Informal Tent Area</v>
      </c>
      <c r="E255" s="29" t="s">
        <v>68</v>
      </c>
      <c r="F255" s="29">
        <v>1</v>
      </c>
      <c r="G255" s="29" t="s">
        <v>189</v>
      </c>
      <c r="H255" s="29" t="s">
        <v>182</v>
      </c>
      <c r="I255" s="24" t="str">
        <f>IFERROR(IF(B255&gt;=INDEX(Households!$F$5:$F$154,MATCH(C255,Households!$A$5:$A$154,0)),"Yes","No – before latest assessment"),"")</f>
        <v>Yes</v>
      </c>
    </row>
    <row r="256" spans="1:9" x14ac:dyDescent="0.3">
      <c r="A256" s="29" t="s">
        <v>534</v>
      </c>
      <c r="B256" s="30">
        <v>46048</v>
      </c>
      <c r="C256" s="29" t="s">
        <v>429</v>
      </c>
      <c r="D256" s="24" t="str">
        <f>IFERROR(INDEX(Households!$B$5:$B$154,MATCH(C256,Households!$A$5:$A$154,0)),"Not in register")</f>
        <v>Site C – Informal Tent Area</v>
      </c>
      <c r="E256" s="29" t="s">
        <v>68</v>
      </c>
      <c r="F256" s="29">
        <v>1</v>
      </c>
      <c r="G256" s="29" t="s">
        <v>191</v>
      </c>
      <c r="H256" s="29" t="s">
        <v>182</v>
      </c>
      <c r="I256" s="24" t="str">
        <f>IFERROR(IF(B256&gt;=INDEX(Households!$F$5:$F$154,MATCH(C256,Households!$A$5:$A$154,0)),"Yes","No – before latest assessment"),"")</f>
        <v>Yes</v>
      </c>
    </row>
    <row r="257" spans="1:9" x14ac:dyDescent="0.3">
      <c r="A257" s="29" t="s">
        <v>535</v>
      </c>
      <c r="B257" s="30">
        <v>46048</v>
      </c>
      <c r="C257" s="29" t="s">
        <v>431</v>
      </c>
      <c r="D257" s="24" t="str">
        <f>IFERROR(INDEX(Households!$B$5:$B$154,MATCH(C257,Households!$A$5:$A$154,0)),"Not in register")</f>
        <v>Site D – Collective Centre</v>
      </c>
      <c r="E257" s="29" t="s">
        <v>56</v>
      </c>
      <c r="F257" s="29">
        <v>1</v>
      </c>
      <c r="G257" s="29" t="s">
        <v>185</v>
      </c>
      <c r="H257" s="29" t="s">
        <v>182</v>
      </c>
      <c r="I257" s="24" t="str">
        <f>IFERROR(IF(B257&gt;=INDEX(Households!$F$5:$F$154,MATCH(C257,Households!$A$5:$A$154,0)),"Yes","No – before latest assessment"),"")</f>
        <v>Yes</v>
      </c>
    </row>
    <row r="258" spans="1:9" x14ac:dyDescent="0.3">
      <c r="A258" s="29" t="s">
        <v>536</v>
      </c>
      <c r="B258" s="30">
        <v>46048</v>
      </c>
      <c r="C258" s="29" t="s">
        <v>322</v>
      </c>
      <c r="D258" s="24" t="str">
        <f>IFERROR(INDEX(Households!$B$5:$B$154,MATCH(C258,Households!$A$5:$A$154,0)),"Not in register")</f>
        <v>Site D – Collective Centre</v>
      </c>
      <c r="E258" s="29" t="s">
        <v>68</v>
      </c>
      <c r="F258" s="29">
        <v>1</v>
      </c>
      <c r="G258" s="29" t="s">
        <v>191</v>
      </c>
      <c r="H258" s="29" t="s">
        <v>182</v>
      </c>
      <c r="I258" s="24" t="str">
        <f>IFERROR(IF(B258&gt;=INDEX(Households!$F$5:$F$154,MATCH(C258,Households!$A$5:$A$154,0)),"Yes","No – before latest assessment"),"")</f>
        <v>Yes</v>
      </c>
    </row>
    <row r="259" spans="1:9" x14ac:dyDescent="0.3">
      <c r="A259" s="29" t="s">
        <v>537</v>
      </c>
      <c r="B259" s="30">
        <v>46049</v>
      </c>
      <c r="C259" s="29" t="s">
        <v>257</v>
      </c>
      <c r="D259" s="24" t="str">
        <f>IFERROR(INDEX(Households!$B$5:$B$154,MATCH(C259,Households!$A$5:$A$154,0)),"Not in register")</f>
        <v>Site A – School Shelter</v>
      </c>
      <c r="E259" s="29" t="s">
        <v>68</v>
      </c>
      <c r="F259" s="29">
        <v>1</v>
      </c>
      <c r="G259" s="29" t="s">
        <v>191</v>
      </c>
      <c r="H259" s="29" t="s">
        <v>182</v>
      </c>
      <c r="I259" s="24" t="str">
        <f>IFERROR(IF(B259&gt;=INDEX(Households!$F$5:$F$154,MATCH(C259,Households!$A$5:$A$154,0)),"Yes","No – before latest assessment"),"")</f>
        <v>Yes</v>
      </c>
    </row>
    <row r="260" spans="1:9" x14ac:dyDescent="0.3">
      <c r="A260" s="29" t="s">
        <v>538</v>
      </c>
      <c r="B260" s="30">
        <v>46049</v>
      </c>
      <c r="C260" s="29" t="s">
        <v>295</v>
      </c>
      <c r="D260" s="24" t="str">
        <f>IFERROR(INDEX(Households!$B$5:$B$154,MATCH(C260,Households!$A$5:$A$154,0)),"Not in register")</f>
        <v>Site A – School Shelter</v>
      </c>
      <c r="E260" s="29" t="s">
        <v>63</v>
      </c>
      <c r="F260" s="29">
        <v>3</v>
      </c>
      <c r="G260" s="29" t="s">
        <v>189</v>
      </c>
      <c r="H260" s="29" t="s">
        <v>327</v>
      </c>
      <c r="I260" s="24" t="str">
        <f>IFERROR(IF(B260&gt;=INDEX(Households!$F$5:$F$154,MATCH(C260,Households!$A$5:$A$154,0)),"Yes","No – before latest assessment"),"")</f>
        <v>Yes</v>
      </c>
    </row>
    <row r="261" spans="1:9" x14ac:dyDescent="0.3">
      <c r="A261" s="29" t="s">
        <v>539</v>
      </c>
      <c r="B261" s="30">
        <v>46049</v>
      </c>
      <c r="C261" s="29" t="s">
        <v>279</v>
      </c>
      <c r="D261" s="24" t="str">
        <f>IFERROR(INDEX(Households!$B$5:$B$154,MATCH(C261,Households!$A$5:$A$154,0)),"Not in register")</f>
        <v>Site A – School Shelter</v>
      </c>
      <c r="E261" s="29" t="s">
        <v>68</v>
      </c>
      <c r="F261" s="29">
        <v>1</v>
      </c>
      <c r="G261" s="29" t="s">
        <v>191</v>
      </c>
      <c r="H261" s="29" t="s">
        <v>182</v>
      </c>
      <c r="I261" s="24" t="str">
        <f>IFERROR(IF(B261&gt;=INDEX(Households!$F$5:$F$154,MATCH(C261,Households!$A$5:$A$154,0)),"Yes","No – before latest assessment"),"")</f>
        <v>Yes</v>
      </c>
    </row>
    <row r="262" spans="1:9" x14ac:dyDescent="0.3">
      <c r="A262" s="29" t="s">
        <v>540</v>
      </c>
      <c r="B262" s="30">
        <v>46049</v>
      </c>
      <c r="C262" s="29" t="s">
        <v>312</v>
      </c>
      <c r="D262" s="24" t="str">
        <f>IFERROR(INDEX(Households!$B$5:$B$154,MATCH(C262,Households!$A$5:$A$154,0)),"Not in register")</f>
        <v>Site A – School Shelter</v>
      </c>
      <c r="E262" s="29" t="s">
        <v>63</v>
      </c>
      <c r="F262" s="29">
        <v>1</v>
      </c>
      <c r="G262" s="29" t="s">
        <v>189</v>
      </c>
      <c r="H262" s="29" t="s">
        <v>182</v>
      </c>
      <c r="I262" s="24" t="str">
        <f>IFERROR(IF(B262&gt;=INDEX(Households!$F$5:$F$154,MATCH(C262,Households!$A$5:$A$154,0)),"Yes","No – before latest assessment"),"")</f>
        <v>Yes</v>
      </c>
    </row>
    <row r="263" spans="1:9" x14ac:dyDescent="0.3">
      <c r="A263" s="29" t="s">
        <v>541</v>
      </c>
      <c r="B263" s="30">
        <v>46049</v>
      </c>
      <c r="C263" s="29" t="s">
        <v>466</v>
      </c>
      <c r="D263" s="24" t="str">
        <f>IFERROR(INDEX(Households!$B$5:$B$154,MATCH(C263,Households!$A$5:$A$154,0)),"Not in register")</f>
        <v>Site A – School Shelter</v>
      </c>
      <c r="E263" s="29" t="s">
        <v>68</v>
      </c>
      <c r="F263" s="29">
        <v>1</v>
      </c>
      <c r="G263" s="29" t="s">
        <v>191</v>
      </c>
      <c r="H263" s="29" t="s">
        <v>182</v>
      </c>
      <c r="I263" s="24" t="str">
        <f>IFERROR(IF(B263&gt;=INDEX(Households!$F$5:$F$154,MATCH(C263,Households!$A$5:$A$154,0)),"Yes","No – before latest assessment"),"")</f>
        <v>Yes</v>
      </c>
    </row>
    <row r="264" spans="1:9" x14ac:dyDescent="0.3">
      <c r="A264" s="29" t="s">
        <v>542</v>
      </c>
      <c r="B264" s="30">
        <v>46049</v>
      </c>
      <c r="C264" s="29" t="s">
        <v>254</v>
      </c>
      <c r="D264" s="24" t="str">
        <f>IFERROR(INDEX(Households!$B$5:$B$154,MATCH(C264,Households!$A$5:$A$154,0)),"Not in register")</f>
        <v>Site A – School Shelter</v>
      </c>
      <c r="E264" s="29" t="s">
        <v>70</v>
      </c>
      <c r="F264" s="29">
        <v>1</v>
      </c>
      <c r="G264" s="29" t="s">
        <v>189</v>
      </c>
      <c r="H264" s="29" t="s">
        <v>182</v>
      </c>
      <c r="I264" s="24" t="str">
        <f>IFERROR(IF(B264&gt;=INDEX(Households!$F$5:$F$154,MATCH(C264,Households!$A$5:$A$154,0)),"Yes","No – before latest assessment"),"")</f>
        <v>Yes</v>
      </c>
    </row>
    <row r="265" spans="1:9" x14ac:dyDescent="0.3">
      <c r="A265" s="29" t="s">
        <v>543</v>
      </c>
      <c r="B265" s="30">
        <v>46049</v>
      </c>
      <c r="C265" s="29" t="s">
        <v>488</v>
      </c>
      <c r="D265" s="24" t="str">
        <f>IFERROR(INDEX(Households!$B$5:$B$154,MATCH(C265,Households!$A$5:$A$154,0)),"Not in register")</f>
        <v>Site B – School Shelter</v>
      </c>
      <c r="E265" s="29" t="s">
        <v>61</v>
      </c>
      <c r="F265" s="29">
        <v>1</v>
      </c>
      <c r="G265" s="29" t="s">
        <v>351</v>
      </c>
      <c r="H265" s="29" t="s">
        <v>182</v>
      </c>
      <c r="I265" s="24" t="str">
        <f>IFERROR(IF(B265&gt;=INDEX(Households!$F$5:$F$154,MATCH(C265,Households!$A$5:$A$154,0)),"Yes","No – before latest assessment"),"")</f>
        <v>Yes</v>
      </c>
    </row>
    <row r="266" spans="1:9" x14ac:dyDescent="0.3">
      <c r="A266" s="29" t="s">
        <v>544</v>
      </c>
      <c r="B266" s="30">
        <v>46049</v>
      </c>
      <c r="C266" s="29" t="s">
        <v>236</v>
      </c>
      <c r="D266" s="24" t="str">
        <f>IFERROR(INDEX(Households!$B$5:$B$154,MATCH(C266,Households!$A$5:$A$154,0)),"Not in register")</f>
        <v>Site B – School Shelter</v>
      </c>
      <c r="E266" s="29" t="s">
        <v>68</v>
      </c>
      <c r="F266" s="29">
        <v>1</v>
      </c>
      <c r="G266" s="29" t="s">
        <v>191</v>
      </c>
      <c r="H266" s="29" t="s">
        <v>182</v>
      </c>
      <c r="I266" s="24" t="str">
        <f>IFERROR(IF(B266&gt;=INDEX(Households!$F$5:$F$154,MATCH(C266,Households!$A$5:$A$154,0)),"Yes","No – before latest assessment"),"")</f>
        <v>Yes</v>
      </c>
    </row>
    <row r="267" spans="1:9" x14ac:dyDescent="0.3">
      <c r="A267" s="29" t="s">
        <v>545</v>
      </c>
      <c r="B267" s="30">
        <v>46049</v>
      </c>
      <c r="C267" s="29" t="s">
        <v>195</v>
      </c>
      <c r="D267" s="24" t="str">
        <f>IFERROR(INDEX(Households!$B$5:$B$154,MATCH(C267,Households!$A$5:$A$154,0)),"Not in register")</f>
        <v>Site B – School Shelter</v>
      </c>
      <c r="E267" s="29" t="s">
        <v>54</v>
      </c>
      <c r="F267" s="29">
        <v>1</v>
      </c>
      <c r="G267" s="29" t="s">
        <v>185</v>
      </c>
      <c r="H267" s="29" t="s">
        <v>327</v>
      </c>
      <c r="I267" s="24" t="str">
        <f>IFERROR(IF(B267&gt;=INDEX(Households!$F$5:$F$154,MATCH(C267,Households!$A$5:$A$154,0)),"Yes","No – before latest assessment"),"")</f>
        <v>Yes</v>
      </c>
    </row>
    <row r="268" spans="1:9" x14ac:dyDescent="0.3">
      <c r="A268" s="29" t="s">
        <v>546</v>
      </c>
      <c r="B268" s="30">
        <v>46049</v>
      </c>
      <c r="C268" s="29" t="s">
        <v>547</v>
      </c>
      <c r="D268" s="24" t="str">
        <f>IFERROR(INDEX(Households!$B$5:$B$154,MATCH(C268,Households!$A$5:$A$154,0)),"Not in register")</f>
        <v>Site B – School Shelter</v>
      </c>
      <c r="E268" s="29" t="s">
        <v>68</v>
      </c>
      <c r="F268" s="29">
        <v>1</v>
      </c>
      <c r="G268" s="29" t="s">
        <v>189</v>
      </c>
      <c r="H268" s="29" t="s">
        <v>182</v>
      </c>
      <c r="I268" s="24" t="str">
        <f>IFERROR(IF(B268&gt;=INDEX(Households!$F$5:$F$154,MATCH(C268,Households!$A$5:$A$154,0)),"Yes","No – before latest assessment"),"")</f>
        <v>Yes</v>
      </c>
    </row>
    <row r="269" spans="1:9" x14ac:dyDescent="0.3">
      <c r="A269" s="29" t="s">
        <v>548</v>
      </c>
      <c r="B269" s="30">
        <v>46049</v>
      </c>
      <c r="C269" s="29" t="s">
        <v>363</v>
      </c>
      <c r="D269" s="24" t="str">
        <f>IFERROR(INDEX(Households!$B$5:$B$154,MATCH(C269,Households!$A$5:$A$154,0)),"Not in register")</f>
        <v>Site B – School Shelter</v>
      </c>
      <c r="E269" s="29" t="s">
        <v>68</v>
      </c>
      <c r="F269" s="29">
        <v>1</v>
      </c>
      <c r="G269" s="29" t="s">
        <v>191</v>
      </c>
      <c r="H269" s="29" t="s">
        <v>182</v>
      </c>
      <c r="I269" s="24" t="str">
        <f>IFERROR(IF(B269&gt;=INDEX(Households!$F$5:$F$154,MATCH(C269,Households!$A$5:$A$154,0)),"Yes","No – before latest assessment"),"")</f>
        <v>Yes</v>
      </c>
    </row>
    <row r="270" spans="1:9" x14ac:dyDescent="0.3">
      <c r="A270" s="29" t="s">
        <v>549</v>
      </c>
      <c r="B270" s="30">
        <v>46049</v>
      </c>
      <c r="C270" s="29" t="s">
        <v>243</v>
      </c>
      <c r="D270" s="24" t="str">
        <f>IFERROR(INDEX(Households!$B$5:$B$154,MATCH(C270,Households!$A$5:$A$154,0)),"Not in register")</f>
        <v>Site B – School Shelter</v>
      </c>
      <c r="E270" s="29" t="s">
        <v>54</v>
      </c>
      <c r="F270" s="29">
        <v>15</v>
      </c>
      <c r="G270" s="29" t="s">
        <v>185</v>
      </c>
      <c r="H270" s="29" t="s">
        <v>182</v>
      </c>
      <c r="I270" s="24" t="str">
        <f>IFERROR(IF(B270&gt;=INDEX(Households!$F$5:$F$154,MATCH(C270,Households!$A$5:$A$154,0)),"Yes","No – before latest assessment"),"")</f>
        <v>Yes</v>
      </c>
    </row>
    <row r="271" spans="1:9" x14ac:dyDescent="0.3">
      <c r="A271" s="29" t="s">
        <v>550</v>
      </c>
      <c r="B271" s="30">
        <v>46049</v>
      </c>
      <c r="C271" s="29" t="s">
        <v>243</v>
      </c>
      <c r="D271" s="24" t="str">
        <f>IFERROR(INDEX(Households!$B$5:$B$154,MATCH(C271,Households!$A$5:$A$154,0)),"Not in register")</f>
        <v>Site B – School Shelter</v>
      </c>
      <c r="E271" s="29" t="s">
        <v>68</v>
      </c>
      <c r="F271" s="29">
        <v>1</v>
      </c>
      <c r="G271" s="29" t="s">
        <v>191</v>
      </c>
      <c r="H271" s="29" t="s">
        <v>327</v>
      </c>
      <c r="I271" s="24" t="str">
        <f>IFERROR(IF(B271&gt;=INDEX(Households!$F$5:$F$154,MATCH(C271,Households!$A$5:$A$154,0)),"Yes","No – before latest assessment"),"")</f>
        <v>Yes</v>
      </c>
    </row>
    <row r="272" spans="1:9" x14ac:dyDescent="0.3">
      <c r="A272" s="29" t="s">
        <v>551</v>
      </c>
      <c r="B272" s="30">
        <v>46049</v>
      </c>
      <c r="C272" s="29" t="s">
        <v>405</v>
      </c>
      <c r="D272" s="24" t="str">
        <f>IFERROR(INDEX(Households!$B$5:$B$154,MATCH(C272,Households!$A$5:$A$154,0)),"Not in register")</f>
        <v>Site C – Informal Tent Area</v>
      </c>
      <c r="E272" s="29" t="s">
        <v>68</v>
      </c>
      <c r="F272" s="29">
        <v>1</v>
      </c>
      <c r="G272" s="29" t="s">
        <v>191</v>
      </c>
      <c r="H272" s="29" t="s">
        <v>182</v>
      </c>
      <c r="I272" s="24" t="str">
        <f>IFERROR(IF(B272&gt;=INDEX(Households!$F$5:$F$154,MATCH(C272,Households!$A$5:$A$154,0)),"Yes","No – before latest assessment"),"")</f>
        <v>Yes</v>
      </c>
    </row>
    <row r="273" spans="1:9" x14ac:dyDescent="0.3">
      <c r="A273" s="29" t="s">
        <v>552</v>
      </c>
      <c r="B273" s="30">
        <v>46049</v>
      </c>
      <c r="C273" s="29" t="s">
        <v>473</v>
      </c>
      <c r="D273" s="24" t="str">
        <f>IFERROR(INDEX(Households!$B$5:$B$154,MATCH(C273,Households!$A$5:$A$154,0)),"Not in register")</f>
        <v>Site C – Informal Tent Area</v>
      </c>
      <c r="E273" s="29" t="s">
        <v>63</v>
      </c>
      <c r="F273" s="29">
        <v>3</v>
      </c>
      <c r="G273" s="29" t="s">
        <v>189</v>
      </c>
      <c r="H273" s="29" t="s">
        <v>182</v>
      </c>
      <c r="I273" s="24" t="str">
        <f>IFERROR(IF(B273&gt;=INDEX(Households!$F$5:$F$154,MATCH(C273,Households!$A$5:$A$154,0)),"Yes","No – before latest assessment"),"")</f>
        <v>Yes</v>
      </c>
    </row>
    <row r="274" spans="1:9" x14ac:dyDescent="0.3">
      <c r="A274" s="29" t="s">
        <v>553</v>
      </c>
      <c r="B274" s="30">
        <v>46049</v>
      </c>
      <c r="C274" s="29" t="s">
        <v>369</v>
      </c>
      <c r="D274" s="24" t="str">
        <f>IFERROR(INDEX(Households!$B$5:$B$154,MATCH(C274,Households!$A$5:$A$154,0)),"Not in register")</f>
        <v>Site C – Informal Tent Area</v>
      </c>
      <c r="E274" s="29" t="s">
        <v>63</v>
      </c>
      <c r="F274" s="29">
        <v>1</v>
      </c>
      <c r="G274" s="29" t="s">
        <v>189</v>
      </c>
      <c r="H274" s="29" t="s">
        <v>182</v>
      </c>
      <c r="I274" s="24" t="str">
        <f>IFERROR(IF(B274&gt;=INDEX(Households!$F$5:$F$154,MATCH(C274,Households!$A$5:$A$154,0)),"Yes","No – before latest assessment"),"")</f>
        <v>Yes</v>
      </c>
    </row>
    <row r="275" spans="1:9" x14ac:dyDescent="0.3">
      <c r="A275" s="29" t="s">
        <v>554</v>
      </c>
      <c r="B275" s="30">
        <v>46049</v>
      </c>
      <c r="C275" s="29" t="s">
        <v>555</v>
      </c>
      <c r="D275" s="24" t="str">
        <f>IFERROR(INDEX(Households!$B$5:$B$154,MATCH(C275,Households!$A$5:$A$154,0)),"Not in register")</f>
        <v>Site C – Informal Tent Area</v>
      </c>
      <c r="E275" s="29" t="s">
        <v>68</v>
      </c>
      <c r="F275" s="29">
        <v>1</v>
      </c>
      <c r="G275" s="29" t="s">
        <v>191</v>
      </c>
      <c r="H275" s="29" t="s">
        <v>182</v>
      </c>
      <c r="I275" s="24" t="str">
        <f>IFERROR(IF(B275&gt;=INDEX(Households!$F$5:$F$154,MATCH(C275,Households!$A$5:$A$154,0)),"Yes","No – before latest assessment"),"")</f>
        <v>Yes</v>
      </c>
    </row>
    <row r="276" spans="1:9" x14ac:dyDescent="0.3">
      <c r="A276" s="29" t="s">
        <v>556</v>
      </c>
      <c r="B276" s="30">
        <v>46049</v>
      </c>
      <c r="C276" s="29" t="s">
        <v>557</v>
      </c>
      <c r="D276" s="24" t="str">
        <f>IFERROR(INDEX(Households!$B$5:$B$154,MATCH(C276,Households!$A$5:$A$154,0)),"Not in register")</f>
        <v>Site D – Collective Centre</v>
      </c>
      <c r="E276" s="29" t="s">
        <v>66</v>
      </c>
      <c r="F276" s="29">
        <v>2</v>
      </c>
      <c r="G276" s="29" t="s">
        <v>181</v>
      </c>
      <c r="H276" s="29" t="s">
        <v>182</v>
      </c>
      <c r="I276" s="24" t="str">
        <f>IFERROR(IF(B276&gt;=INDEX(Households!$F$5:$F$154,MATCH(C276,Households!$A$5:$A$154,0)),"Yes","No – before latest assessment"),"")</f>
        <v>Yes</v>
      </c>
    </row>
    <row r="277" spans="1:9" x14ac:dyDescent="0.3">
      <c r="A277" s="29" t="s">
        <v>558</v>
      </c>
      <c r="B277" s="30">
        <v>46049</v>
      </c>
      <c r="C277" s="29" t="s">
        <v>557</v>
      </c>
      <c r="D277" s="24" t="str">
        <f>IFERROR(INDEX(Households!$B$5:$B$154,MATCH(C277,Households!$A$5:$A$154,0)),"Not in register")</f>
        <v>Site D – Collective Centre</v>
      </c>
      <c r="E277" s="29" t="s">
        <v>66</v>
      </c>
      <c r="F277" s="29">
        <v>2</v>
      </c>
      <c r="G277" s="29" t="s">
        <v>181</v>
      </c>
      <c r="H277" s="29" t="s">
        <v>182</v>
      </c>
      <c r="I277" s="24" t="str">
        <f>IFERROR(IF(B277&gt;=INDEX(Households!$F$5:$F$154,MATCH(C277,Households!$A$5:$A$154,0)),"Yes","No – before latest assessment"),"")</f>
        <v>Yes</v>
      </c>
    </row>
    <row r="278" spans="1:9" x14ac:dyDescent="0.3">
      <c r="A278" s="29" t="s">
        <v>559</v>
      </c>
      <c r="B278" s="30">
        <v>46049</v>
      </c>
      <c r="C278" s="29" t="s">
        <v>460</v>
      </c>
      <c r="D278" s="24" t="str">
        <f>IFERROR(INDEX(Households!$B$5:$B$154,MATCH(C278,Households!$A$5:$A$154,0)),"Not in register")</f>
        <v>Site D – Collective Centre</v>
      </c>
      <c r="E278" s="29" t="s">
        <v>68</v>
      </c>
      <c r="F278" s="29">
        <v>1</v>
      </c>
      <c r="G278" s="29" t="s">
        <v>189</v>
      </c>
      <c r="H278" s="29" t="s">
        <v>182</v>
      </c>
      <c r="I278" s="24" t="str">
        <f>IFERROR(IF(B278&gt;=INDEX(Households!$F$5:$F$154,MATCH(C278,Households!$A$5:$A$154,0)),"Yes","No – before latest assessment"),"")</f>
        <v>Yes</v>
      </c>
    </row>
    <row r="279" spans="1:9" x14ac:dyDescent="0.3">
      <c r="A279" s="29" t="s">
        <v>560</v>
      </c>
      <c r="B279" s="30">
        <v>46049</v>
      </c>
      <c r="C279" s="29" t="s">
        <v>460</v>
      </c>
      <c r="D279" s="24" t="str">
        <f>IFERROR(INDEX(Households!$B$5:$B$154,MATCH(C279,Households!$A$5:$A$154,0)),"Not in register")</f>
        <v>Site D – Collective Centre</v>
      </c>
      <c r="E279" s="29" t="s">
        <v>63</v>
      </c>
      <c r="F279" s="29">
        <v>4</v>
      </c>
      <c r="G279" s="29" t="s">
        <v>189</v>
      </c>
      <c r="H279" s="29" t="s">
        <v>182</v>
      </c>
      <c r="I279" s="24" t="str">
        <f>IFERROR(IF(B279&gt;=INDEX(Households!$F$5:$F$154,MATCH(C279,Households!$A$5:$A$154,0)),"Yes","No – before latest assessment"),"")</f>
        <v>Yes</v>
      </c>
    </row>
    <row r="280" spans="1:9" x14ac:dyDescent="0.3">
      <c r="A280" s="29" t="s">
        <v>561</v>
      </c>
      <c r="B280" s="30">
        <v>46049</v>
      </c>
      <c r="C280" s="29" t="s">
        <v>509</v>
      </c>
      <c r="D280" s="24" t="str">
        <f>IFERROR(INDEX(Households!$B$5:$B$154,MATCH(C280,Households!$A$5:$A$154,0)),"Not in register")</f>
        <v>Site D – Collective Centre</v>
      </c>
      <c r="E280" s="29" t="s">
        <v>68</v>
      </c>
      <c r="F280" s="29">
        <v>1</v>
      </c>
      <c r="G280" s="29" t="s">
        <v>191</v>
      </c>
      <c r="H280" s="29" t="s">
        <v>182</v>
      </c>
      <c r="I280" s="24" t="str">
        <f>IFERROR(IF(B280&gt;=INDEX(Households!$F$5:$F$154,MATCH(C280,Households!$A$5:$A$154,0)),"Yes","No – before latest assessment"),"")</f>
        <v>Yes</v>
      </c>
    </row>
    <row r="281" spans="1:9" x14ac:dyDescent="0.3">
      <c r="A281" s="29" t="s">
        <v>562</v>
      </c>
      <c r="B281" s="30">
        <v>46050</v>
      </c>
      <c r="C281" s="29" t="s">
        <v>211</v>
      </c>
      <c r="D281" s="24" t="str">
        <f>IFERROR(INDEX(Households!$B$5:$B$154,MATCH(C281,Households!$A$5:$A$154,0)),"Not in register")</f>
        <v>Site A – School Shelter</v>
      </c>
      <c r="E281" s="29" t="s">
        <v>68</v>
      </c>
      <c r="F281" s="29">
        <v>1</v>
      </c>
      <c r="G281" s="29" t="s">
        <v>191</v>
      </c>
      <c r="H281" s="29" t="s">
        <v>182</v>
      </c>
      <c r="I281" s="24" t="str">
        <f>IFERROR(IF(B281&gt;=INDEX(Households!$F$5:$F$154,MATCH(C281,Households!$A$5:$A$154,0)),"Yes","No – before latest assessment"),"")</f>
        <v>Yes</v>
      </c>
    </row>
    <row r="282" spans="1:9" x14ac:dyDescent="0.3">
      <c r="A282" s="29" t="s">
        <v>563</v>
      </c>
      <c r="B282" s="30">
        <v>46050</v>
      </c>
      <c r="C282" s="29" t="s">
        <v>564</v>
      </c>
      <c r="D282" s="24" t="str">
        <f>IFERROR(INDEX(Households!$B$5:$B$154,MATCH(C282,Households!$A$5:$A$154,0)),"Not in register")</f>
        <v>Site A – School Shelter</v>
      </c>
      <c r="E282" s="29" t="s">
        <v>56</v>
      </c>
      <c r="F282" s="29">
        <v>1</v>
      </c>
      <c r="G282" s="29" t="s">
        <v>185</v>
      </c>
      <c r="H282" s="29" t="s">
        <v>182</v>
      </c>
      <c r="I282" s="24" t="str">
        <f>IFERROR(IF(B282&gt;=INDEX(Households!$F$5:$F$154,MATCH(C282,Households!$A$5:$A$154,0)),"Yes","No – before latest assessment"),"")</f>
        <v>Yes</v>
      </c>
    </row>
    <row r="283" spans="1:9" x14ac:dyDescent="0.3">
      <c r="A283" s="29" t="s">
        <v>565</v>
      </c>
      <c r="B283" s="30">
        <v>46050</v>
      </c>
      <c r="C283" s="29" t="s">
        <v>259</v>
      </c>
      <c r="D283" s="24" t="str">
        <f>IFERROR(INDEX(Households!$B$5:$B$154,MATCH(C283,Households!$A$5:$A$154,0)),"Not in register")</f>
        <v>Site A – School Shelter</v>
      </c>
      <c r="E283" s="29" t="s">
        <v>66</v>
      </c>
      <c r="F283" s="29">
        <v>3</v>
      </c>
      <c r="G283" s="29" t="s">
        <v>181</v>
      </c>
      <c r="H283" s="29" t="s">
        <v>182</v>
      </c>
      <c r="I283" s="24" t="str">
        <f>IFERROR(IF(B283&gt;=INDEX(Households!$F$5:$F$154,MATCH(C283,Households!$A$5:$A$154,0)),"Yes","No – before latest assessment"),"")</f>
        <v>Yes</v>
      </c>
    </row>
    <row r="284" spans="1:9" x14ac:dyDescent="0.3">
      <c r="A284" s="29" t="s">
        <v>566</v>
      </c>
      <c r="B284" s="30">
        <v>46050</v>
      </c>
      <c r="C284" s="29" t="s">
        <v>373</v>
      </c>
      <c r="D284" s="24" t="str">
        <f>IFERROR(INDEX(Households!$B$5:$B$154,MATCH(C284,Households!$A$5:$A$154,0)),"Not in register")</f>
        <v>Site B – School Shelter</v>
      </c>
      <c r="E284" s="29" t="s">
        <v>66</v>
      </c>
      <c r="F284" s="29">
        <v>6</v>
      </c>
      <c r="G284" s="29" t="s">
        <v>181</v>
      </c>
      <c r="H284" s="29" t="s">
        <v>182</v>
      </c>
      <c r="I284" s="24" t="str">
        <f>IFERROR(IF(B284&gt;=INDEX(Households!$F$5:$F$154,MATCH(C284,Households!$A$5:$A$154,0)),"Yes","No – before latest assessment"),"")</f>
        <v>Yes</v>
      </c>
    </row>
    <row r="285" spans="1:9" x14ac:dyDescent="0.3">
      <c r="A285" s="29" t="s">
        <v>567</v>
      </c>
      <c r="B285" s="30">
        <v>46050</v>
      </c>
      <c r="C285" s="29" t="s">
        <v>547</v>
      </c>
      <c r="D285" s="24" t="str">
        <f>IFERROR(INDEX(Households!$B$5:$B$154,MATCH(C285,Households!$A$5:$A$154,0)),"Not in register")</f>
        <v>Site B – School Shelter</v>
      </c>
      <c r="E285" s="29" t="s">
        <v>63</v>
      </c>
      <c r="F285" s="29">
        <v>3</v>
      </c>
      <c r="G285" s="29" t="s">
        <v>189</v>
      </c>
      <c r="H285" s="29" t="s">
        <v>182</v>
      </c>
      <c r="I285" s="24" t="str">
        <f>IFERROR(IF(B285&gt;=INDEX(Households!$F$5:$F$154,MATCH(C285,Households!$A$5:$A$154,0)),"Yes","No – before latest assessment"),"")</f>
        <v>Yes</v>
      </c>
    </row>
    <row r="286" spans="1:9" x14ac:dyDescent="0.3">
      <c r="A286" s="29" t="s">
        <v>568</v>
      </c>
      <c r="B286" s="30">
        <v>46050</v>
      </c>
      <c r="C286" s="29" t="s">
        <v>243</v>
      </c>
      <c r="D286" s="24" t="str">
        <f>IFERROR(INDEX(Households!$B$5:$B$154,MATCH(C286,Households!$A$5:$A$154,0)),"Not in register")</f>
        <v>Site B – School Shelter</v>
      </c>
      <c r="E286" s="29" t="s">
        <v>56</v>
      </c>
      <c r="F286" s="29">
        <v>8</v>
      </c>
      <c r="G286" s="29" t="s">
        <v>185</v>
      </c>
      <c r="H286" s="29" t="s">
        <v>182</v>
      </c>
      <c r="I286" s="24" t="str">
        <f>IFERROR(IF(B286&gt;=INDEX(Households!$F$5:$F$154,MATCH(C286,Households!$A$5:$A$154,0)),"Yes","No – before latest assessment"),"")</f>
        <v>Yes</v>
      </c>
    </row>
    <row r="287" spans="1:9" x14ac:dyDescent="0.3">
      <c r="A287" s="29" t="s">
        <v>569</v>
      </c>
      <c r="B287" s="30">
        <v>46050</v>
      </c>
      <c r="C287" s="29" t="s">
        <v>421</v>
      </c>
      <c r="D287" s="24" t="str">
        <f>IFERROR(INDEX(Households!$B$5:$B$154,MATCH(C287,Households!$A$5:$A$154,0)),"Not in register")</f>
        <v>Site B – School Shelter</v>
      </c>
      <c r="E287" s="29" t="s">
        <v>54</v>
      </c>
      <c r="F287" s="29">
        <v>14</v>
      </c>
      <c r="G287" s="29" t="s">
        <v>185</v>
      </c>
      <c r="H287" s="29" t="s">
        <v>182</v>
      </c>
      <c r="I287" s="24" t="str">
        <f>IFERROR(IF(B287&gt;=INDEX(Households!$F$5:$F$154,MATCH(C287,Households!$A$5:$A$154,0)),"Yes","No – before latest assessment"),"")</f>
        <v>Yes</v>
      </c>
    </row>
    <row r="288" spans="1:9" x14ac:dyDescent="0.3">
      <c r="A288" s="29" t="s">
        <v>570</v>
      </c>
      <c r="B288" s="30">
        <v>46050</v>
      </c>
      <c r="C288" s="29" t="s">
        <v>426</v>
      </c>
      <c r="D288" s="24" t="str">
        <f>IFERROR(INDEX(Households!$B$5:$B$154,MATCH(C288,Households!$A$5:$A$154,0)),"Not in register")</f>
        <v>Site C – Informal Tent Area</v>
      </c>
      <c r="E288" s="29" t="s">
        <v>56</v>
      </c>
      <c r="F288" s="29">
        <v>3</v>
      </c>
      <c r="G288" s="29" t="s">
        <v>185</v>
      </c>
      <c r="H288" s="29" t="s">
        <v>182</v>
      </c>
      <c r="I288" s="24" t="str">
        <f>IFERROR(IF(B288&gt;=INDEX(Households!$F$5:$F$154,MATCH(C288,Households!$A$5:$A$154,0)),"Yes","No – before latest assessment"),"")</f>
        <v>Yes</v>
      </c>
    </row>
    <row r="289" spans="1:9" x14ac:dyDescent="0.3">
      <c r="A289" s="29" t="s">
        <v>571</v>
      </c>
      <c r="B289" s="30">
        <v>46050</v>
      </c>
      <c r="C289" s="29" t="s">
        <v>407</v>
      </c>
      <c r="D289" s="24" t="str">
        <f>IFERROR(INDEX(Households!$B$5:$B$154,MATCH(C289,Households!$A$5:$A$154,0)),"Not in register")</f>
        <v>Site C – Informal Tent Area</v>
      </c>
      <c r="E289" s="29" t="s">
        <v>66</v>
      </c>
      <c r="F289" s="29">
        <v>3</v>
      </c>
      <c r="G289" s="29" t="s">
        <v>181</v>
      </c>
      <c r="H289" s="29" t="s">
        <v>182</v>
      </c>
      <c r="I289" s="24" t="str">
        <f>IFERROR(IF(B289&gt;=INDEX(Households!$F$5:$F$154,MATCH(C289,Households!$A$5:$A$154,0)),"Yes","No – before latest assessment"),"")</f>
        <v>Yes</v>
      </c>
    </row>
    <row r="290" spans="1:9" x14ac:dyDescent="0.3">
      <c r="A290" s="29" t="s">
        <v>572</v>
      </c>
      <c r="B290" s="30">
        <v>46050</v>
      </c>
      <c r="C290" s="29" t="s">
        <v>330</v>
      </c>
      <c r="D290" s="24" t="str">
        <f>IFERROR(INDEX(Households!$B$5:$B$154,MATCH(C290,Households!$A$5:$A$154,0)),"Not in register")</f>
        <v>Site C – Informal Tent Area</v>
      </c>
      <c r="E290" s="29" t="s">
        <v>68</v>
      </c>
      <c r="F290" s="29">
        <v>1</v>
      </c>
      <c r="G290" s="29" t="s">
        <v>189</v>
      </c>
      <c r="H290" s="29" t="s">
        <v>182</v>
      </c>
      <c r="I290" s="24" t="str">
        <f>IFERROR(IF(B290&gt;=INDEX(Households!$F$5:$F$154,MATCH(C290,Households!$A$5:$A$154,0)),"Yes","No – before latest assessment"),"")</f>
        <v>Yes</v>
      </c>
    </row>
    <row r="291" spans="1:9" x14ac:dyDescent="0.3">
      <c r="A291" s="29" t="s">
        <v>573</v>
      </c>
      <c r="B291" s="30">
        <v>46050</v>
      </c>
      <c r="C291" s="29" t="s">
        <v>206</v>
      </c>
      <c r="D291" s="24" t="str">
        <f>IFERROR(INDEX(Households!$B$5:$B$154,MATCH(C291,Households!$A$5:$A$154,0)),"Not in register")</f>
        <v>Site C – Informal Tent Area</v>
      </c>
      <c r="E291" s="29" t="s">
        <v>56</v>
      </c>
      <c r="F291" s="29">
        <v>1</v>
      </c>
      <c r="G291" s="29" t="s">
        <v>185</v>
      </c>
      <c r="H291" s="29" t="s">
        <v>327</v>
      </c>
      <c r="I291" s="24" t="str">
        <f>IFERROR(IF(B291&gt;=INDEX(Households!$F$5:$F$154,MATCH(C291,Households!$A$5:$A$154,0)),"Yes","No – before latest assessment"),"")</f>
        <v>Yes</v>
      </c>
    </row>
    <row r="292" spans="1:9" x14ac:dyDescent="0.3">
      <c r="A292" s="29" t="s">
        <v>574</v>
      </c>
      <c r="B292" s="30">
        <v>46050</v>
      </c>
      <c r="C292" s="29" t="s">
        <v>319</v>
      </c>
      <c r="D292" s="24" t="str">
        <f>IFERROR(INDEX(Households!$B$5:$B$154,MATCH(C292,Households!$A$5:$A$154,0)),"Not in register")</f>
        <v>Site C – Informal Tent Area</v>
      </c>
      <c r="E292" s="29" t="s">
        <v>66</v>
      </c>
      <c r="F292" s="29">
        <v>1</v>
      </c>
      <c r="G292" s="29" t="s">
        <v>181</v>
      </c>
      <c r="H292" s="29" t="s">
        <v>182</v>
      </c>
      <c r="I292" s="24" t="str">
        <f>IFERROR(IF(B292&gt;=INDEX(Households!$F$5:$F$154,MATCH(C292,Households!$A$5:$A$154,0)),"Yes","No – before latest assessment"),"")</f>
        <v>Yes</v>
      </c>
    </row>
    <row r="293" spans="1:9" x14ac:dyDescent="0.3">
      <c r="A293" s="29" t="s">
        <v>575</v>
      </c>
      <c r="B293" s="30">
        <v>46050</v>
      </c>
      <c r="C293" s="29" t="s">
        <v>503</v>
      </c>
      <c r="D293" s="24" t="str">
        <f>IFERROR(INDEX(Households!$B$5:$B$154,MATCH(C293,Households!$A$5:$A$154,0)),"Not in register")</f>
        <v>Site C – Informal Tent Area</v>
      </c>
      <c r="E293" s="29" t="s">
        <v>66</v>
      </c>
      <c r="F293" s="29">
        <v>4</v>
      </c>
      <c r="G293" s="29" t="s">
        <v>189</v>
      </c>
      <c r="H293" s="29" t="s">
        <v>182</v>
      </c>
      <c r="I293" s="24" t="str">
        <f>IFERROR(IF(B293&gt;=INDEX(Households!$F$5:$F$154,MATCH(C293,Households!$A$5:$A$154,0)),"Yes","No – before latest assessment"),"")</f>
        <v>Yes</v>
      </c>
    </row>
    <row r="294" spans="1:9" x14ac:dyDescent="0.3">
      <c r="A294" s="29" t="s">
        <v>576</v>
      </c>
      <c r="B294" s="30">
        <v>46050</v>
      </c>
      <c r="C294" s="29" t="s">
        <v>555</v>
      </c>
      <c r="D294" s="24" t="str">
        <f>IFERROR(INDEX(Households!$B$5:$B$154,MATCH(C294,Households!$A$5:$A$154,0)),"Not in register")</f>
        <v>Site C – Informal Tent Area</v>
      </c>
      <c r="E294" s="29" t="s">
        <v>70</v>
      </c>
      <c r="F294" s="29">
        <v>2</v>
      </c>
      <c r="G294" s="29" t="s">
        <v>191</v>
      </c>
      <c r="H294" s="29" t="s">
        <v>182</v>
      </c>
      <c r="I294" s="24" t="str">
        <f>IFERROR(IF(B294&gt;=INDEX(Households!$F$5:$F$154,MATCH(C294,Households!$A$5:$A$154,0)),"Yes","No – before latest assessment"),"")</f>
        <v>Yes</v>
      </c>
    </row>
    <row r="295" spans="1:9" x14ac:dyDescent="0.3">
      <c r="A295" s="29" t="s">
        <v>577</v>
      </c>
      <c r="B295" s="30">
        <v>46050</v>
      </c>
      <c r="C295" s="29" t="s">
        <v>274</v>
      </c>
      <c r="D295" s="24" t="str">
        <f>IFERROR(INDEX(Households!$B$5:$B$154,MATCH(C295,Households!$A$5:$A$154,0)),"Not in register")</f>
        <v>Site D – Collective Centre</v>
      </c>
      <c r="E295" s="29" t="s">
        <v>65</v>
      </c>
      <c r="F295" s="29">
        <v>2</v>
      </c>
      <c r="G295" s="29" t="s">
        <v>189</v>
      </c>
      <c r="H295" s="29" t="s">
        <v>182</v>
      </c>
      <c r="I295" s="24" t="str">
        <f>IFERROR(IF(B295&gt;=INDEX(Households!$F$5:$F$154,MATCH(C295,Households!$A$5:$A$154,0)),"Yes","No – before latest assessment"),"")</f>
        <v>Yes</v>
      </c>
    </row>
    <row r="296" spans="1:9" x14ac:dyDescent="0.3">
      <c r="A296" s="29" t="s">
        <v>578</v>
      </c>
      <c r="B296" s="30">
        <v>46050</v>
      </c>
      <c r="C296" s="29" t="s">
        <v>342</v>
      </c>
      <c r="D296" s="24" t="str">
        <f>IFERROR(INDEX(Households!$B$5:$B$154,MATCH(C296,Households!$A$5:$A$154,0)),"Not in register")</f>
        <v>Site D – Collective Centre</v>
      </c>
      <c r="E296" s="29" t="s">
        <v>68</v>
      </c>
      <c r="F296" s="29">
        <v>1</v>
      </c>
      <c r="G296" s="29" t="s">
        <v>191</v>
      </c>
      <c r="H296" s="29" t="s">
        <v>182</v>
      </c>
      <c r="I296" s="24" t="str">
        <f>IFERROR(IF(B296&gt;=INDEX(Households!$F$5:$F$154,MATCH(C296,Households!$A$5:$A$154,0)),"Yes","No – before latest assessment"),"")</f>
        <v>Yes</v>
      </c>
    </row>
    <row r="297" spans="1:9" x14ac:dyDescent="0.3">
      <c r="A297" s="29" t="s">
        <v>579</v>
      </c>
      <c r="B297" s="30">
        <v>46050</v>
      </c>
      <c r="C297" s="29" t="s">
        <v>580</v>
      </c>
      <c r="D297" s="24" t="str">
        <f>IFERROR(INDEX(Households!$B$5:$B$154,MATCH(C297,Households!$A$5:$A$154,0)),"Not in register")</f>
        <v>Site D – Collective Centre</v>
      </c>
      <c r="E297" s="29" t="s">
        <v>68</v>
      </c>
      <c r="F297" s="29">
        <v>1</v>
      </c>
      <c r="G297" s="29" t="s">
        <v>191</v>
      </c>
      <c r="H297" s="29" t="s">
        <v>182</v>
      </c>
      <c r="I297" s="24" t="str">
        <f>IFERROR(IF(B297&gt;=INDEX(Households!$F$5:$F$154,MATCH(C297,Households!$A$5:$A$154,0)),"Yes","No – before latest assessment"),"")</f>
        <v>Yes</v>
      </c>
    </row>
    <row r="298" spans="1:9" x14ac:dyDescent="0.3">
      <c r="A298" s="29" t="s">
        <v>581</v>
      </c>
      <c r="B298" s="30">
        <v>46051</v>
      </c>
      <c r="C298" s="29" t="s">
        <v>293</v>
      </c>
      <c r="D298" s="24" t="str">
        <f>IFERROR(INDEX(Households!$B$5:$B$154,MATCH(C298,Households!$A$5:$A$154,0)),"Not in register")</f>
        <v>Site A – School Shelter</v>
      </c>
      <c r="E298" s="29" t="s">
        <v>68</v>
      </c>
      <c r="F298" s="29">
        <v>1</v>
      </c>
      <c r="G298" s="29" t="s">
        <v>191</v>
      </c>
      <c r="H298" s="29" t="s">
        <v>182</v>
      </c>
      <c r="I298" s="24" t="str">
        <f>IFERROR(IF(B298&gt;=INDEX(Households!$F$5:$F$154,MATCH(C298,Households!$A$5:$A$154,0)),"Yes","No – before latest assessment"),"")</f>
        <v>Yes</v>
      </c>
    </row>
    <row r="299" spans="1:9" x14ac:dyDescent="0.3">
      <c r="A299" s="29" t="s">
        <v>582</v>
      </c>
      <c r="B299" s="30">
        <v>46051</v>
      </c>
      <c r="C299" s="29" t="s">
        <v>466</v>
      </c>
      <c r="D299" s="24" t="str">
        <f>IFERROR(INDEX(Households!$B$5:$B$154,MATCH(C299,Households!$A$5:$A$154,0)),"Not in register")</f>
        <v>Site A – School Shelter</v>
      </c>
      <c r="E299" s="29" t="s">
        <v>54</v>
      </c>
      <c r="F299" s="29">
        <v>1</v>
      </c>
      <c r="G299" s="29" t="s">
        <v>185</v>
      </c>
      <c r="H299" s="29" t="s">
        <v>182</v>
      </c>
      <c r="I299" s="24" t="str">
        <f>IFERROR(IF(B299&gt;=INDEX(Households!$F$5:$F$154,MATCH(C299,Households!$A$5:$A$154,0)),"Yes","No – before latest assessment"),"")</f>
        <v>Yes</v>
      </c>
    </row>
    <row r="300" spans="1:9" x14ac:dyDescent="0.3">
      <c r="A300" s="29" t="s">
        <v>583</v>
      </c>
      <c r="B300" s="30">
        <v>46051</v>
      </c>
      <c r="C300" s="29" t="s">
        <v>584</v>
      </c>
      <c r="D300" s="24" t="str">
        <f>IFERROR(INDEX(Households!$B$5:$B$154,MATCH(C300,Households!$A$5:$A$154,0)),"Not in register")</f>
        <v>Site A – School Shelter</v>
      </c>
      <c r="E300" s="29" t="s">
        <v>66</v>
      </c>
      <c r="F300" s="29">
        <v>4</v>
      </c>
      <c r="G300" s="29" t="s">
        <v>181</v>
      </c>
      <c r="H300" s="29" t="s">
        <v>182</v>
      </c>
      <c r="I300" s="24" t="str">
        <f>IFERROR(IF(B300&gt;=INDEX(Households!$F$5:$F$154,MATCH(C300,Households!$A$5:$A$154,0)),"Yes","No – before latest assessment"),"")</f>
        <v>Yes</v>
      </c>
    </row>
    <row r="301" spans="1:9" x14ac:dyDescent="0.3">
      <c r="A301" s="29" t="s">
        <v>585</v>
      </c>
      <c r="B301" s="30">
        <v>46051</v>
      </c>
      <c r="C301" s="29" t="s">
        <v>335</v>
      </c>
      <c r="D301" s="24" t="str">
        <f>IFERROR(INDEX(Households!$B$5:$B$154,MATCH(C301,Households!$A$5:$A$154,0)),"Not in register")</f>
        <v>Site A – School Shelter</v>
      </c>
      <c r="E301" s="29" t="s">
        <v>65</v>
      </c>
      <c r="F301" s="29">
        <v>2</v>
      </c>
      <c r="G301" s="29" t="s">
        <v>189</v>
      </c>
      <c r="H301" s="29" t="s">
        <v>182</v>
      </c>
      <c r="I301" s="24" t="str">
        <f>IFERROR(IF(B301&gt;=INDEX(Households!$F$5:$F$154,MATCH(C301,Households!$A$5:$A$154,0)),"Yes","No – before latest assessment"),"")</f>
        <v>Yes</v>
      </c>
    </row>
    <row r="302" spans="1:9" x14ac:dyDescent="0.3">
      <c r="A302" s="29" t="s">
        <v>586</v>
      </c>
      <c r="B302" s="30">
        <v>46051</v>
      </c>
      <c r="C302" s="29" t="s">
        <v>587</v>
      </c>
      <c r="D302" s="24" t="str">
        <f>IFERROR(INDEX(Households!$B$5:$B$154,MATCH(C302,Households!$A$5:$A$154,0)),"Not in register")</f>
        <v>Site A – School Shelter</v>
      </c>
      <c r="E302" s="29" t="s">
        <v>56</v>
      </c>
      <c r="F302" s="29">
        <v>1</v>
      </c>
      <c r="G302" s="29" t="s">
        <v>185</v>
      </c>
      <c r="H302" s="29" t="s">
        <v>182</v>
      </c>
      <c r="I302" s="24" t="str">
        <f>IFERROR(IF(B302&gt;=INDEX(Households!$F$5:$F$154,MATCH(C302,Households!$A$5:$A$154,0)),"Yes","No – before latest assessment"),"")</f>
        <v>Yes</v>
      </c>
    </row>
    <row r="303" spans="1:9" x14ac:dyDescent="0.3">
      <c r="A303" s="29" t="s">
        <v>588</v>
      </c>
      <c r="B303" s="30">
        <v>46051</v>
      </c>
      <c r="C303" s="29" t="s">
        <v>232</v>
      </c>
      <c r="D303" s="24" t="str">
        <f>IFERROR(INDEX(Households!$B$5:$B$154,MATCH(C303,Households!$A$5:$A$154,0)),"Not in register")</f>
        <v>Site A – School Shelter</v>
      </c>
      <c r="E303" s="29" t="s">
        <v>63</v>
      </c>
      <c r="F303" s="29">
        <v>1</v>
      </c>
      <c r="G303" s="29" t="s">
        <v>189</v>
      </c>
      <c r="H303" s="29" t="s">
        <v>182</v>
      </c>
      <c r="I303" s="24" t="str">
        <f>IFERROR(IF(B303&gt;=INDEX(Households!$F$5:$F$154,MATCH(C303,Households!$A$5:$A$154,0)),"Yes","No – before latest assessment"),"")</f>
        <v>Yes</v>
      </c>
    </row>
    <row r="304" spans="1:9" x14ac:dyDescent="0.3">
      <c r="A304" s="29" t="s">
        <v>589</v>
      </c>
      <c r="B304" s="30">
        <v>46051</v>
      </c>
      <c r="C304" s="29" t="s">
        <v>254</v>
      </c>
      <c r="D304" s="24" t="str">
        <f>IFERROR(INDEX(Households!$B$5:$B$154,MATCH(C304,Households!$A$5:$A$154,0)),"Not in register")</f>
        <v>Site A – School Shelter</v>
      </c>
      <c r="E304" s="29" t="s">
        <v>56</v>
      </c>
      <c r="F304" s="29">
        <v>3</v>
      </c>
      <c r="G304" s="29" t="s">
        <v>189</v>
      </c>
      <c r="H304" s="29" t="s">
        <v>182</v>
      </c>
      <c r="I304" s="24" t="str">
        <f>IFERROR(IF(B304&gt;=INDEX(Households!$F$5:$F$154,MATCH(C304,Households!$A$5:$A$154,0)),"Yes","No – before latest assessment"),"")</f>
        <v>Yes</v>
      </c>
    </row>
    <row r="305" spans="1:9" x14ac:dyDescent="0.3">
      <c r="A305" s="29" t="s">
        <v>590</v>
      </c>
      <c r="B305" s="30">
        <v>46051</v>
      </c>
      <c r="C305" s="29" t="s">
        <v>193</v>
      </c>
      <c r="D305" s="24" t="str">
        <f>IFERROR(INDEX(Households!$B$5:$B$154,MATCH(C305,Households!$A$5:$A$154,0)),"Not in register")</f>
        <v>Site B – School Shelter</v>
      </c>
      <c r="E305" s="29" t="s">
        <v>54</v>
      </c>
      <c r="F305" s="29">
        <v>4</v>
      </c>
      <c r="G305" s="29" t="s">
        <v>185</v>
      </c>
      <c r="H305" s="29" t="s">
        <v>182</v>
      </c>
      <c r="I305" s="24" t="str">
        <f>IFERROR(IF(B305&gt;=INDEX(Households!$F$5:$F$154,MATCH(C305,Households!$A$5:$A$154,0)),"Yes","No – before latest assessment"),"")</f>
        <v>Yes</v>
      </c>
    </row>
    <row r="306" spans="1:9" x14ac:dyDescent="0.3">
      <c r="A306" s="29" t="s">
        <v>591</v>
      </c>
      <c r="B306" s="30">
        <v>46051</v>
      </c>
      <c r="C306" s="29" t="s">
        <v>592</v>
      </c>
      <c r="D306" s="24" t="str">
        <f>IFERROR(INDEX(Households!$B$5:$B$154,MATCH(C306,Households!$A$5:$A$154,0)),"Not in register")</f>
        <v>Site B – School Shelter</v>
      </c>
      <c r="E306" s="29" t="s">
        <v>56</v>
      </c>
      <c r="F306" s="29">
        <v>2</v>
      </c>
      <c r="G306" s="29" t="s">
        <v>185</v>
      </c>
      <c r="H306" s="29" t="s">
        <v>182</v>
      </c>
      <c r="I306" s="24" t="str">
        <f>IFERROR(IF(B306&gt;=INDEX(Households!$F$5:$F$154,MATCH(C306,Households!$A$5:$A$154,0)),"Yes","No – before latest assessment"),"")</f>
        <v>Yes</v>
      </c>
    </row>
    <row r="307" spans="1:9" x14ac:dyDescent="0.3">
      <c r="A307" s="29" t="s">
        <v>593</v>
      </c>
      <c r="B307" s="30">
        <v>46051</v>
      </c>
      <c r="C307" s="29" t="s">
        <v>547</v>
      </c>
      <c r="D307" s="24" t="str">
        <f>IFERROR(INDEX(Households!$B$5:$B$154,MATCH(C307,Households!$A$5:$A$154,0)),"Not in register")</f>
        <v>Site B – School Shelter</v>
      </c>
      <c r="E307" s="29" t="s">
        <v>56</v>
      </c>
      <c r="F307" s="29">
        <v>5</v>
      </c>
      <c r="G307" s="29" t="s">
        <v>185</v>
      </c>
      <c r="H307" s="29" t="s">
        <v>182</v>
      </c>
      <c r="I307" s="24" t="str">
        <f>IFERROR(IF(B307&gt;=INDEX(Households!$F$5:$F$154,MATCH(C307,Households!$A$5:$A$154,0)),"Yes","No – before latest assessment"),"")</f>
        <v>Yes</v>
      </c>
    </row>
    <row r="308" spans="1:9" x14ac:dyDescent="0.3">
      <c r="A308" s="29" t="s">
        <v>594</v>
      </c>
      <c r="B308" s="30">
        <v>46051</v>
      </c>
      <c r="C308" s="29" t="s">
        <v>243</v>
      </c>
      <c r="D308" s="24" t="str">
        <f>IFERROR(INDEX(Households!$B$5:$B$154,MATCH(C308,Households!$A$5:$A$154,0)),"Not in register")</f>
        <v>Site B – School Shelter</v>
      </c>
      <c r="E308" s="29" t="s">
        <v>61</v>
      </c>
      <c r="F308" s="29">
        <v>1</v>
      </c>
      <c r="G308" s="29" t="s">
        <v>351</v>
      </c>
      <c r="H308" s="29" t="s">
        <v>182</v>
      </c>
      <c r="I308" s="24" t="str">
        <f>IFERROR(IF(B308&gt;=INDEX(Households!$F$5:$F$154,MATCH(C308,Households!$A$5:$A$154,0)),"Yes","No – before latest assessment"),"")</f>
        <v>Yes</v>
      </c>
    </row>
    <row r="309" spans="1:9" x14ac:dyDescent="0.3">
      <c r="A309" s="29" t="s">
        <v>595</v>
      </c>
      <c r="B309" s="30">
        <v>46051</v>
      </c>
      <c r="C309" s="29" t="s">
        <v>456</v>
      </c>
      <c r="D309" s="24" t="str">
        <f>IFERROR(INDEX(Households!$B$5:$B$154,MATCH(C309,Households!$A$5:$A$154,0)),"Not in register")</f>
        <v>Site B – School Shelter</v>
      </c>
      <c r="E309" s="29" t="s">
        <v>68</v>
      </c>
      <c r="F309" s="29">
        <v>1</v>
      </c>
      <c r="G309" s="29" t="s">
        <v>191</v>
      </c>
      <c r="H309" s="29" t="s">
        <v>182</v>
      </c>
      <c r="I309" s="24" t="str">
        <f>IFERROR(IF(B309&gt;=INDEX(Households!$F$5:$F$154,MATCH(C309,Households!$A$5:$A$154,0)),"Yes","No – before latest assessment"),"")</f>
        <v>Yes</v>
      </c>
    </row>
    <row r="310" spans="1:9" x14ac:dyDescent="0.3">
      <c r="A310" s="29" t="s">
        <v>596</v>
      </c>
      <c r="B310" s="30">
        <v>46051</v>
      </c>
      <c r="C310" s="29" t="s">
        <v>456</v>
      </c>
      <c r="D310" s="24" t="str">
        <f>IFERROR(INDEX(Households!$B$5:$B$154,MATCH(C310,Households!$A$5:$A$154,0)),"Not in register")</f>
        <v>Site B – School Shelter</v>
      </c>
      <c r="E310" s="29" t="s">
        <v>63</v>
      </c>
      <c r="F310" s="29">
        <v>4</v>
      </c>
      <c r="G310" s="29" t="s">
        <v>189</v>
      </c>
      <c r="H310" s="29" t="s">
        <v>182</v>
      </c>
      <c r="I310" s="24" t="str">
        <f>IFERROR(IF(B310&gt;=INDEX(Households!$F$5:$F$154,MATCH(C310,Households!$A$5:$A$154,0)),"Yes","No – before latest assessment"),"")</f>
        <v>Yes</v>
      </c>
    </row>
    <row r="311" spans="1:9" x14ac:dyDescent="0.3">
      <c r="A311" s="29" t="s">
        <v>597</v>
      </c>
      <c r="B311" s="30">
        <v>46051</v>
      </c>
      <c r="C311" s="29" t="s">
        <v>421</v>
      </c>
      <c r="D311" s="24" t="str">
        <f>IFERROR(INDEX(Households!$B$5:$B$154,MATCH(C311,Households!$A$5:$A$154,0)),"Not in register")</f>
        <v>Site B – School Shelter</v>
      </c>
      <c r="E311" s="29" t="s">
        <v>68</v>
      </c>
      <c r="F311" s="29">
        <v>1</v>
      </c>
      <c r="G311" s="29" t="s">
        <v>191</v>
      </c>
      <c r="H311" s="29" t="s">
        <v>182</v>
      </c>
      <c r="I311" s="24" t="str">
        <f>IFERROR(IF(B311&gt;=INDEX(Households!$F$5:$F$154,MATCH(C311,Households!$A$5:$A$154,0)),"Yes","No – before latest assessment"),"")</f>
        <v>Yes</v>
      </c>
    </row>
    <row r="312" spans="1:9" x14ac:dyDescent="0.3">
      <c r="A312" s="29" t="s">
        <v>598</v>
      </c>
      <c r="B312" s="30">
        <v>46051</v>
      </c>
      <c r="C312" s="29" t="s">
        <v>424</v>
      </c>
      <c r="D312" s="24" t="str">
        <f>IFERROR(INDEX(Households!$B$5:$B$154,MATCH(C312,Households!$A$5:$A$154,0)),"Not in register")</f>
        <v>Site C – Informal Tent Area</v>
      </c>
      <c r="E312" s="29" t="s">
        <v>54</v>
      </c>
      <c r="F312" s="29">
        <v>2</v>
      </c>
      <c r="G312" s="29" t="s">
        <v>189</v>
      </c>
      <c r="H312" s="29" t="s">
        <v>182</v>
      </c>
      <c r="I312" s="24" t="str">
        <f>IFERROR(IF(B312&gt;=INDEX(Households!$F$5:$F$154,MATCH(C312,Households!$A$5:$A$154,0)),"Yes","No – before latest assessment"),"")</f>
        <v>Yes</v>
      </c>
    </row>
    <row r="313" spans="1:9" x14ac:dyDescent="0.3">
      <c r="A313" s="29" t="s">
        <v>599</v>
      </c>
      <c r="B313" s="30">
        <v>46051</v>
      </c>
      <c r="C313" s="29" t="s">
        <v>600</v>
      </c>
      <c r="D313" s="24" t="str">
        <f>IFERROR(INDEX(Households!$B$5:$B$154,MATCH(C313,Households!$A$5:$A$154,0)),"Not in register")</f>
        <v>Site C – Informal Tent Area</v>
      </c>
      <c r="E313" s="29" t="s">
        <v>68</v>
      </c>
      <c r="F313" s="29">
        <v>1</v>
      </c>
      <c r="G313" s="29" t="s">
        <v>191</v>
      </c>
      <c r="H313" s="29" t="s">
        <v>327</v>
      </c>
      <c r="I313" s="24" t="str">
        <f>IFERROR(IF(B313&gt;=INDEX(Households!$F$5:$F$154,MATCH(C313,Households!$A$5:$A$154,0)),"Yes","No – before latest assessment"),"")</f>
        <v>Yes</v>
      </c>
    </row>
    <row r="314" spans="1:9" x14ac:dyDescent="0.3">
      <c r="A314" s="29" t="s">
        <v>601</v>
      </c>
      <c r="B314" s="30">
        <v>46051</v>
      </c>
      <c r="C314" s="29" t="s">
        <v>378</v>
      </c>
      <c r="D314" s="24" t="str">
        <f>IFERROR(INDEX(Households!$B$5:$B$154,MATCH(C314,Households!$A$5:$A$154,0)),"Not in register")</f>
        <v>Site C – Informal Tent Area</v>
      </c>
      <c r="E314" s="29" t="s">
        <v>61</v>
      </c>
      <c r="F314" s="29">
        <v>1</v>
      </c>
      <c r="G314" s="29" t="s">
        <v>351</v>
      </c>
      <c r="H314" s="29" t="s">
        <v>182</v>
      </c>
      <c r="I314" s="24" t="str">
        <f>IFERROR(IF(B314&gt;=INDEX(Households!$F$5:$F$154,MATCH(C314,Households!$A$5:$A$154,0)),"Yes","No – before latest assessment"),"")</f>
        <v>Yes</v>
      </c>
    </row>
    <row r="315" spans="1:9" x14ac:dyDescent="0.3">
      <c r="A315" s="29" t="s">
        <v>602</v>
      </c>
      <c r="B315" s="30">
        <v>46051</v>
      </c>
      <c r="C315" s="29" t="s">
        <v>503</v>
      </c>
      <c r="D315" s="24" t="str">
        <f>IFERROR(INDEX(Households!$B$5:$B$154,MATCH(C315,Households!$A$5:$A$154,0)),"Not in register")</f>
        <v>Site C – Informal Tent Area</v>
      </c>
      <c r="E315" s="29" t="s">
        <v>68</v>
      </c>
      <c r="F315" s="29">
        <v>1</v>
      </c>
      <c r="G315" s="29" t="s">
        <v>189</v>
      </c>
      <c r="H315" s="29" t="s">
        <v>182</v>
      </c>
      <c r="I315" s="24" t="str">
        <f>IFERROR(IF(B315&gt;=INDEX(Households!$F$5:$F$154,MATCH(C315,Households!$A$5:$A$154,0)),"Yes","No – before latest assessment"),"")</f>
        <v>Yes</v>
      </c>
    </row>
    <row r="316" spans="1:9" x14ac:dyDescent="0.3">
      <c r="A316" s="29" t="s">
        <v>603</v>
      </c>
      <c r="B316" s="30">
        <v>46051</v>
      </c>
      <c r="C316" s="29" t="s">
        <v>503</v>
      </c>
      <c r="D316" s="24" t="str">
        <f>IFERROR(INDEX(Households!$B$5:$B$154,MATCH(C316,Households!$A$5:$A$154,0)),"Not in register")</f>
        <v>Site C – Informal Tent Area</v>
      </c>
      <c r="E316" s="29" t="s">
        <v>70</v>
      </c>
      <c r="F316" s="29">
        <v>2</v>
      </c>
      <c r="G316" s="29" t="s">
        <v>191</v>
      </c>
      <c r="H316" s="29" t="s">
        <v>182</v>
      </c>
      <c r="I316" s="24" t="str">
        <f>IFERROR(IF(B316&gt;=INDEX(Households!$F$5:$F$154,MATCH(C316,Households!$A$5:$A$154,0)),"Yes","No – before latest assessment"),"")</f>
        <v>Yes</v>
      </c>
    </row>
    <row r="317" spans="1:9" x14ac:dyDescent="0.3">
      <c r="A317" s="29" t="s">
        <v>604</v>
      </c>
      <c r="B317" s="30">
        <v>46051</v>
      </c>
      <c r="C317" s="29" t="s">
        <v>369</v>
      </c>
      <c r="D317" s="24" t="str">
        <f>IFERROR(INDEX(Households!$B$5:$B$154,MATCH(C317,Households!$A$5:$A$154,0)),"Not in register")</f>
        <v>Site C – Informal Tent Area</v>
      </c>
      <c r="E317" s="29" t="s">
        <v>68</v>
      </c>
      <c r="F317" s="29">
        <v>1</v>
      </c>
      <c r="G317" s="29" t="s">
        <v>191</v>
      </c>
      <c r="H317" s="29" t="s">
        <v>182</v>
      </c>
      <c r="I317" s="24" t="str">
        <f>IFERROR(IF(B317&gt;=INDEX(Households!$F$5:$F$154,MATCH(C317,Households!$A$5:$A$154,0)),"Yes","No – before latest assessment"),"")</f>
        <v>Yes</v>
      </c>
    </row>
    <row r="318" spans="1:9" x14ac:dyDescent="0.3">
      <c r="A318" s="29" t="s">
        <v>605</v>
      </c>
      <c r="B318" s="30">
        <v>46051</v>
      </c>
      <c r="C318" s="29" t="s">
        <v>606</v>
      </c>
      <c r="D318" s="24" t="str">
        <f>IFERROR(INDEX(Households!$B$5:$B$154,MATCH(C318,Households!$A$5:$A$154,0)),"Not in register")</f>
        <v>Site C – Informal Tent Area</v>
      </c>
      <c r="E318" s="29" t="s">
        <v>54</v>
      </c>
      <c r="F318" s="29">
        <v>4</v>
      </c>
      <c r="G318" s="29" t="s">
        <v>185</v>
      </c>
      <c r="H318" s="29" t="s">
        <v>182</v>
      </c>
      <c r="I318" s="24" t="str">
        <f>IFERROR(IF(B318&gt;=INDEX(Households!$F$5:$F$154,MATCH(C318,Households!$A$5:$A$154,0)),"Yes","No – before latest assessment"),"")</f>
        <v>Yes</v>
      </c>
    </row>
    <row r="319" spans="1:9" x14ac:dyDescent="0.3">
      <c r="A319" s="29" t="s">
        <v>607</v>
      </c>
      <c r="B319" s="30">
        <v>46051</v>
      </c>
      <c r="C319" s="29" t="s">
        <v>523</v>
      </c>
      <c r="D319" s="24" t="str">
        <f>IFERROR(INDEX(Households!$B$5:$B$154,MATCH(C319,Households!$A$5:$A$154,0)),"Not in register")</f>
        <v>Site C – Informal Tent Area</v>
      </c>
      <c r="E319" s="29" t="s">
        <v>66</v>
      </c>
      <c r="F319" s="29">
        <v>4</v>
      </c>
      <c r="G319" s="29" t="s">
        <v>181</v>
      </c>
      <c r="H319" s="29" t="s">
        <v>182</v>
      </c>
      <c r="I319" s="24" t="str">
        <f>IFERROR(IF(B319&gt;=INDEX(Households!$F$5:$F$154,MATCH(C319,Households!$A$5:$A$154,0)),"Yes","No – before latest assessment"),"")</f>
        <v>Yes</v>
      </c>
    </row>
    <row r="320" spans="1:9" x14ac:dyDescent="0.3">
      <c r="A320" s="29" t="s">
        <v>608</v>
      </c>
      <c r="B320" s="30">
        <v>46051</v>
      </c>
      <c r="C320" s="29" t="s">
        <v>442</v>
      </c>
      <c r="D320" s="24" t="str">
        <f>IFERROR(INDEX(Households!$B$5:$B$154,MATCH(C320,Households!$A$5:$A$154,0)),"Not in register")</f>
        <v>Site D – Collective Centre</v>
      </c>
      <c r="E320" s="29" t="s">
        <v>66</v>
      </c>
      <c r="F320" s="29">
        <v>4</v>
      </c>
      <c r="G320" s="29" t="s">
        <v>181</v>
      </c>
      <c r="H320" s="29" t="s">
        <v>182</v>
      </c>
      <c r="I320" s="24" t="str">
        <f>IFERROR(IF(B320&gt;=INDEX(Households!$F$5:$F$154,MATCH(C320,Households!$A$5:$A$154,0)),"Yes","No – before latest assessment"),"")</f>
        <v>Yes</v>
      </c>
    </row>
    <row r="321" spans="1:9" x14ac:dyDescent="0.3">
      <c r="A321" s="29" t="s">
        <v>609</v>
      </c>
      <c r="B321" s="30">
        <v>46051</v>
      </c>
      <c r="C321" s="29" t="s">
        <v>610</v>
      </c>
      <c r="D321" s="24" t="str">
        <f>IFERROR(INDEX(Households!$B$5:$B$154,MATCH(C321,Households!$A$5:$A$154,0)),"Not in register")</f>
        <v>Site D – Collective Centre</v>
      </c>
      <c r="E321" s="29" t="s">
        <v>68</v>
      </c>
      <c r="F321" s="29">
        <v>1</v>
      </c>
      <c r="G321" s="29" t="s">
        <v>191</v>
      </c>
      <c r="H321" s="29" t="s">
        <v>182</v>
      </c>
      <c r="I321" s="24" t="str">
        <f>IFERROR(IF(B321&gt;=INDEX(Households!$F$5:$F$154,MATCH(C321,Households!$A$5:$A$154,0)),"Yes","No – before latest assessment"),"")</f>
        <v>Yes</v>
      </c>
    </row>
    <row r="322" spans="1:9" x14ac:dyDescent="0.3">
      <c r="A322" s="29" t="s">
        <v>611</v>
      </c>
      <c r="B322" s="30">
        <v>46051</v>
      </c>
      <c r="C322" s="29" t="s">
        <v>612</v>
      </c>
      <c r="D322" s="24" t="str">
        <f>IFERROR(INDEX(Households!$B$5:$B$154,MATCH(C322,Households!$A$5:$A$154,0)),"Not in register")</f>
        <v>Site D – Collective Centre</v>
      </c>
      <c r="E322" s="29" t="s">
        <v>68</v>
      </c>
      <c r="F322" s="29">
        <v>1</v>
      </c>
      <c r="G322" s="29" t="s">
        <v>191</v>
      </c>
      <c r="H322" s="29" t="s">
        <v>182</v>
      </c>
      <c r="I322" s="24" t="str">
        <f>IFERROR(IF(B322&gt;=INDEX(Households!$F$5:$F$154,MATCH(C322,Households!$A$5:$A$154,0)),"Yes","No – before latest assessment"),"")</f>
        <v>Yes</v>
      </c>
    </row>
    <row r="323" spans="1:9" x14ac:dyDescent="0.3">
      <c r="A323" s="29" t="s">
        <v>613</v>
      </c>
      <c r="B323" s="30">
        <v>46051</v>
      </c>
      <c r="C323" s="29" t="s">
        <v>342</v>
      </c>
      <c r="D323" s="24" t="str">
        <f>IFERROR(INDEX(Households!$B$5:$B$154,MATCH(C323,Households!$A$5:$A$154,0)),"Not in register")</f>
        <v>Site D – Collective Centre</v>
      </c>
      <c r="E323" s="29" t="s">
        <v>65</v>
      </c>
      <c r="F323" s="29">
        <v>1</v>
      </c>
      <c r="G323" s="29" t="s">
        <v>189</v>
      </c>
      <c r="H323" s="29" t="s">
        <v>182</v>
      </c>
      <c r="I323" s="24" t="str">
        <f>IFERROR(IF(B323&gt;=INDEX(Households!$F$5:$F$154,MATCH(C323,Households!$A$5:$A$154,0)),"Yes","No – before latest assessment"),"")</f>
        <v>Yes</v>
      </c>
    </row>
    <row r="324" spans="1:9" x14ac:dyDescent="0.3">
      <c r="A324" s="29" t="s">
        <v>614</v>
      </c>
      <c r="B324" s="30">
        <v>46052</v>
      </c>
      <c r="C324" s="29" t="s">
        <v>615</v>
      </c>
      <c r="D324" s="24" t="str">
        <f>IFERROR(INDEX(Households!$B$5:$B$154,MATCH(C324,Households!$A$5:$A$154,0)),"Not in register")</f>
        <v>Site A – School Shelter</v>
      </c>
      <c r="E324" s="29" t="s">
        <v>70</v>
      </c>
      <c r="F324" s="29">
        <v>2</v>
      </c>
      <c r="G324" s="29" t="s">
        <v>189</v>
      </c>
      <c r="H324" s="29" t="s">
        <v>182</v>
      </c>
      <c r="I324" s="24" t="str">
        <f>IFERROR(IF(B324&gt;=INDEX(Households!$F$5:$F$154,MATCH(C324,Households!$A$5:$A$154,0)),"Yes","No – before latest assessment"),"")</f>
        <v>Yes</v>
      </c>
    </row>
    <row r="325" spans="1:9" x14ac:dyDescent="0.3">
      <c r="A325" s="29" t="s">
        <v>616</v>
      </c>
      <c r="B325" s="30">
        <v>46052</v>
      </c>
      <c r="C325" s="29" t="s">
        <v>295</v>
      </c>
      <c r="D325" s="24" t="str">
        <f>IFERROR(INDEX(Households!$B$5:$B$154,MATCH(C325,Households!$A$5:$A$154,0)),"Not in register")</f>
        <v>Site A – School Shelter</v>
      </c>
      <c r="E325" s="29" t="s">
        <v>56</v>
      </c>
      <c r="F325" s="29">
        <v>4</v>
      </c>
      <c r="G325" s="29" t="s">
        <v>185</v>
      </c>
      <c r="H325" s="29" t="s">
        <v>182</v>
      </c>
      <c r="I325" s="24" t="str">
        <f>IFERROR(IF(B325&gt;=INDEX(Households!$F$5:$F$154,MATCH(C325,Households!$A$5:$A$154,0)),"Yes","No – before latest assessment"),"")</f>
        <v>Yes</v>
      </c>
    </row>
    <row r="326" spans="1:9" x14ac:dyDescent="0.3">
      <c r="A326" s="29" t="s">
        <v>617</v>
      </c>
      <c r="B326" s="30">
        <v>46052</v>
      </c>
      <c r="C326" s="29" t="s">
        <v>252</v>
      </c>
      <c r="D326" s="24" t="str">
        <f>IFERROR(INDEX(Households!$B$5:$B$154,MATCH(C326,Households!$A$5:$A$154,0)),"Not in register")</f>
        <v>Site A – School Shelter</v>
      </c>
      <c r="E326" s="29" t="s">
        <v>56</v>
      </c>
      <c r="F326" s="29">
        <v>3</v>
      </c>
      <c r="G326" s="29" t="s">
        <v>185</v>
      </c>
      <c r="H326" s="29" t="s">
        <v>182</v>
      </c>
      <c r="I326" s="24" t="str">
        <f>IFERROR(IF(B326&gt;=INDEX(Households!$F$5:$F$154,MATCH(C326,Households!$A$5:$A$154,0)),"Yes","No – before latest assessment"),"")</f>
        <v>Yes</v>
      </c>
    </row>
    <row r="327" spans="1:9" x14ac:dyDescent="0.3">
      <c r="A327" s="29" t="s">
        <v>618</v>
      </c>
      <c r="B327" s="30">
        <v>46052</v>
      </c>
      <c r="C327" s="29" t="s">
        <v>619</v>
      </c>
      <c r="D327" s="24" t="str">
        <f>IFERROR(INDEX(Households!$B$5:$B$154,MATCH(C327,Households!$A$5:$A$154,0)),"Not in register")</f>
        <v>Site A – School Shelter</v>
      </c>
      <c r="E327" s="29" t="s">
        <v>56</v>
      </c>
      <c r="F327" s="29">
        <v>1</v>
      </c>
      <c r="G327" s="29" t="s">
        <v>185</v>
      </c>
      <c r="H327" s="29" t="s">
        <v>182</v>
      </c>
      <c r="I327" s="24" t="str">
        <f>IFERROR(IF(B327&gt;=INDEX(Households!$F$5:$F$154,MATCH(C327,Households!$A$5:$A$154,0)),"Yes","No – before latest assessment"),"")</f>
        <v>Yes</v>
      </c>
    </row>
    <row r="328" spans="1:9" x14ac:dyDescent="0.3">
      <c r="A328" s="29" t="s">
        <v>620</v>
      </c>
      <c r="B328" s="30">
        <v>46052</v>
      </c>
      <c r="C328" s="29" t="s">
        <v>619</v>
      </c>
      <c r="D328" s="24" t="str">
        <f>IFERROR(INDEX(Households!$B$5:$B$154,MATCH(C328,Households!$A$5:$A$154,0)),"Not in register")</f>
        <v>Site A – School Shelter</v>
      </c>
      <c r="E328" s="29" t="s">
        <v>70</v>
      </c>
      <c r="F328" s="29">
        <v>1</v>
      </c>
      <c r="G328" s="29" t="s">
        <v>191</v>
      </c>
      <c r="H328" s="29" t="s">
        <v>182</v>
      </c>
      <c r="I328" s="24" t="str">
        <f>IFERROR(IF(B328&gt;=INDEX(Households!$F$5:$F$154,MATCH(C328,Households!$A$5:$A$154,0)),"Yes","No – before latest assessment"),"")</f>
        <v>Yes</v>
      </c>
    </row>
    <row r="329" spans="1:9" x14ac:dyDescent="0.3">
      <c r="A329" s="29" t="s">
        <v>621</v>
      </c>
      <c r="B329" s="30">
        <v>46052</v>
      </c>
      <c r="C329" s="29" t="s">
        <v>211</v>
      </c>
      <c r="D329" s="24" t="str">
        <f>IFERROR(INDEX(Households!$B$5:$B$154,MATCH(C329,Households!$A$5:$A$154,0)),"Not in register")</f>
        <v>Site A – School Shelter</v>
      </c>
      <c r="E329" s="29" t="s">
        <v>65</v>
      </c>
      <c r="F329" s="29">
        <v>3</v>
      </c>
      <c r="G329" s="29" t="s">
        <v>189</v>
      </c>
      <c r="H329" s="29" t="s">
        <v>182</v>
      </c>
      <c r="I329" s="24" t="str">
        <f>IFERROR(IF(B329&gt;=INDEX(Households!$F$5:$F$154,MATCH(C329,Households!$A$5:$A$154,0)),"Yes","No – before latest assessment"),"")</f>
        <v>Yes</v>
      </c>
    </row>
    <row r="330" spans="1:9" x14ac:dyDescent="0.3">
      <c r="A330" s="29" t="s">
        <v>622</v>
      </c>
      <c r="B330" s="30">
        <v>46052</v>
      </c>
      <c r="C330" s="29" t="s">
        <v>399</v>
      </c>
      <c r="D330" s="24" t="str">
        <f>IFERROR(INDEX(Households!$B$5:$B$154,MATCH(C330,Households!$A$5:$A$154,0)),"Not in register")</f>
        <v>Site B – School Shelter</v>
      </c>
      <c r="E330" s="29" t="s">
        <v>63</v>
      </c>
      <c r="F330" s="29">
        <v>2</v>
      </c>
      <c r="G330" s="29" t="s">
        <v>189</v>
      </c>
      <c r="H330" s="29" t="s">
        <v>182</v>
      </c>
      <c r="I330" s="24" t="str">
        <f>IFERROR(IF(B330&gt;=INDEX(Households!$F$5:$F$154,MATCH(C330,Households!$A$5:$A$154,0)),"Yes","No – before latest assessment"),"")</f>
        <v>Yes</v>
      </c>
    </row>
    <row r="331" spans="1:9" x14ac:dyDescent="0.3">
      <c r="A331" s="29" t="s">
        <v>623</v>
      </c>
      <c r="B331" s="30">
        <v>46052</v>
      </c>
      <c r="C331" s="29" t="s">
        <v>197</v>
      </c>
      <c r="D331" s="24" t="str">
        <f>IFERROR(INDEX(Households!$B$5:$B$154,MATCH(C331,Households!$A$5:$A$154,0)),"Not in register")</f>
        <v>Site B – School Shelter</v>
      </c>
      <c r="E331" s="29" t="s">
        <v>54</v>
      </c>
      <c r="F331" s="29">
        <v>1</v>
      </c>
      <c r="G331" s="29" t="s">
        <v>185</v>
      </c>
      <c r="H331" s="29" t="s">
        <v>182</v>
      </c>
      <c r="I331" s="24" t="str">
        <f>IFERROR(IF(B331&gt;=INDEX(Households!$F$5:$F$154,MATCH(C331,Households!$A$5:$A$154,0)),"Yes","No – before latest assessment"),"")</f>
        <v>Yes</v>
      </c>
    </row>
    <row r="332" spans="1:9" x14ac:dyDescent="0.3">
      <c r="A332" s="29" t="s">
        <v>624</v>
      </c>
      <c r="B332" s="30">
        <v>46052</v>
      </c>
      <c r="C332" s="29" t="s">
        <v>488</v>
      </c>
      <c r="D332" s="24" t="str">
        <f>IFERROR(INDEX(Households!$B$5:$B$154,MATCH(C332,Households!$A$5:$A$154,0)),"Not in register")</f>
        <v>Site B – School Shelter</v>
      </c>
      <c r="E332" s="29" t="s">
        <v>56</v>
      </c>
      <c r="F332" s="29">
        <v>4</v>
      </c>
      <c r="G332" s="29" t="s">
        <v>185</v>
      </c>
      <c r="H332" s="29" t="s">
        <v>182</v>
      </c>
      <c r="I332" s="24" t="str">
        <f>IFERROR(IF(B332&gt;=INDEX(Households!$F$5:$F$154,MATCH(C332,Households!$A$5:$A$154,0)),"Yes","No – before latest assessment"),"")</f>
        <v>Yes</v>
      </c>
    </row>
    <row r="333" spans="1:9" x14ac:dyDescent="0.3">
      <c r="A333" s="29" t="s">
        <v>625</v>
      </c>
      <c r="B333" s="30">
        <v>46052</v>
      </c>
      <c r="C333" s="29" t="s">
        <v>488</v>
      </c>
      <c r="D333" s="24" t="str">
        <f>IFERROR(INDEX(Households!$B$5:$B$154,MATCH(C333,Households!$A$5:$A$154,0)),"Not in register")</f>
        <v>Site B – School Shelter</v>
      </c>
      <c r="E333" s="29" t="s">
        <v>56</v>
      </c>
      <c r="F333" s="29">
        <v>4</v>
      </c>
      <c r="G333" s="29" t="s">
        <v>185</v>
      </c>
      <c r="H333" s="29" t="s">
        <v>182</v>
      </c>
      <c r="I333" s="24" t="str">
        <f>IFERROR(IF(B333&gt;=INDEX(Households!$F$5:$F$154,MATCH(C333,Households!$A$5:$A$154,0)),"Yes","No – before latest assessment"),"")</f>
        <v>Yes</v>
      </c>
    </row>
    <row r="334" spans="1:9" x14ac:dyDescent="0.3">
      <c r="A334" s="29" t="s">
        <v>626</v>
      </c>
      <c r="B334" s="30">
        <v>46052</v>
      </c>
      <c r="C334" s="29" t="s">
        <v>228</v>
      </c>
      <c r="D334" s="24" t="str">
        <f>IFERROR(INDEX(Households!$B$5:$B$154,MATCH(C334,Households!$A$5:$A$154,0)),"Not in register")</f>
        <v>Site B – School Shelter</v>
      </c>
      <c r="E334" s="29" t="s">
        <v>68</v>
      </c>
      <c r="F334" s="29">
        <v>1</v>
      </c>
      <c r="G334" s="29" t="s">
        <v>191</v>
      </c>
      <c r="H334" s="29" t="s">
        <v>182</v>
      </c>
      <c r="I334" s="24" t="str">
        <f>IFERROR(IF(B334&gt;=INDEX(Households!$F$5:$F$154,MATCH(C334,Households!$A$5:$A$154,0)),"Yes","No – before latest assessment"),"")</f>
        <v>Yes</v>
      </c>
    </row>
    <row r="335" spans="1:9" x14ac:dyDescent="0.3">
      <c r="A335" s="29" t="s">
        <v>627</v>
      </c>
      <c r="B335" s="30">
        <v>46052</v>
      </c>
      <c r="C335" s="29" t="s">
        <v>592</v>
      </c>
      <c r="D335" s="24" t="str">
        <f>IFERROR(INDEX(Households!$B$5:$B$154,MATCH(C335,Households!$A$5:$A$154,0)),"Not in register")</f>
        <v>Site B – School Shelter</v>
      </c>
      <c r="E335" s="29" t="s">
        <v>61</v>
      </c>
      <c r="F335" s="29">
        <v>1</v>
      </c>
      <c r="G335" s="29" t="s">
        <v>351</v>
      </c>
      <c r="H335" s="29" t="s">
        <v>182</v>
      </c>
      <c r="I335" s="24" t="str">
        <f>IFERROR(IF(B335&gt;=INDEX(Households!$F$5:$F$154,MATCH(C335,Households!$A$5:$A$154,0)),"Yes","No – before latest assessment"),"")</f>
        <v>Yes</v>
      </c>
    </row>
    <row r="336" spans="1:9" x14ac:dyDescent="0.3">
      <c r="A336" s="29" t="s">
        <v>628</v>
      </c>
      <c r="B336" s="30">
        <v>46052</v>
      </c>
      <c r="C336" s="29" t="s">
        <v>426</v>
      </c>
      <c r="D336" s="24" t="str">
        <f>IFERROR(INDEX(Households!$B$5:$B$154,MATCH(C336,Households!$A$5:$A$154,0)),"Not in register")</f>
        <v>Site C – Informal Tent Area</v>
      </c>
      <c r="E336" s="29" t="s">
        <v>61</v>
      </c>
      <c r="F336" s="29">
        <v>1</v>
      </c>
      <c r="G336" s="29" t="s">
        <v>351</v>
      </c>
      <c r="H336" s="29" t="s">
        <v>182</v>
      </c>
      <c r="I336" s="24" t="str">
        <f>IFERROR(IF(B336&gt;=INDEX(Households!$F$5:$F$154,MATCH(C336,Households!$A$5:$A$154,0)),"Yes","No – before latest assessment"),"")</f>
        <v>Yes</v>
      </c>
    </row>
    <row r="337" spans="1:9" x14ac:dyDescent="0.3">
      <c r="A337" s="29" t="s">
        <v>629</v>
      </c>
      <c r="B337" s="30">
        <v>46052</v>
      </c>
      <c r="C337" s="29" t="s">
        <v>206</v>
      </c>
      <c r="D337" s="24" t="str">
        <f>IFERROR(INDEX(Households!$B$5:$B$154,MATCH(C337,Households!$A$5:$A$154,0)),"Not in register")</f>
        <v>Site C – Informal Tent Area</v>
      </c>
      <c r="E337" s="29" t="s">
        <v>54</v>
      </c>
      <c r="F337" s="29">
        <v>1</v>
      </c>
      <c r="G337" s="29" t="s">
        <v>185</v>
      </c>
      <c r="H337" s="29" t="s">
        <v>182</v>
      </c>
      <c r="I337" s="24" t="str">
        <f>IFERROR(IF(B337&gt;=INDEX(Households!$F$5:$F$154,MATCH(C337,Households!$A$5:$A$154,0)),"Yes","No – before latest assessment"),"")</f>
        <v>Yes</v>
      </c>
    </row>
    <row r="338" spans="1:9" x14ac:dyDescent="0.3">
      <c r="A338" s="29" t="s">
        <v>630</v>
      </c>
      <c r="B338" s="30">
        <v>46052</v>
      </c>
      <c r="C338" s="29" t="s">
        <v>600</v>
      </c>
      <c r="D338" s="24" t="str">
        <f>IFERROR(INDEX(Households!$B$5:$B$154,MATCH(C338,Households!$A$5:$A$154,0)),"Not in register")</f>
        <v>Site C – Informal Tent Area</v>
      </c>
      <c r="E338" s="29" t="s">
        <v>54</v>
      </c>
      <c r="F338" s="29">
        <v>3</v>
      </c>
      <c r="G338" s="29" t="s">
        <v>185</v>
      </c>
      <c r="H338" s="29" t="s">
        <v>182</v>
      </c>
      <c r="I338" s="24" t="str">
        <f>IFERROR(IF(B338&gt;=INDEX(Households!$F$5:$F$154,MATCH(C338,Households!$A$5:$A$154,0)),"Yes","No – before latest assessment"),"")</f>
        <v>Yes</v>
      </c>
    </row>
    <row r="339" spans="1:9" x14ac:dyDescent="0.3">
      <c r="A339" s="29" t="s">
        <v>631</v>
      </c>
      <c r="B339" s="30">
        <v>46052</v>
      </c>
      <c r="C339" s="29" t="s">
        <v>319</v>
      </c>
      <c r="D339" s="24" t="str">
        <f>IFERROR(INDEX(Households!$B$5:$B$154,MATCH(C339,Households!$A$5:$A$154,0)),"Not in register")</f>
        <v>Site C – Informal Tent Area</v>
      </c>
      <c r="E339" s="29" t="s">
        <v>57</v>
      </c>
      <c r="F339" s="29">
        <v>2</v>
      </c>
      <c r="G339" s="29" t="s">
        <v>351</v>
      </c>
      <c r="H339" s="29" t="s">
        <v>327</v>
      </c>
      <c r="I339" s="24" t="str">
        <f>IFERROR(IF(B339&gt;=INDEX(Households!$F$5:$F$154,MATCH(C339,Households!$A$5:$A$154,0)),"Yes","No – before latest assessment"),"")</f>
        <v>Yes</v>
      </c>
    </row>
    <row r="340" spans="1:9" x14ac:dyDescent="0.3">
      <c r="A340" s="29" t="s">
        <v>632</v>
      </c>
      <c r="B340" s="30">
        <v>46052</v>
      </c>
      <c r="C340" s="29" t="s">
        <v>442</v>
      </c>
      <c r="D340" s="24" t="str">
        <f>IFERROR(INDEX(Households!$B$5:$B$154,MATCH(C340,Households!$A$5:$A$154,0)),"Not in register")</f>
        <v>Site D – Collective Centre</v>
      </c>
      <c r="E340" s="29" t="s">
        <v>54</v>
      </c>
      <c r="F340" s="29">
        <v>11</v>
      </c>
      <c r="G340" s="29" t="s">
        <v>185</v>
      </c>
      <c r="H340" s="29" t="s">
        <v>182</v>
      </c>
      <c r="I340" s="24" t="str">
        <f>IFERROR(IF(B340&gt;=INDEX(Households!$F$5:$F$154,MATCH(C340,Households!$A$5:$A$154,0)),"Yes","No – before latest assessment"),"")</f>
        <v>Yes</v>
      </c>
    </row>
    <row r="341" spans="1:9" x14ac:dyDescent="0.3">
      <c r="A341" s="29" t="s">
        <v>633</v>
      </c>
      <c r="B341" s="30">
        <v>46052</v>
      </c>
      <c r="C341" s="29" t="s">
        <v>354</v>
      </c>
      <c r="D341" s="24" t="str">
        <f>IFERROR(INDEX(Households!$B$5:$B$154,MATCH(C341,Households!$A$5:$A$154,0)),"Not in register")</f>
        <v>Site D – Collective Centre</v>
      </c>
      <c r="E341" s="29" t="s">
        <v>63</v>
      </c>
      <c r="F341" s="29">
        <v>3</v>
      </c>
      <c r="G341" s="29" t="s">
        <v>189</v>
      </c>
      <c r="H341" s="29" t="s">
        <v>327</v>
      </c>
      <c r="I341" s="24" t="str">
        <f>IFERROR(IF(B341&gt;=INDEX(Households!$F$5:$F$154,MATCH(C341,Households!$A$5:$A$154,0)),"Yes","No – before latest assessment"),"")</f>
        <v>Yes</v>
      </c>
    </row>
    <row r="342" spans="1:9" x14ac:dyDescent="0.3">
      <c r="A342" s="29" t="s">
        <v>634</v>
      </c>
      <c r="B342" s="30">
        <v>46052</v>
      </c>
      <c r="C342" s="29" t="s">
        <v>635</v>
      </c>
      <c r="D342" s="24" t="str">
        <f>IFERROR(INDEX(Households!$B$5:$B$154,MATCH(C342,Households!$A$5:$A$154,0)),"Not in register")</f>
        <v>Site D – Collective Centre</v>
      </c>
      <c r="E342" s="29" t="s">
        <v>68</v>
      </c>
      <c r="F342" s="29">
        <v>1</v>
      </c>
      <c r="G342" s="29" t="s">
        <v>191</v>
      </c>
      <c r="H342" s="29" t="s">
        <v>182</v>
      </c>
      <c r="I342" s="24" t="str">
        <f>IFERROR(IF(B342&gt;=INDEX(Households!$F$5:$F$154,MATCH(C342,Households!$A$5:$A$154,0)),"Yes","No – before latest assessment"),"")</f>
        <v>Yes</v>
      </c>
    </row>
    <row r="343" spans="1:9" x14ac:dyDescent="0.3">
      <c r="A343" s="29" t="s">
        <v>636</v>
      </c>
      <c r="B343" s="30">
        <v>46052</v>
      </c>
      <c r="C343" s="29" t="s">
        <v>635</v>
      </c>
      <c r="D343" s="24" t="str">
        <f>IFERROR(INDEX(Households!$B$5:$B$154,MATCH(C343,Households!$A$5:$A$154,0)),"Not in register")</f>
        <v>Site D – Collective Centre</v>
      </c>
      <c r="E343" s="29" t="s">
        <v>70</v>
      </c>
      <c r="F343" s="29">
        <v>2</v>
      </c>
      <c r="G343" s="29" t="s">
        <v>191</v>
      </c>
      <c r="H343" s="29" t="s">
        <v>182</v>
      </c>
      <c r="I343" s="24" t="str">
        <f>IFERROR(IF(B343&gt;=INDEX(Households!$F$5:$F$154,MATCH(C343,Households!$A$5:$A$154,0)),"Yes","No – before latest assessment"),"")</f>
        <v>Yes</v>
      </c>
    </row>
    <row r="344" spans="1:9" x14ac:dyDescent="0.3">
      <c r="A344" s="29" t="s">
        <v>637</v>
      </c>
      <c r="B344" s="30">
        <v>46052</v>
      </c>
      <c r="C344" s="29" t="s">
        <v>220</v>
      </c>
      <c r="D344" s="24" t="str">
        <f>IFERROR(INDEX(Households!$B$5:$B$154,MATCH(C344,Households!$A$5:$A$154,0)),"Not in register")</f>
        <v>Site D – Collective Centre</v>
      </c>
      <c r="E344" s="29" t="s">
        <v>70</v>
      </c>
      <c r="F344" s="29">
        <v>1</v>
      </c>
      <c r="G344" s="29" t="s">
        <v>191</v>
      </c>
      <c r="H344" s="29" t="s">
        <v>182</v>
      </c>
      <c r="I344" s="24" t="str">
        <f>IFERROR(IF(B344&gt;=INDEX(Households!$F$5:$F$154,MATCH(C344,Households!$A$5:$A$154,0)),"Yes","No – before latest assessment"),"")</f>
        <v>Yes</v>
      </c>
    </row>
    <row r="345" spans="1:9" x14ac:dyDescent="0.3">
      <c r="A345" s="29" t="s">
        <v>638</v>
      </c>
      <c r="B345" s="30">
        <v>46053</v>
      </c>
      <c r="C345" s="29" t="s">
        <v>312</v>
      </c>
      <c r="D345" s="24" t="str">
        <f>IFERROR(INDEX(Households!$B$5:$B$154,MATCH(C345,Households!$A$5:$A$154,0)),"Not in register")</f>
        <v>Site A – School Shelter</v>
      </c>
      <c r="E345" s="29" t="s">
        <v>65</v>
      </c>
      <c r="F345" s="29">
        <v>1</v>
      </c>
      <c r="G345" s="29" t="s">
        <v>189</v>
      </c>
      <c r="H345" s="29" t="s">
        <v>327</v>
      </c>
      <c r="I345" s="24" t="str">
        <f>IFERROR(IF(B345&gt;=INDEX(Households!$F$5:$F$154,MATCH(C345,Households!$A$5:$A$154,0)),"Yes","No – before latest assessment"),"")</f>
        <v>Yes</v>
      </c>
    </row>
    <row r="346" spans="1:9" x14ac:dyDescent="0.3">
      <c r="A346" s="29" t="s">
        <v>639</v>
      </c>
      <c r="B346" s="30">
        <v>46053</v>
      </c>
      <c r="C346" s="29" t="s">
        <v>564</v>
      </c>
      <c r="D346" s="24" t="str">
        <f>IFERROR(INDEX(Households!$B$5:$B$154,MATCH(C346,Households!$A$5:$A$154,0)),"Not in register")</f>
        <v>Site A – School Shelter</v>
      </c>
      <c r="E346" s="29" t="s">
        <v>54</v>
      </c>
      <c r="F346" s="29">
        <v>5</v>
      </c>
      <c r="G346" s="29" t="s">
        <v>185</v>
      </c>
      <c r="H346" s="29" t="s">
        <v>182</v>
      </c>
      <c r="I346" s="24" t="str">
        <f>IFERROR(IF(B346&gt;=INDEX(Households!$F$5:$F$154,MATCH(C346,Households!$A$5:$A$154,0)),"Yes","No – before latest assessment"),"")</f>
        <v>Yes</v>
      </c>
    </row>
    <row r="347" spans="1:9" x14ac:dyDescent="0.3">
      <c r="A347" s="29" t="s">
        <v>640</v>
      </c>
      <c r="B347" s="30">
        <v>46053</v>
      </c>
      <c r="C347" s="29" t="s">
        <v>587</v>
      </c>
      <c r="D347" s="24" t="str">
        <f>IFERROR(INDEX(Households!$B$5:$B$154,MATCH(C347,Households!$A$5:$A$154,0)),"Not in register")</f>
        <v>Site A – School Shelter</v>
      </c>
      <c r="E347" s="29" t="s">
        <v>54</v>
      </c>
      <c r="F347" s="29">
        <v>7</v>
      </c>
      <c r="G347" s="29" t="s">
        <v>185</v>
      </c>
      <c r="H347" s="29" t="s">
        <v>182</v>
      </c>
      <c r="I347" s="24" t="str">
        <f>IFERROR(IF(B347&gt;=INDEX(Households!$F$5:$F$154,MATCH(C347,Households!$A$5:$A$154,0)),"Yes","No – before latest assessment"),"")</f>
        <v>Yes</v>
      </c>
    </row>
    <row r="348" spans="1:9" x14ac:dyDescent="0.3">
      <c r="A348" s="29" t="s">
        <v>641</v>
      </c>
      <c r="B348" s="30">
        <v>46053</v>
      </c>
      <c r="C348" s="29" t="s">
        <v>587</v>
      </c>
      <c r="D348" s="24" t="str">
        <f>IFERROR(INDEX(Households!$B$5:$B$154,MATCH(C348,Households!$A$5:$A$154,0)),"Not in register")</f>
        <v>Site A – School Shelter</v>
      </c>
      <c r="E348" s="29" t="s">
        <v>68</v>
      </c>
      <c r="F348" s="29">
        <v>1</v>
      </c>
      <c r="G348" s="29" t="s">
        <v>191</v>
      </c>
      <c r="H348" s="29" t="s">
        <v>182</v>
      </c>
      <c r="I348" s="24" t="str">
        <f>IFERROR(IF(B348&gt;=INDEX(Households!$F$5:$F$154,MATCH(C348,Households!$A$5:$A$154,0)),"Yes","No – before latest assessment"),"")</f>
        <v>Yes</v>
      </c>
    </row>
    <row r="349" spans="1:9" x14ac:dyDescent="0.3">
      <c r="A349" s="29" t="s">
        <v>642</v>
      </c>
      <c r="B349" s="30">
        <v>46053</v>
      </c>
      <c r="C349" s="29" t="s">
        <v>587</v>
      </c>
      <c r="D349" s="24" t="str">
        <f>IFERROR(INDEX(Households!$B$5:$B$154,MATCH(C349,Households!$A$5:$A$154,0)),"Not in register")</f>
        <v>Site A – School Shelter</v>
      </c>
      <c r="E349" s="29" t="s">
        <v>70</v>
      </c>
      <c r="F349" s="29">
        <v>1</v>
      </c>
      <c r="G349" s="29" t="s">
        <v>191</v>
      </c>
      <c r="H349" s="29" t="s">
        <v>182</v>
      </c>
      <c r="I349" s="24" t="str">
        <f>IFERROR(IF(B349&gt;=INDEX(Households!$F$5:$F$154,MATCH(C349,Households!$A$5:$A$154,0)),"Yes","No – before latest assessment"),"")</f>
        <v>Yes</v>
      </c>
    </row>
    <row r="350" spans="1:9" x14ac:dyDescent="0.3">
      <c r="A350" s="29" t="s">
        <v>643</v>
      </c>
      <c r="B350" s="30">
        <v>46053</v>
      </c>
      <c r="C350" s="29" t="s">
        <v>213</v>
      </c>
      <c r="D350" s="24" t="str">
        <f>IFERROR(INDEX(Households!$B$5:$B$154,MATCH(C350,Households!$A$5:$A$154,0)),"Not in register")</f>
        <v>Site A – School Shelter</v>
      </c>
      <c r="E350" s="29" t="s">
        <v>68</v>
      </c>
      <c r="F350" s="29">
        <v>1</v>
      </c>
      <c r="G350" s="29" t="s">
        <v>191</v>
      </c>
      <c r="H350" s="29" t="s">
        <v>182</v>
      </c>
      <c r="I350" s="24" t="str">
        <f>IFERROR(IF(B350&gt;=INDEX(Households!$F$5:$F$154,MATCH(C350,Households!$A$5:$A$154,0)),"Yes","No – before latest assessment"),"")</f>
        <v>Yes</v>
      </c>
    </row>
    <row r="351" spans="1:9" x14ac:dyDescent="0.3">
      <c r="A351" s="29" t="s">
        <v>644</v>
      </c>
      <c r="B351" s="30">
        <v>46053</v>
      </c>
      <c r="C351" s="29" t="s">
        <v>254</v>
      </c>
      <c r="D351" s="24" t="str">
        <f>IFERROR(INDEX(Households!$B$5:$B$154,MATCH(C351,Households!$A$5:$A$154,0)),"Not in register")</f>
        <v>Site A – School Shelter</v>
      </c>
      <c r="E351" s="29" t="s">
        <v>68</v>
      </c>
      <c r="F351" s="29">
        <v>1</v>
      </c>
      <c r="G351" s="29" t="s">
        <v>191</v>
      </c>
      <c r="H351" s="29" t="s">
        <v>182</v>
      </c>
      <c r="I351" s="24" t="str">
        <f>IFERROR(IF(B351&gt;=INDEX(Households!$F$5:$F$154,MATCH(C351,Households!$A$5:$A$154,0)),"Yes","No – before latest assessment"),"")</f>
        <v>Yes</v>
      </c>
    </row>
    <row r="352" spans="1:9" x14ac:dyDescent="0.3">
      <c r="A352" s="29" t="s">
        <v>645</v>
      </c>
      <c r="B352" s="30">
        <v>46053</v>
      </c>
      <c r="C352" s="29" t="s">
        <v>488</v>
      </c>
      <c r="D352" s="24" t="str">
        <f>IFERROR(INDEX(Households!$B$5:$B$154,MATCH(C352,Households!$A$5:$A$154,0)),"Not in register")</f>
        <v>Site B – School Shelter</v>
      </c>
      <c r="E352" s="29" t="s">
        <v>54</v>
      </c>
      <c r="F352" s="29">
        <v>5</v>
      </c>
      <c r="G352" s="29" t="s">
        <v>185</v>
      </c>
      <c r="H352" s="29" t="s">
        <v>182</v>
      </c>
      <c r="I352" s="24" t="str">
        <f>IFERROR(IF(B352&gt;=INDEX(Households!$F$5:$F$154,MATCH(C352,Households!$A$5:$A$154,0)),"Yes","No – before latest assessment"),"")</f>
        <v>Yes</v>
      </c>
    </row>
    <row r="353" spans="1:9" x14ac:dyDescent="0.3">
      <c r="A353" s="29" t="s">
        <v>646</v>
      </c>
      <c r="B353" s="30">
        <v>46053</v>
      </c>
      <c r="C353" s="29" t="s">
        <v>285</v>
      </c>
      <c r="D353" s="24" t="str">
        <f>IFERROR(INDEX(Households!$B$5:$B$154,MATCH(C353,Households!$A$5:$A$154,0)),"Not in register")</f>
        <v>Site B – School Shelter</v>
      </c>
      <c r="E353" s="29" t="s">
        <v>56</v>
      </c>
      <c r="F353" s="29">
        <v>2</v>
      </c>
      <c r="G353" s="29" t="s">
        <v>185</v>
      </c>
      <c r="H353" s="29" t="s">
        <v>182</v>
      </c>
      <c r="I353" s="24" t="str">
        <f>IFERROR(IF(B353&gt;=INDEX(Households!$F$5:$F$154,MATCH(C353,Households!$A$5:$A$154,0)),"Yes","No – before latest assessment"),"")</f>
        <v>Yes</v>
      </c>
    </row>
    <row r="354" spans="1:9" x14ac:dyDescent="0.3">
      <c r="A354" s="29" t="s">
        <v>647</v>
      </c>
      <c r="B354" s="30">
        <v>46053</v>
      </c>
      <c r="C354" s="29" t="s">
        <v>228</v>
      </c>
      <c r="D354" s="24" t="str">
        <f>IFERROR(INDEX(Households!$B$5:$B$154,MATCH(C354,Households!$A$5:$A$154,0)),"Not in register")</f>
        <v>Site B – School Shelter</v>
      </c>
      <c r="E354" s="29" t="s">
        <v>70</v>
      </c>
      <c r="F354" s="29">
        <v>2</v>
      </c>
      <c r="G354" s="29" t="s">
        <v>191</v>
      </c>
      <c r="H354" s="29" t="s">
        <v>182</v>
      </c>
      <c r="I354" s="24" t="str">
        <f>IFERROR(IF(B354&gt;=INDEX(Households!$F$5:$F$154,MATCH(C354,Households!$A$5:$A$154,0)),"Yes","No – before latest assessment"),"")</f>
        <v>Yes</v>
      </c>
    </row>
    <row r="355" spans="1:9" x14ac:dyDescent="0.3">
      <c r="A355" s="29" t="s">
        <v>648</v>
      </c>
      <c r="B355" s="30">
        <v>46053</v>
      </c>
      <c r="C355" s="29" t="s">
        <v>649</v>
      </c>
      <c r="D355" s="24" t="str">
        <f>IFERROR(INDEX(Households!$B$5:$B$154,MATCH(C355,Households!$A$5:$A$154,0)),"Not in register")</f>
        <v>Site B – School Shelter</v>
      </c>
      <c r="E355" s="29" t="s">
        <v>70</v>
      </c>
      <c r="F355" s="29">
        <v>1</v>
      </c>
      <c r="G355" s="29" t="s">
        <v>191</v>
      </c>
      <c r="H355" s="29" t="s">
        <v>182</v>
      </c>
      <c r="I355" s="24" t="str">
        <f>IFERROR(IF(B355&gt;=INDEX(Households!$F$5:$F$154,MATCH(C355,Households!$A$5:$A$154,0)),"Yes","No – before latest assessment"),"")</f>
        <v>Yes</v>
      </c>
    </row>
    <row r="356" spans="1:9" x14ac:dyDescent="0.3">
      <c r="A356" s="29" t="s">
        <v>650</v>
      </c>
      <c r="B356" s="30">
        <v>46053</v>
      </c>
      <c r="C356" s="29" t="s">
        <v>297</v>
      </c>
      <c r="D356" s="24" t="str">
        <f>IFERROR(INDEX(Households!$B$5:$B$154,MATCH(C356,Households!$A$5:$A$154,0)),"Not in register")</f>
        <v>Site B – School Shelter</v>
      </c>
      <c r="E356" s="29" t="s">
        <v>68</v>
      </c>
      <c r="F356" s="29">
        <v>1</v>
      </c>
      <c r="G356" s="29" t="s">
        <v>189</v>
      </c>
      <c r="H356" s="29" t="s">
        <v>182</v>
      </c>
      <c r="I356" s="24" t="str">
        <f>IFERROR(IF(B356&gt;=INDEX(Households!$F$5:$F$154,MATCH(C356,Households!$A$5:$A$154,0)),"Yes","No – before latest assessment"),"")</f>
        <v>Yes</v>
      </c>
    </row>
    <row r="357" spans="1:9" x14ac:dyDescent="0.3">
      <c r="A357" s="29" t="s">
        <v>651</v>
      </c>
      <c r="B357" s="30">
        <v>46053</v>
      </c>
      <c r="C357" s="29" t="s">
        <v>469</v>
      </c>
      <c r="D357" s="24" t="str">
        <f>IFERROR(INDEX(Households!$B$5:$B$154,MATCH(C357,Households!$A$5:$A$154,0)),"Not in register")</f>
        <v>Site B – School Shelter</v>
      </c>
      <c r="E357" s="29" t="s">
        <v>56</v>
      </c>
      <c r="F357" s="29">
        <v>1</v>
      </c>
      <c r="G357" s="29" t="s">
        <v>185</v>
      </c>
      <c r="H357" s="29" t="s">
        <v>182</v>
      </c>
      <c r="I357" s="24" t="str">
        <f>IFERROR(IF(B357&gt;=INDEX(Households!$F$5:$F$154,MATCH(C357,Households!$A$5:$A$154,0)),"Yes","No – before latest assessment"),"")</f>
        <v>Yes</v>
      </c>
    </row>
    <row r="358" spans="1:9" x14ac:dyDescent="0.3">
      <c r="A358" s="29" t="s">
        <v>652</v>
      </c>
      <c r="B358" s="30">
        <v>46053</v>
      </c>
      <c r="C358" s="29" t="s">
        <v>426</v>
      </c>
      <c r="D358" s="24" t="str">
        <f>IFERROR(INDEX(Households!$B$5:$B$154,MATCH(C358,Households!$A$5:$A$154,0)),"Not in register")</f>
        <v>Site C – Informal Tent Area</v>
      </c>
      <c r="E358" s="29" t="s">
        <v>56</v>
      </c>
      <c r="F358" s="29">
        <v>4</v>
      </c>
      <c r="G358" s="29" t="s">
        <v>185</v>
      </c>
      <c r="H358" s="29" t="s">
        <v>182</v>
      </c>
      <c r="I358" s="24" t="str">
        <f>IFERROR(IF(B358&gt;=INDEX(Households!$F$5:$F$154,MATCH(C358,Households!$A$5:$A$154,0)),"Yes","No – before latest assessment"),"")</f>
        <v>Yes</v>
      </c>
    </row>
    <row r="359" spans="1:9" x14ac:dyDescent="0.3">
      <c r="A359" s="29" t="s">
        <v>653</v>
      </c>
      <c r="B359" s="30">
        <v>46053</v>
      </c>
      <c r="C359" s="29" t="s">
        <v>532</v>
      </c>
      <c r="D359" s="24" t="str">
        <f>IFERROR(INDEX(Households!$B$5:$B$154,MATCH(C359,Households!$A$5:$A$154,0)),"Not in register")</f>
        <v>Site C – Informal Tent Area</v>
      </c>
      <c r="E359" s="29" t="s">
        <v>65</v>
      </c>
      <c r="F359" s="29">
        <v>1</v>
      </c>
      <c r="G359" s="29" t="s">
        <v>185</v>
      </c>
      <c r="H359" s="29" t="s">
        <v>182</v>
      </c>
      <c r="I359" s="24" t="str">
        <f>IFERROR(IF(B359&gt;=INDEX(Households!$F$5:$F$154,MATCH(C359,Households!$A$5:$A$154,0)),"Yes","No – before latest assessment"),"")</f>
        <v>Yes</v>
      </c>
    </row>
    <row r="360" spans="1:9" x14ac:dyDescent="0.3">
      <c r="A360" s="29" t="s">
        <v>654</v>
      </c>
      <c r="B360" s="30">
        <v>46053</v>
      </c>
      <c r="C360" s="29" t="s">
        <v>378</v>
      </c>
      <c r="D360" s="24" t="str">
        <f>IFERROR(INDEX(Households!$B$5:$B$154,MATCH(C360,Households!$A$5:$A$154,0)),"Not in register")</f>
        <v>Site C – Informal Tent Area</v>
      </c>
      <c r="E360" s="29" t="s">
        <v>66</v>
      </c>
      <c r="F360" s="29">
        <v>4</v>
      </c>
      <c r="G360" s="29" t="s">
        <v>181</v>
      </c>
      <c r="H360" s="29" t="s">
        <v>182</v>
      </c>
      <c r="I360" s="24" t="str">
        <f>IFERROR(IF(B360&gt;=INDEX(Households!$F$5:$F$154,MATCH(C360,Households!$A$5:$A$154,0)),"Yes","No – before latest assessment"),"")</f>
        <v>Yes</v>
      </c>
    </row>
    <row r="361" spans="1:9" x14ac:dyDescent="0.3">
      <c r="A361" s="29" t="s">
        <v>655</v>
      </c>
      <c r="B361" s="30">
        <v>46053</v>
      </c>
      <c r="C361" s="29" t="s">
        <v>303</v>
      </c>
      <c r="D361" s="24" t="str">
        <f>IFERROR(INDEX(Households!$B$5:$B$154,MATCH(C361,Households!$A$5:$A$154,0)),"Not in register")</f>
        <v>Site C – Informal Tent Area</v>
      </c>
      <c r="E361" s="29" t="s">
        <v>56</v>
      </c>
      <c r="F361" s="29">
        <v>1</v>
      </c>
      <c r="G361" s="29" t="s">
        <v>185</v>
      </c>
      <c r="H361" s="29" t="s">
        <v>182</v>
      </c>
      <c r="I361" s="24" t="str">
        <f>IFERROR(IF(B361&gt;=INDEX(Households!$F$5:$F$154,MATCH(C361,Households!$A$5:$A$154,0)),"Yes","No – before latest assessment"),"")</f>
        <v>Yes</v>
      </c>
    </row>
    <row r="362" spans="1:9" x14ac:dyDescent="0.3">
      <c r="A362" s="29" t="s">
        <v>656</v>
      </c>
      <c r="B362" s="30">
        <v>46053</v>
      </c>
      <c r="C362" s="29" t="s">
        <v>606</v>
      </c>
      <c r="D362" s="24" t="str">
        <f>IFERROR(INDEX(Households!$B$5:$B$154,MATCH(C362,Households!$A$5:$A$154,0)),"Not in register")</f>
        <v>Site C – Informal Tent Area</v>
      </c>
      <c r="E362" s="29" t="s">
        <v>54</v>
      </c>
      <c r="F362" s="29">
        <v>5</v>
      </c>
      <c r="G362" s="29" t="s">
        <v>185</v>
      </c>
      <c r="H362" s="29" t="s">
        <v>182</v>
      </c>
      <c r="I362" s="24" t="str">
        <f>IFERROR(IF(B362&gt;=INDEX(Households!$F$5:$F$154,MATCH(C362,Households!$A$5:$A$154,0)),"Yes","No – before latest assessment"),"")</f>
        <v>Yes</v>
      </c>
    </row>
    <row r="363" spans="1:9" x14ac:dyDescent="0.3">
      <c r="A363" s="29" t="s">
        <v>657</v>
      </c>
      <c r="B363" s="30">
        <v>46053</v>
      </c>
      <c r="C363" s="29" t="s">
        <v>354</v>
      </c>
      <c r="D363" s="24" t="str">
        <f>IFERROR(INDEX(Households!$B$5:$B$154,MATCH(C363,Households!$A$5:$A$154,0)),"Not in register")</f>
        <v>Site D – Collective Centre</v>
      </c>
      <c r="E363" s="29" t="s">
        <v>66</v>
      </c>
      <c r="F363" s="29">
        <v>1</v>
      </c>
      <c r="G363" s="29" t="s">
        <v>181</v>
      </c>
      <c r="H363" s="29" t="s">
        <v>182</v>
      </c>
      <c r="I363" s="24" t="str">
        <f>IFERROR(IF(B363&gt;=INDEX(Households!$F$5:$F$154,MATCH(C363,Households!$A$5:$A$154,0)),"Yes","No – before latest assessment"),"")</f>
        <v>Yes</v>
      </c>
    </row>
    <row r="364" spans="1:9" x14ac:dyDescent="0.3">
      <c r="A364" s="29" t="s">
        <v>658</v>
      </c>
      <c r="B364" s="30">
        <v>46053</v>
      </c>
      <c r="C364" s="29" t="s">
        <v>509</v>
      </c>
      <c r="D364" s="24" t="str">
        <f>IFERROR(INDEX(Households!$B$5:$B$154,MATCH(C364,Households!$A$5:$A$154,0)),"Not in register")</f>
        <v>Site D – Collective Centre</v>
      </c>
      <c r="E364" s="29" t="s">
        <v>54</v>
      </c>
      <c r="F364" s="29">
        <v>4</v>
      </c>
      <c r="G364" s="29" t="s">
        <v>185</v>
      </c>
      <c r="H364" s="29" t="s">
        <v>182</v>
      </c>
      <c r="I364" s="24" t="str">
        <f>IFERROR(IF(B364&gt;=INDEX(Households!$F$5:$F$154,MATCH(C364,Households!$A$5:$A$154,0)),"Yes","No – before latest assessment"),"")</f>
        <v>Yes</v>
      </c>
    </row>
    <row r="365" spans="1:9" x14ac:dyDescent="0.3">
      <c r="A365" s="29" t="s">
        <v>659</v>
      </c>
      <c r="B365" s="30">
        <v>46053</v>
      </c>
      <c r="C365" s="29" t="s">
        <v>509</v>
      </c>
      <c r="D365" s="24" t="str">
        <f>IFERROR(INDEX(Households!$B$5:$B$154,MATCH(C365,Households!$A$5:$A$154,0)),"Not in register")</f>
        <v>Site D – Collective Centre</v>
      </c>
      <c r="E365" s="29" t="s">
        <v>65</v>
      </c>
      <c r="F365" s="29">
        <v>3</v>
      </c>
      <c r="G365" s="29" t="s">
        <v>189</v>
      </c>
      <c r="H365" s="29" t="s">
        <v>182</v>
      </c>
      <c r="I365" s="24" t="str">
        <f>IFERROR(IF(B365&gt;=INDEX(Households!$F$5:$F$154,MATCH(C365,Households!$A$5:$A$154,0)),"Yes","No – before latest assessment"),"")</f>
        <v>Yes</v>
      </c>
    </row>
    <row r="366" spans="1:9" x14ac:dyDescent="0.3">
      <c r="A366" s="29" t="s">
        <v>660</v>
      </c>
      <c r="B366" s="30">
        <v>46053</v>
      </c>
      <c r="C366" s="29" t="s">
        <v>580</v>
      </c>
      <c r="D366" s="24" t="str">
        <f>IFERROR(INDEX(Households!$B$5:$B$154,MATCH(C366,Households!$A$5:$A$154,0)),"Not in register")</f>
        <v>Site D – Collective Centre</v>
      </c>
      <c r="E366" s="29" t="s">
        <v>66</v>
      </c>
      <c r="F366" s="29">
        <v>4</v>
      </c>
      <c r="G366" s="29" t="s">
        <v>181</v>
      </c>
      <c r="H366" s="29" t="s">
        <v>182</v>
      </c>
      <c r="I366" s="24" t="str">
        <f>IFERROR(IF(B366&gt;=INDEX(Households!$F$5:$F$154,MATCH(C366,Households!$A$5:$A$154,0)),"Yes","No – before latest assessment"),"")</f>
        <v>Yes</v>
      </c>
    </row>
    <row r="367" spans="1:9" x14ac:dyDescent="0.3">
      <c r="A367" s="29" t="s">
        <v>661</v>
      </c>
      <c r="B367" s="30">
        <v>46053</v>
      </c>
      <c r="C367" s="29" t="s">
        <v>580</v>
      </c>
      <c r="D367" s="24" t="str">
        <f>IFERROR(INDEX(Households!$B$5:$B$154,MATCH(C367,Households!$A$5:$A$154,0)),"Not in register")</f>
        <v>Site D – Collective Centre</v>
      </c>
      <c r="E367" s="29" t="s">
        <v>56</v>
      </c>
      <c r="F367" s="29">
        <v>1</v>
      </c>
      <c r="G367" s="29" t="s">
        <v>185</v>
      </c>
      <c r="H367" s="29" t="s">
        <v>327</v>
      </c>
      <c r="I367" s="24" t="str">
        <f>IFERROR(IF(B367&gt;=INDEX(Households!$F$5:$F$154,MATCH(C367,Households!$A$5:$A$154,0)),"Yes","No – before latest assessment"),"")</f>
        <v>Yes</v>
      </c>
    </row>
  </sheetData>
  <autoFilter ref="A4:I367" xr:uid="{00000000-0009-0000-0000-000005000000}"/>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Invalid entry" error="Choose a value from the list" xr:uid="{00000000-0002-0000-0500-000000000000}">
          <x14:formula1>
            <xm:f>Lists!$A$5:$A$14</xm:f>
          </x14:formula1>
          <x14:formula2>
            <xm:f>0</xm:f>
          </x14:formula2>
          <xm:sqref>E5:E367</xm:sqref>
        </x14:dataValidation>
        <x14:dataValidation type="list" allowBlank="1" errorTitle="Invalid entry" error="Choose a value from the list" xr:uid="{00000000-0002-0000-0500-000001000000}">
          <x14:formula1>
            <xm:f>Lists!$G$5:$G$9</xm:f>
          </x14:formula1>
          <x14:formula2>
            <xm:f>0</xm:f>
          </x14:formula2>
          <xm:sqref>G5:G367</xm:sqref>
        </x14:dataValidation>
        <x14:dataValidation type="list" allowBlank="1" errorTitle="Invalid entry" error="Choose a value from the list" xr:uid="{00000000-0002-0000-0500-000002000000}">
          <x14:formula1>
            <xm:f>Lists!$I$5:$I$6</xm:f>
          </x14:formula1>
          <x14:formula2>
            <xm:f>0</xm:f>
          </x14:formula2>
          <xm:sqref>H5:H367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52"/>
  <sheetViews>
    <sheetView showGridLines="0" zoomScaleNormal="100" workbookViewId="0">
      <pane ySplit="4" topLeftCell="A5" activePane="bottomLeft" state="frozen"/>
      <selection pane="bottomLeft"/>
    </sheetView>
  </sheetViews>
  <sheetFormatPr defaultColWidth="8.6640625" defaultRowHeight="14.4" x14ac:dyDescent="0.3"/>
  <cols>
    <col min="1" max="2" width="10" customWidth="1"/>
    <col min="3" max="3" width="27" customWidth="1"/>
    <col min="4" max="4" width="18" customWidth="1"/>
    <col min="5" max="5" width="46" customWidth="1"/>
    <col min="6" max="6" width="11" customWidth="1"/>
    <col min="7" max="7" width="18" customWidth="1"/>
    <col min="8" max="8" width="11" customWidth="1"/>
    <col min="9" max="9" width="34" customWidth="1"/>
    <col min="10" max="10" width="8" customWidth="1"/>
    <col min="11" max="11" width="10" customWidth="1"/>
  </cols>
  <sheetData>
    <row r="1" spans="1:11" ht="17.399999999999999" x14ac:dyDescent="0.3">
      <c r="A1" s="6" t="s">
        <v>662</v>
      </c>
    </row>
    <row r="2" spans="1:11" x14ac:dyDescent="0.3">
      <c r="A2" s="7" t="s">
        <v>663</v>
      </c>
    </row>
    <row r="4" spans="1:11" ht="42" customHeight="1" x14ac:dyDescent="0.3">
      <c r="A4" s="15" t="s">
        <v>664</v>
      </c>
      <c r="B4" s="15" t="s">
        <v>122</v>
      </c>
      <c r="C4" s="15" t="s">
        <v>174</v>
      </c>
      <c r="D4" s="15" t="s">
        <v>665</v>
      </c>
      <c r="E4" s="15" t="s">
        <v>666</v>
      </c>
      <c r="F4" s="15" t="s">
        <v>667</v>
      </c>
      <c r="G4" s="15" t="s">
        <v>668</v>
      </c>
      <c r="H4" s="15" t="s">
        <v>669</v>
      </c>
      <c r="I4" s="15" t="s">
        <v>670</v>
      </c>
      <c r="J4" s="15" t="s">
        <v>671</v>
      </c>
      <c r="K4" s="15" t="s">
        <v>672</v>
      </c>
    </row>
    <row r="5" spans="1:11" x14ac:dyDescent="0.3">
      <c r="A5" s="29" t="s">
        <v>673</v>
      </c>
      <c r="B5" s="29" t="s">
        <v>184</v>
      </c>
      <c r="C5" s="24" t="str">
        <f>IFERROR(INDEX(Households!$B$5:$B$154,MATCH(B5,Households!$A$5:$A$154,0)),"Not in register")</f>
        <v>Site A – School Shelter</v>
      </c>
      <c r="D5" s="29" t="s">
        <v>93</v>
      </c>
      <c r="E5" s="29" t="s">
        <v>674</v>
      </c>
      <c r="F5" s="30">
        <v>46007</v>
      </c>
      <c r="G5" s="29" t="s">
        <v>675</v>
      </c>
      <c r="H5" s="30">
        <v>46018</v>
      </c>
      <c r="I5" s="29" t="s">
        <v>103</v>
      </c>
      <c r="J5" s="27">
        <f>IF(OR(G5="Assistance received",G5="Closed"),IF(H5="","",H5-F5),Settings!$B$5-F5)</f>
        <v>11</v>
      </c>
      <c r="K5" s="25" t="str">
        <f>IF(AND(OR(G5="Referred",G5="Acknowledged"),N(J5)&gt;Settings!$B$18),"Overdue","")</f>
        <v/>
      </c>
    </row>
    <row r="6" spans="1:11" x14ac:dyDescent="0.3">
      <c r="A6" s="29" t="s">
        <v>676</v>
      </c>
      <c r="B6" s="29" t="s">
        <v>213</v>
      </c>
      <c r="C6" s="24" t="str">
        <f>IFERROR(INDEX(Households!$B$5:$B$154,MATCH(B6,Households!$A$5:$A$154,0)),"Not in register")</f>
        <v>Site A – School Shelter</v>
      </c>
      <c r="D6" s="29" t="s">
        <v>95</v>
      </c>
      <c r="E6" s="29" t="s">
        <v>677</v>
      </c>
      <c r="F6" s="30">
        <v>46011</v>
      </c>
      <c r="G6" s="29" t="s">
        <v>675</v>
      </c>
      <c r="H6" s="30">
        <v>46015</v>
      </c>
      <c r="I6" s="29"/>
      <c r="J6" s="27">
        <f>IF(OR(G6="Assistance received",G6="Closed"),IF(H6="","",H6-F6),Settings!$B$5-F6)</f>
        <v>4</v>
      </c>
      <c r="K6" s="25" t="str">
        <f>IF(AND(OR(G6="Referred",G6="Acknowledged"),N(J6)&gt;Settings!$B$18),"Overdue","")</f>
        <v/>
      </c>
    </row>
    <row r="7" spans="1:11" x14ac:dyDescent="0.3">
      <c r="A7" s="29" t="s">
        <v>678</v>
      </c>
      <c r="B7" s="29" t="s">
        <v>238</v>
      </c>
      <c r="C7" s="24" t="str">
        <f>IFERROR(INDEX(Households!$B$5:$B$154,MATCH(B7,Households!$A$5:$A$154,0)),"Not in register")</f>
        <v>Site C – Informal Tent Area</v>
      </c>
      <c r="D7" s="29" t="s">
        <v>93</v>
      </c>
      <c r="E7" s="29" t="s">
        <v>674</v>
      </c>
      <c r="F7" s="30">
        <v>46011</v>
      </c>
      <c r="G7" s="29" t="s">
        <v>679</v>
      </c>
      <c r="H7" s="30"/>
      <c r="I7" s="29" t="s">
        <v>101</v>
      </c>
      <c r="J7" s="27">
        <f>IF(OR(G7="Assistance received",G7="Closed"),IF(H7="","",H7-F7),Settings!$B$5-F7)</f>
        <v>42</v>
      </c>
      <c r="K7" s="25" t="str">
        <f>IF(AND(OR(G7="Referred",G7="Acknowledged"),N(J7)&gt;Settings!$B$18),"Overdue","")</f>
        <v>Overdue</v>
      </c>
    </row>
    <row r="8" spans="1:11" x14ac:dyDescent="0.3">
      <c r="A8" s="29" t="s">
        <v>680</v>
      </c>
      <c r="B8" s="29" t="s">
        <v>193</v>
      </c>
      <c r="C8" s="24" t="str">
        <f>IFERROR(INDEX(Households!$B$5:$B$154,MATCH(B8,Households!$A$5:$A$154,0)),"Not in register")</f>
        <v>Site B – School Shelter</v>
      </c>
      <c r="D8" s="29" t="s">
        <v>93</v>
      </c>
      <c r="E8" s="29" t="s">
        <v>674</v>
      </c>
      <c r="F8" s="30">
        <v>46013</v>
      </c>
      <c r="G8" s="29" t="s">
        <v>681</v>
      </c>
      <c r="H8" s="30">
        <v>46025</v>
      </c>
      <c r="I8" s="29" t="s">
        <v>103</v>
      </c>
      <c r="J8" s="27">
        <f>IF(OR(G8="Assistance received",G8="Closed"),IF(H8="","",H8-F8),Settings!$B$5-F8)</f>
        <v>12</v>
      </c>
      <c r="K8" s="25" t="str">
        <f>IF(AND(OR(G8="Referred",G8="Acknowledged"),N(J8)&gt;Settings!$B$18),"Overdue","")</f>
        <v/>
      </c>
    </row>
    <row r="9" spans="1:11" x14ac:dyDescent="0.3">
      <c r="A9" s="29" t="s">
        <v>682</v>
      </c>
      <c r="B9" s="29" t="s">
        <v>201</v>
      </c>
      <c r="C9" s="24" t="str">
        <f>IFERROR(INDEX(Households!$B$5:$B$154,MATCH(B9,Households!$A$5:$A$154,0)),"Not in register")</f>
        <v>Site C – Informal Tent Area</v>
      </c>
      <c r="D9" s="29" t="s">
        <v>95</v>
      </c>
      <c r="E9" s="29" t="s">
        <v>677</v>
      </c>
      <c r="F9" s="30">
        <v>46014</v>
      </c>
      <c r="G9" s="29" t="s">
        <v>681</v>
      </c>
      <c r="H9" s="30">
        <v>46019</v>
      </c>
      <c r="I9" s="29"/>
      <c r="J9" s="27">
        <f>IF(OR(G9="Assistance received",G9="Closed"),IF(H9="","",H9-F9),Settings!$B$5-F9)</f>
        <v>5</v>
      </c>
      <c r="K9" s="25" t="str">
        <f>IF(AND(OR(G9="Referred",G9="Acknowledged"),N(J9)&gt;Settings!$B$18),"Overdue","")</f>
        <v/>
      </c>
    </row>
    <row r="10" spans="1:11" x14ac:dyDescent="0.3">
      <c r="A10" s="29" t="s">
        <v>683</v>
      </c>
      <c r="B10" s="29" t="s">
        <v>259</v>
      </c>
      <c r="C10" s="24" t="str">
        <f>IFERROR(INDEX(Households!$B$5:$B$154,MATCH(B10,Households!$A$5:$A$154,0)),"Not in register")</f>
        <v>Site A – School Shelter</v>
      </c>
      <c r="D10" s="29" t="s">
        <v>95</v>
      </c>
      <c r="E10" s="29" t="s">
        <v>677</v>
      </c>
      <c r="F10" s="30">
        <v>46017</v>
      </c>
      <c r="G10" s="29" t="s">
        <v>675</v>
      </c>
      <c r="H10" s="30">
        <v>46035</v>
      </c>
      <c r="I10" s="29"/>
      <c r="J10" s="27">
        <f>IF(OR(G10="Assistance received",G10="Closed"),IF(H10="","",H10-F10),Settings!$B$5-F10)</f>
        <v>18</v>
      </c>
      <c r="K10" s="25" t="str">
        <f>IF(AND(OR(G10="Referred",G10="Acknowledged"),N(J10)&gt;Settings!$B$18),"Overdue","")</f>
        <v/>
      </c>
    </row>
    <row r="11" spans="1:11" x14ac:dyDescent="0.3">
      <c r="A11" s="29" t="s">
        <v>684</v>
      </c>
      <c r="B11" s="29" t="s">
        <v>257</v>
      </c>
      <c r="C11" s="24" t="str">
        <f>IFERROR(INDEX(Households!$B$5:$B$154,MATCH(B11,Households!$A$5:$A$154,0)),"Not in register")</f>
        <v>Site A – School Shelter</v>
      </c>
      <c r="D11" s="29" t="s">
        <v>93</v>
      </c>
      <c r="E11" s="29" t="s">
        <v>674</v>
      </c>
      <c r="F11" s="30">
        <v>46024</v>
      </c>
      <c r="G11" s="29" t="s">
        <v>681</v>
      </c>
      <c r="H11" s="30">
        <v>46027</v>
      </c>
      <c r="I11" s="29" t="s">
        <v>102</v>
      </c>
      <c r="J11" s="27">
        <f>IF(OR(G11="Assistance received",G11="Closed"),IF(H11="","",H11-F11),Settings!$B$5-F11)</f>
        <v>3</v>
      </c>
      <c r="K11" s="25" t="str">
        <f>IF(AND(OR(G11="Referred",G11="Acknowledged"),N(J11)&gt;Settings!$B$18),"Overdue","")</f>
        <v/>
      </c>
    </row>
    <row r="12" spans="1:11" x14ac:dyDescent="0.3">
      <c r="A12" s="29" t="s">
        <v>685</v>
      </c>
      <c r="B12" s="29" t="s">
        <v>289</v>
      </c>
      <c r="C12" s="24" t="str">
        <f>IFERROR(INDEX(Households!$B$5:$B$154,MATCH(B12,Households!$A$5:$A$154,0)),"Not in register")</f>
        <v>Site C – Informal Tent Area</v>
      </c>
      <c r="D12" s="29" t="s">
        <v>94</v>
      </c>
      <c r="E12" s="29" t="s">
        <v>686</v>
      </c>
      <c r="F12" s="30">
        <v>46025</v>
      </c>
      <c r="G12" s="29" t="s">
        <v>681</v>
      </c>
      <c r="H12" s="30">
        <v>46030</v>
      </c>
      <c r="I12" s="29"/>
      <c r="J12" s="27">
        <f>IF(OR(G12="Assistance received",G12="Closed"),IF(H12="","",H12-F12),Settings!$B$5-F12)</f>
        <v>5</v>
      </c>
      <c r="K12" s="25" t="str">
        <f>IF(AND(OR(G12="Referred",G12="Acknowledged"),N(J12)&gt;Settings!$B$18),"Overdue","")</f>
        <v/>
      </c>
    </row>
    <row r="13" spans="1:11" x14ac:dyDescent="0.3">
      <c r="A13" s="29" t="s">
        <v>687</v>
      </c>
      <c r="B13" s="29" t="s">
        <v>312</v>
      </c>
      <c r="C13" s="24" t="str">
        <f>IFERROR(INDEX(Households!$B$5:$B$154,MATCH(B13,Households!$A$5:$A$154,0)),"Not in register")</f>
        <v>Site A – School Shelter</v>
      </c>
      <c r="D13" s="29" t="s">
        <v>94</v>
      </c>
      <c r="E13" s="29" t="s">
        <v>686</v>
      </c>
      <c r="F13" s="30">
        <v>46027</v>
      </c>
      <c r="G13" s="29" t="s">
        <v>679</v>
      </c>
      <c r="H13" s="30"/>
      <c r="I13" s="29"/>
      <c r="J13" s="27">
        <f>IF(OR(G13="Assistance received",G13="Closed"),IF(H13="","",H13-F13),Settings!$B$5-F13)</f>
        <v>26</v>
      </c>
      <c r="K13" s="25" t="str">
        <f>IF(AND(OR(G13="Referred",G13="Acknowledged"),N(J13)&gt;Settings!$B$18),"Overdue","")</f>
        <v>Overdue</v>
      </c>
    </row>
    <row r="14" spans="1:11" x14ac:dyDescent="0.3">
      <c r="A14" s="29" t="s">
        <v>688</v>
      </c>
      <c r="B14" s="29" t="s">
        <v>525</v>
      </c>
      <c r="C14" s="24" t="str">
        <f>IFERROR(INDEX(Households!$B$5:$B$154,MATCH(B14,Households!$A$5:$A$154,0)),"Not in register")</f>
        <v>Site D – Collective Centre</v>
      </c>
      <c r="D14" s="29" t="s">
        <v>93</v>
      </c>
      <c r="E14" s="29" t="s">
        <v>674</v>
      </c>
      <c r="F14" s="30">
        <v>46027</v>
      </c>
      <c r="G14" s="29" t="s">
        <v>679</v>
      </c>
      <c r="H14" s="30"/>
      <c r="I14" s="29" t="s">
        <v>101</v>
      </c>
      <c r="J14" s="27">
        <f>IF(OR(G14="Assistance received",G14="Closed"),IF(H14="","",H14-F14),Settings!$B$5-F14)</f>
        <v>26</v>
      </c>
      <c r="K14" s="25" t="str">
        <f>IF(AND(OR(G14="Referred",G14="Acknowledged"),N(J14)&gt;Settings!$B$18),"Overdue","")</f>
        <v>Overdue</v>
      </c>
    </row>
    <row r="15" spans="1:11" x14ac:dyDescent="0.3">
      <c r="A15" s="29" t="s">
        <v>689</v>
      </c>
      <c r="B15" s="29" t="s">
        <v>295</v>
      </c>
      <c r="C15" s="24" t="str">
        <f>IFERROR(INDEX(Households!$B$5:$B$154,MATCH(B15,Households!$A$5:$A$154,0)),"Not in register")</f>
        <v>Site A – School Shelter</v>
      </c>
      <c r="D15" s="29" t="s">
        <v>94</v>
      </c>
      <c r="E15" s="29" t="s">
        <v>686</v>
      </c>
      <c r="F15" s="30">
        <v>46028</v>
      </c>
      <c r="G15" s="29" t="s">
        <v>681</v>
      </c>
      <c r="H15" s="30">
        <v>46044</v>
      </c>
      <c r="I15" s="29"/>
      <c r="J15" s="27">
        <f>IF(OR(G15="Assistance received",G15="Closed"),IF(H15="","",H15-F15),Settings!$B$5-F15)</f>
        <v>16</v>
      </c>
      <c r="K15" s="25" t="str">
        <f>IF(AND(OR(G15="Referred",G15="Acknowledged"),N(J15)&gt;Settings!$B$18),"Overdue","")</f>
        <v/>
      </c>
    </row>
    <row r="16" spans="1:11" x14ac:dyDescent="0.3">
      <c r="A16" s="29" t="s">
        <v>690</v>
      </c>
      <c r="B16" s="29" t="s">
        <v>289</v>
      </c>
      <c r="C16" s="24" t="str">
        <f>IFERROR(INDEX(Households!$B$5:$B$154,MATCH(B16,Households!$A$5:$A$154,0)),"Not in register")</f>
        <v>Site C – Informal Tent Area</v>
      </c>
      <c r="D16" s="29" t="s">
        <v>97</v>
      </c>
      <c r="E16" s="29" t="s">
        <v>691</v>
      </c>
      <c r="F16" s="30">
        <v>46028</v>
      </c>
      <c r="G16" s="29" t="s">
        <v>681</v>
      </c>
      <c r="H16" s="30">
        <v>46038</v>
      </c>
      <c r="I16" s="29"/>
      <c r="J16" s="27">
        <f>IF(OR(G16="Assistance received",G16="Closed"),IF(H16="","",H16-F16),Settings!$B$5-F16)</f>
        <v>10</v>
      </c>
      <c r="K16" s="25" t="str">
        <f>IF(AND(OR(G16="Referred",G16="Acknowledged"),N(J16)&gt;Settings!$B$18),"Overdue","")</f>
        <v/>
      </c>
    </row>
    <row r="17" spans="1:11" x14ac:dyDescent="0.3">
      <c r="A17" s="29" t="s">
        <v>692</v>
      </c>
      <c r="B17" s="29" t="s">
        <v>412</v>
      </c>
      <c r="C17" s="24" t="str">
        <f>IFERROR(INDEX(Households!$B$5:$B$154,MATCH(B17,Households!$A$5:$A$154,0)),"Not in register")</f>
        <v>Site C – Informal Tent Area</v>
      </c>
      <c r="D17" s="29" t="s">
        <v>95</v>
      </c>
      <c r="E17" s="29" t="s">
        <v>677</v>
      </c>
      <c r="F17" s="30">
        <v>46028</v>
      </c>
      <c r="G17" s="29" t="s">
        <v>679</v>
      </c>
      <c r="H17" s="30"/>
      <c r="I17" s="29"/>
      <c r="J17" s="27">
        <f>IF(OR(G17="Assistance received",G17="Closed"),IF(H17="","",H17-F17),Settings!$B$5-F17)</f>
        <v>25</v>
      </c>
      <c r="K17" s="25" t="str">
        <f>IF(AND(OR(G17="Referred",G17="Acknowledged"),N(J17)&gt;Settings!$B$18),"Overdue","")</f>
        <v>Overdue</v>
      </c>
    </row>
    <row r="18" spans="1:11" x14ac:dyDescent="0.3">
      <c r="A18" s="29" t="s">
        <v>693</v>
      </c>
      <c r="B18" s="29" t="s">
        <v>180</v>
      </c>
      <c r="C18" s="24" t="str">
        <f>IFERROR(INDEX(Households!$B$5:$B$154,MATCH(B18,Households!$A$5:$A$154,0)),"Not in register")</f>
        <v>Site A – School Shelter</v>
      </c>
      <c r="D18" s="29" t="s">
        <v>94</v>
      </c>
      <c r="E18" s="29" t="s">
        <v>686</v>
      </c>
      <c r="F18" s="30">
        <v>46030</v>
      </c>
      <c r="G18" s="29" t="s">
        <v>681</v>
      </c>
      <c r="H18" s="30">
        <v>46035</v>
      </c>
      <c r="I18" s="29"/>
      <c r="J18" s="27">
        <f>IF(OR(G18="Assistance received",G18="Closed"),IF(H18="","",H18-F18),Settings!$B$5-F18)</f>
        <v>5</v>
      </c>
      <c r="K18" s="25" t="str">
        <f>IF(AND(OR(G18="Referred",G18="Acknowledged"),N(J18)&gt;Settings!$B$18),"Overdue","")</f>
        <v/>
      </c>
    </row>
    <row r="19" spans="1:11" x14ac:dyDescent="0.3">
      <c r="A19" s="29" t="s">
        <v>694</v>
      </c>
      <c r="B19" s="29" t="s">
        <v>442</v>
      </c>
      <c r="C19" s="24" t="str">
        <f>IFERROR(INDEX(Households!$B$5:$B$154,MATCH(B19,Households!$A$5:$A$154,0)),"Not in register")</f>
        <v>Site D – Collective Centre</v>
      </c>
      <c r="D19" s="29" t="s">
        <v>93</v>
      </c>
      <c r="E19" s="29" t="s">
        <v>674</v>
      </c>
      <c r="F19" s="30">
        <v>46030</v>
      </c>
      <c r="G19" s="29" t="s">
        <v>679</v>
      </c>
      <c r="H19" s="30"/>
      <c r="I19" s="29" t="s">
        <v>101</v>
      </c>
      <c r="J19" s="27">
        <f>IF(OR(G19="Assistance received",G19="Closed"),IF(H19="","",H19-F19),Settings!$B$5-F19)</f>
        <v>23</v>
      </c>
      <c r="K19" s="25" t="str">
        <f>IF(AND(OR(G19="Referred",G19="Acknowledged"),N(J19)&gt;Settings!$B$18),"Overdue","")</f>
        <v>Overdue</v>
      </c>
    </row>
    <row r="20" spans="1:11" x14ac:dyDescent="0.3">
      <c r="A20" s="29" t="s">
        <v>695</v>
      </c>
      <c r="B20" s="29" t="s">
        <v>276</v>
      </c>
      <c r="C20" s="24" t="str">
        <f>IFERROR(INDEX(Households!$B$5:$B$154,MATCH(B20,Households!$A$5:$A$154,0)),"Not in register")</f>
        <v>Site D – Collective Centre</v>
      </c>
      <c r="D20" s="29" t="s">
        <v>96</v>
      </c>
      <c r="E20" s="29" t="s">
        <v>696</v>
      </c>
      <c r="F20" s="30">
        <v>46030</v>
      </c>
      <c r="G20" s="29" t="s">
        <v>681</v>
      </c>
      <c r="H20" s="30">
        <v>46035</v>
      </c>
      <c r="I20" s="29"/>
      <c r="J20" s="27">
        <f>IF(OR(G20="Assistance received",G20="Closed"),IF(H20="","",H20-F20),Settings!$B$5-F20)</f>
        <v>5</v>
      </c>
      <c r="K20" s="25" t="str">
        <f>IF(AND(OR(G20="Referred",G20="Acknowledged"),N(J20)&gt;Settings!$B$18),"Overdue","")</f>
        <v/>
      </c>
    </row>
    <row r="21" spans="1:11" x14ac:dyDescent="0.3">
      <c r="A21" s="29" t="s">
        <v>697</v>
      </c>
      <c r="B21" s="29" t="s">
        <v>225</v>
      </c>
      <c r="C21" s="24" t="str">
        <f>IFERROR(INDEX(Households!$B$5:$B$154,MATCH(B21,Households!$A$5:$A$154,0)),"Not in register")</f>
        <v>Site C – Informal Tent Area</v>
      </c>
      <c r="D21" s="29" t="s">
        <v>95</v>
      </c>
      <c r="E21" s="29" t="s">
        <v>677</v>
      </c>
      <c r="F21" s="30">
        <v>46031</v>
      </c>
      <c r="G21" s="29" t="s">
        <v>679</v>
      </c>
      <c r="H21" s="30"/>
      <c r="I21" s="29"/>
      <c r="J21" s="27">
        <f>IF(OR(G21="Assistance received",G21="Closed"),IF(H21="","",H21-F21),Settings!$B$5-F21)</f>
        <v>22</v>
      </c>
      <c r="K21" s="25" t="str">
        <f>IF(AND(OR(G21="Referred",G21="Acknowledged"),N(J21)&gt;Settings!$B$18),"Overdue","")</f>
        <v>Overdue</v>
      </c>
    </row>
    <row r="22" spans="1:11" x14ac:dyDescent="0.3">
      <c r="A22" s="29" t="s">
        <v>698</v>
      </c>
      <c r="B22" s="29" t="s">
        <v>303</v>
      </c>
      <c r="C22" s="24" t="str">
        <f>IFERROR(INDEX(Households!$B$5:$B$154,MATCH(B22,Households!$A$5:$A$154,0)),"Not in register")</f>
        <v>Site C – Informal Tent Area</v>
      </c>
      <c r="D22" s="29" t="s">
        <v>93</v>
      </c>
      <c r="E22" s="29" t="s">
        <v>674</v>
      </c>
      <c r="F22" s="30">
        <v>46032</v>
      </c>
      <c r="G22" s="29" t="s">
        <v>681</v>
      </c>
      <c r="H22" s="30">
        <v>46035</v>
      </c>
      <c r="I22" s="29" t="s">
        <v>102</v>
      </c>
      <c r="J22" s="27">
        <f>IF(OR(G22="Assistance received",G22="Closed"),IF(H22="","",H22-F22),Settings!$B$5-F22)</f>
        <v>3</v>
      </c>
      <c r="K22" s="25" t="str">
        <f>IF(AND(OR(G22="Referred",G22="Acknowledged"),N(J22)&gt;Settings!$B$18),"Overdue","")</f>
        <v/>
      </c>
    </row>
    <row r="23" spans="1:11" x14ac:dyDescent="0.3">
      <c r="A23" s="29" t="s">
        <v>699</v>
      </c>
      <c r="B23" s="29" t="s">
        <v>700</v>
      </c>
      <c r="C23" s="24" t="str">
        <f>IFERROR(INDEX(Households!$B$5:$B$154,MATCH(B23,Households!$A$5:$A$154,0)),"Not in register")</f>
        <v>Site C – Informal Tent Area</v>
      </c>
      <c r="D23" s="29" t="s">
        <v>97</v>
      </c>
      <c r="E23" s="29" t="s">
        <v>691</v>
      </c>
      <c r="F23" s="30">
        <v>46033</v>
      </c>
      <c r="G23" s="29" t="s">
        <v>701</v>
      </c>
      <c r="H23" s="30"/>
      <c r="I23" s="29"/>
      <c r="J23" s="27">
        <f>IF(OR(G23="Assistance received",G23="Closed"),IF(H23="","",H23-F23),Settings!$B$5-F23)</f>
        <v>20</v>
      </c>
      <c r="K23" s="25" t="str">
        <f>IF(AND(OR(G23="Referred",G23="Acknowledged"),N(J23)&gt;Settings!$B$18),"Overdue","")</f>
        <v>Overdue</v>
      </c>
    </row>
    <row r="24" spans="1:11" x14ac:dyDescent="0.3">
      <c r="A24" s="29" t="s">
        <v>702</v>
      </c>
      <c r="B24" s="29" t="s">
        <v>322</v>
      </c>
      <c r="C24" s="24" t="str">
        <f>IFERROR(INDEX(Households!$B$5:$B$154,MATCH(B24,Households!$A$5:$A$154,0)),"Not in register")</f>
        <v>Site D – Collective Centre</v>
      </c>
      <c r="D24" s="29" t="s">
        <v>95</v>
      </c>
      <c r="E24" s="29" t="s">
        <v>677</v>
      </c>
      <c r="F24" s="30">
        <v>46033</v>
      </c>
      <c r="G24" s="29" t="s">
        <v>681</v>
      </c>
      <c r="H24" s="30">
        <v>46046</v>
      </c>
      <c r="I24" s="29"/>
      <c r="J24" s="27">
        <f>IF(OR(G24="Assistance received",G24="Closed"),IF(H24="","",H24-F24),Settings!$B$5-F24)</f>
        <v>13</v>
      </c>
      <c r="K24" s="25" t="str">
        <f>IF(AND(OR(G24="Referred",G24="Acknowledged"),N(J24)&gt;Settings!$B$18),"Overdue","")</f>
        <v/>
      </c>
    </row>
    <row r="25" spans="1:11" x14ac:dyDescent="0.3">
      <c r="A25" s="29" t="s">
        <v>703</v>
      </c>
      <c r="B25" s="29" t="s">
        <v>187</v>
      </c>
      <c r="C25" s="24" t="str">
        <f>IFERROR(INDEX(Households!$B$5:$B$154,MATCH(B25,Households!$A$5:$A$154,0)),"Not in register")</f>
        <v>Site A – School Shelter</v>
      </c>
      <c r="D25" s="29" t="s">
        <v>96</v>
      </c>
      <c r="E25" s="29" t="s">
        <v>696</v>
      </c>
      <c r="F25" s="30">
        <v>46034</v>
      </c>
      <c r="G25" s="29" t="s">
        <v>679</v>
      </c>
      <c r="H25" s="30"/>
      <c r="I25" s="29"/>
      <c r="J25" s="27">
        <f>IF(OR(G25="Assistance received",G25="Closed"),IF(H25="","",H25-F25),Settings!$B$5-F25)</f>
        <v>19</v>
      </c>
      <c r="K25" s="25" t="str">
        <f>IF(AND(OR(G25="Referred",G25="Acknowledged"),N(J25)&gt;Settings!$B$18),"Overdue","")</f>
        <v>Overdue</v>
      </c>
    </row>
    <row r="26" spans="1:11" x14ac:dyDescent="0.3">
      <c r="A26" s="29" t="s">
        <v>704</v>
      </c>
      <c r="B26" s="29" t="s">
        <v>180</v>
      </c>
      <c r="C26" s="24" t="str">
        <f>IFERROR(INDEX(Households!$B$5:$B$154,MATCH(B26,Households!$A$5:$A$154,0)),"Not in register")</f>
        <v>Site A – School Shelter</v>
      </c>
      <c r="D26" s="29" t="s">
        <v>93</v>
      </c>
      <c r="E26" s="29" t="s">
        <v>674</v>
      </c>
      <c r="F26" s="30">
        <v>46035</v>
      </c>
      <c r="G26" s="29" t="s">
        <v>679</v>
      </c>
      <c r="H26" s="30"/>
      <c r="I26" s="29" t="s">
        <v>101</v>
      </c>
      <c r="J26" s="27">
        <f>IF(OR(G26="Assistance received",G26="Closed"),IF(H26="","",H26-F26),Settings!$B$5-F26)</f>
        <v>18</v>
      </c>
      <c r="K26" s="25" t="str">
        <f>IF(AND(OR(G26="Referred",G26="Acknowledged"),N(J26)&gt;Settings!$B$18),"Overdue","")</f>
        <v>Overdue</v>
      </c>
    </row>
    <row r="27" spans="1:11" x14ac:dyDescent="0.3">
      <c r="A27" s="29" t="s">
        <v>705</v>
      </c>
      <c r="B27" s="29" t="s">
        <v>335</v>
      </c>
      <c r="C27" s="24" t="str">
        <f>IFERROR(INDEX(Households!$B$5:$B$154,MATCH(B27,Households!$A$5:$A$154,0)),"Not in register")</f>
        <v>Site A – School Shelter</v>
      </c>
      <c r="D27" s="29" t="s">
        <v>94</v>
      </c>
      <c r="E27" s="29" t="s">
        <v>686</v>
      </c>
      <c r="F27" s="30">
        <v>46037</v>
      </c>
      <c r="G27" s="29" t="s">
        <v>675</v>
      </c>
      <c r="H27" s="30">
        <v>46041</v>
      </c>
      <c r="I27" s="29"/>
      <c r="J27" s="27">
        <f>IF(OR(G27="Assistance received",G27="Closed"),IF(H27="","",H27-F27),Settings!$B$5-F27)</f>
        <v>4</v>
      </c>
      <c r="K27" s="25" t="str">
        <f>IF(AND(OR(G27="Referred",G27="Acknowledged"),N(J27)&gt;Settings!$B$18),"Overdue","")</f>
        <v/>
      </c>
    </row>
    <row r="28" spans="1:11" x14ac:dyDescent="0.3">
      <c r="A28" s="29" t="s">
        <v>706</v>
      </c>
      <c r="B28" s="29" t="s">
        <v>272</v>
      </c>
      <c r="C28" s="24" t="str">
        <f>IFERROR(INDEX(Households!$B$5:$B$154,MATCH(B28,Households!$A$5:$A$154,0)),"Not in register")</f>
        <v>Site C – Informal Tent Area</v>
      </c>
      <c r="D28" s="29" t="s">
        <v>97</v>
      </c>
      <c r="E28" s="29" t="s">
        <v>691</v>
      </c>
      <c r="F28" s="30">
        <v>46040</v>
      </c>
      <c r="G28" s="29" t="s">
        <v>701</v>
      </c>
      <c r="H28" s="30"/>
      <c r="I28" s="29"/>
      <c r="J28" s="27">
        <f>IF(OR(G28="Assistance received",G28="Closed"),IF(H28="","",H28-F28),Settings!$B$5-F28)</f>
        <v>13</v>
      </c>
      <c r="K28" s="25" t="str">
        <f>IF(AND(OR(G28="Referred",G28="Acknowledged"),N(J28)&gt;Settings!$B$18),"Overdue","")</f>
        <v/>
      </c>
    </row>
    <row r="29" spans="1:11" x14ac:dyDescent="0.3">
      <c r="A29" s="29" t="s">
        <v>707</v>
      </c>
      <c r="B29" s="29" t="s">
        <v>532</v>
      </c>
      <c r="C29" s="24" t="str">
        <f>IFERROR(INDEX(Households!$B$5:$B$154,MATCH(B29,Households!$A$5:$A$154,0)),"Not in register")</f>
        <v>Site C – Informal Tent Area</v>
      </c>
      <c r="D29" s="29" t="s">
        <v>97</v>
      </c>
      <c r="E29" s="29" t="s">
        <v>691</v>
      </c>
      <c r="F29" s="30">
        <v>46040</v>
      </c>
      <c r="G29" s="29" t="s">
        <v>675</v>
      </c>
      <c r="H29" s="30">
        <v>46046</v>
      </c>
      <c r="I29" s="29"/>
      <c r="J29" s="27">
        <f>IF(OR(G29="Assistance received",G29="Closed"),IF(H29="","",H29-F29),Settings!$B$5-F29)</f>
        <v>6</v>
      </c>
      <c r="K29" s="25" t="str">
        <f>IF(AND(OR(G29="Referred",G29="Acknowledged"),N(J29)&gt;Settings!$B$18),"Overdue","")</f>
        <v/>
      </c>
    </row>
    <row r="30" spans="1:11" x14ac:dyDescent="0.3">
      <c r="A30" s="29" t="s">
        <v>708</v>
      </c>
      <c r="B30" s="29" t="s">
        <v>206</v>
      </c>
      <c r="C30" s="24" t="str">
        <f>IFERROR(INDEX(Households!$B$5:$B$154,MATCH(B30,Households!$A$5:$A$154,0)),"Not in register")</f>
        <v>Site C – Informal Tent Area</v>
      </c>
      <c r="D30" s="29" t="s">
        <v>97</v>
      </c>
      <c r="E30" s="29" t="s">
        <v>691</v>
      </c>
      <c r="F30" s="30">
        <v>46040</v>
      </c>
      <c r="G30" s="29" t="s">
        <v>701</v>
      </c>
      <c r="H30" s="30"/>
      <c r="I30" s="29"/>
      <c r="J30" s="27">
        <f>IF(OR(G30="Assistance received",G30="Closed"),IF(H30="","",H30-F30),Settings!$B$5-F30)</f>
        <v>13</v>
      </c>
      <c r="K30" s="25" t="str">
        <f>IF(AND(OR(G30="Referred",G30="Acknowledged"),N(J30)&gt;Settings!$B$18),"Overdue","")</f>
        <v/>
      </c>
    </row>
    <row r="31" spans="1:11" x14ac:dyDescent="0.3">
      <c r="A31" s="29" t="s">
        <v>709</v>
      </c>
      <c r="B31" s="29" t="s">
        <v>385</v>
      </c>
      <c r="C31" s="24" t="str">
        <f>IFERROR(INDEX(Households!$B$5:$B$154,MATCH(B31,Households!$A$5:$A$154,0)),"Not in register")</f>
        <v>Site A – School Shelter</v>
      </c>
      <c r="D31" s="29" t="s">
        <v>95</v>
      </c>
      <c r="E31" s="29" t="s">
        <v>677</v>
      </c>
      <c r="F31" s="30">
        <v>46041</v>
      </c>
      <c r="G31" s="29" t="s">
        <v>679</v>
      </c>
      <c r="H31" s="30"/>
      <c r="I31" s="29"/>
      <c r="J31" s="27">
        <f>IF(OR(G31="Assistance received",G31="Closed"),IF(H31="","",H31-F31),Settings!$B$5-F31)</f>
        <v>12</v>
      </c>
      <c r="K31" s="25" t="str">
        <f>IF(AND(OR(G31="Referred",G31="Acknowledged"),N(J31)&gt;Settings!$B$18),"Overdue","")</f>
        <v/>
      </c>
    </row>
    <row r="32" spans="1:11" x14ac:dyDescent="0.3">
      <c r="A32" s="29" t="s">
        <v>710</v>
      </c>
      <c r="B32" s="29" t="s">
        <v>201</v>
      </c>
      <c r="C32" s="24" t="str">
        <f>IFERROR(INDEX(Households!$B$5:$B$154,MATCH(B32,Households!$A$5:$A$154,0)),"Not in register")</f>
        <v>Site C – Informal Tent Area</v>
      </c>
      <c r="D32" s="29" t="s">
        <v>97</v>
      </c>
      <c r="E32" s="29" t="s">
        <v>691</v>
      </c>
      <c r="F32" s="30">
        <v>46041</v>
      </c>
      <c r="G32" s="29" t="s">
        <v>701</v>
      </c>
      <c r="H32" s="30"/>
      <c r="I32" s="29"/>
      <c r="J32" s="27">
        <f>IF(OR(G32="Assistance received",G32="Closed"),IF(H32="","",H32-F32),Settings!$B$5-F32)</f>
        <v>12</v>
      </c>
      <c r="K32" s="25" t="str">
        <f>IF(AND(OR(G32="Referred",G32="Acknowledged"),N(J32)&gt;Settings!$B$18),"Overdue","")</f>
        <v/>
      </c>
    </row>
    <row r="33" spans="1:11" x14ac:dyDescent="0.3">
      <c r="A33" s="29" t="s">
        <v>711</v>
      </c>
      <c r="B33" s="29" t="s">
        <v>523</v>
      </c>
      <c r="C33" s="24" t="str">
        <f>IFERROR(INDEX(Households!$B$5:$B$154,MATCH(B33,Households!$A$5:$A$154,0)),"Not in register")</f>
        <v>Site C – Informal Tent Area</v>
      </c>
      <c r="D33" s="29" t="s">
        <v>97</v>
      </c>
      <c r="E33" s="29" t="s">
        <v>691</v>
      </c>
      <c r="F33" s="30">
        <v>46041</v>
      </c>
      <c r="G33" s="29" t="s">
        <v>681</v>
      </c>
      <c r="H33" s="30">
        <v>46053</v>
      </c>
      <c r="I33" s="29"/>
      <c r="J33" s="27">
        <f>IF(OR(G33="Assistance received",G33="Closed"),IF(H33="","",H33-F33),Settings!$B$5-F33)</f>
        <v>12</v>
      </c>
      <c r="K33" s="25" t="str">
        <f>IF(AND(OR(G33="Referred",G33="Acknowledged"),N(J33)&gt;Settings!$B$18),"Overdue","")</f>
        <v/>
      </c>
    </row>
    <row r="34" spans="1:11" x14ac:dyDescent="0.3">
      <c r="A34" s="29" t="s">
        <v>712</v>
      </c>
      <c r="B34" s="29" t="s">
        <v>272</v>
      </c>
      <c r="C34" s="24" t="str">
        <f>IFERROR(INDEX(Households!$B$5:$B$154,MATCH(B34,Households!$A$5:$A$154,0)),"Not in register")</f>
        <v>Site C – Informal Tent Area</v>
      </c>
      <c r="D34" s="29" t="s">
        <v>96</v>
      </c>
      <c r="E34" s="29" t="s">
        <v>696</v>
      </c>
      <c r="F34" s="30">
        <v>46042</v>
      </c>
      <c r="G34" s="29" t="s">
        <v>681</v>
      </c>
      <c r="H34" s="30">
        <v>46048</v>
      </c>
      <c r="I34" s="29"/>
      <c r="J34" s="27">
        <f>IF(OR(G34="Assistance received",G34="Closed"),IF(H34="","",H34-F34),Settings!$B$5-F34)</f>
        <v>6</v>
      </c>
      <c r="K34" s="25" t="str">
        <f>IF(AND(OR(G34="Referred",G34="Acknowledged"),N(J34)&gt;Settings!$B$18),"Overdue","")</f>
        <v/>
      </c>
    </row>
    <row r="35" spans="1:11" x14ac:dyDescent="0.3">
      <c r="A35" s="29" t="s">
        <v>713</v>
      </c>
      <c r="B35" s="29" t="s">
        <v>426</v>
      </c>
      <c r="C35" s="24" t="str">
        <f>IFERROR(INDEX(Households!$B$5:$B$154,MATCH(B35,Households!$A$5:$A$154,0)),"Not in register")</f>
        <v>Site C – Informal Tent Area</v>
      </c>
      <c r="D35" s="29" t="s">
        <v>93</v>
      </c>
      <c r="E35" s="29" t="s">
        <v>674</v>
      </c>
      <c r="F35" s="30">
        <v>46043</v>
      </c>
      <c r="G35" s="29" t="s">
        <v>679</v>
      </c>
      <c r="H35" s="30"/>
      <c r="I35" s="29" t="s">
        <v>101</v>
      </c>
      <c r="J35" s="27">
        <f>IF(OR(G35="Assistance received",G35="Closed"),IF(H35="","",H35-F35),Settings!$B$5-F35)</f>
        <v>10</v>
      </c>
      <c r="K35" s="25" t="str">
        <f>IF(AND(OR(G35="Referred",G35="Acknowledged"),N(J35)&gt;Settings!$B$18),"Overdue","")</f>
        <v/>
      </c>
    </row>
    <row r="36" spans="1:11" x14ac:dyDescent="0.3">
      <c r="A36" s="29" t="s">
        <v>714</v>
      </c>
      <c r="B36" s="29" t="s">
        <v>525</v>
      </c>
      <c r="C36" s="24" t="str">
        <f>IFERROR(INDEX(Households!$B$5:$B$154,MATCH(B36,Households!$A$5:$A$154,0)),"Not in register")</f>
        <v>Site D – Collective Centre</v>
      </c>
      <c r="D36" s="29" t="s">
        <v>95</v>
      </c>
      <c r="E36" s="29" t="s">
        <v>677</v>
      </c>
      <c r="F36" s="30">
        <v>46043</v>
      </c>
      <c r="G36" s="29" t="s">
        <v>681</v>
      </c>
      <c r="H36" s="30">
        <v>46050</v>
      </c>
      <c r="I36" s="29"/>
      <c r="J36" s="27">
        <f>IF(OR(G36="Assistance received",G36="Closed"),IF(H36="","",H36-F36),Settings!$B$5-F36)</f>
        <v>7</v>
      </c>
      <c r="K36" s="25" t="str">
        <f>IF(AND(OR(G36="Referred",G36="Acknowledged"),N(J36)&gt;Settings!$B$18),"Overdue","")</f>
        <v/>
      </c>
    </row>
    <row r="37" spans="1:11" x14ac:dyDescent="0.3">
      <c r="A37" s="29" t="s">
        <v>715</v>
      </c>
      <c r="B37" s="29" t="s">
        <v>354</v>
      </c>
      <c r="C37" s="24" t="str">
        <f>IFERROR(INDEX(Households!$B$5:$B$154,MATCH(B37,Households!$A$5:$A$154,0)),"Not in register")</f>
        <v>Site D – Collective Centre</v>
      </c>
      <c r="D37" s="29" t="s">
        <v>95</v>
      </c>
      <c r="E37" s="29" t="s">
        <v>677</v>
      </c>
      <c r="F37" s="30">
        <v>46044</v>
      </c>
      <c r="G37" s="29" t="s">
        <v>679</v>
      </c>
      <c r="H37" s="30"/>
      <c r="I37" s="29"/>
      <c r="J37" s="27">
        <f>IF(OR(G37="Assistance received",G37="Closed"),IF(H37="","",H37-F37),Settings!$B$5-F37)</f>
        <v>9</v>
      </c>
      <c r="K37" s="25" t="str">
        <f>IF(AND(OR(G37="Referred",G37="Acknowledged"),N(J37)&gt;Settings!$B$18),"Overdue","")</f>
        <v/>
      </c>
    </row>
    <row r="38" spans="1:11" x14ac:dyDescent="0.3">
      <c r="A38" s="29" t="s">
        <v>716</v>
      </c>
      <c r="B38" s="29" t="s">
        <v>509</v>
      </c>
      <c r="C38" s="24" t="str">
        <f>IFERROR(INDEX(Households!$B$5:$B$154,MATCH(B38,Households!$A$5:$A$154,0)),"Not in register")</f>
        <v>Site D – Collective Centre</v>
      </c>
      <c r="D38" s="29" t="s">
        <v>95</v>
      </c>
      <c r="E38" s="29" t="s">
        <v>677</v>
      </c>
      <c r="F38" s="30">
        <v>46045</v>
      </c>
      <c r="G38" s="29" t="s">
        <v>679</v>
      </c>
      <c r="H38" s="30"/>
      <c r="I38" s="29"/>
      <c r="J38" s="27">
        <f>IF(OR(G38="Assistance received",G38="Closed"),IF(H38="","",H38-F38),Settings!$B$5-F38)</f>
        <v>8</v>
      </c>
      <c r="K38" s="25" t="str">
        <f>IF(AND(OR(G38="Referred",G38="Acknowledged"),N(J38)&gt;Settings!$B$18),"Overdue","")</f>
        <v/>
      </c>
    </row>
    <row r="39" spans="1:11" x14ac:dyDescent="0.3">
      <c r="A39" s="29" t="s">
        <v>717</v>
      </c>
      <c r="B39" s="29" t="s">
        <v>509</v>
      </c>
      <c r="C39" s="24" t="str">
        <f>IFERROR(INDEX(Households!$B$5:$B$154,MATCH(B39,Households!$A$5:$A$154,0)),"Not in register")</f>
        <v>Site D – Collective Centre</v>
      </c>
      <c r="D39" s="29" t="s">
        <v>96</v>
      </c>
      <c r="E39" s="29" t="s">
        <v>696</v>
      </c>
      <c r="F39" s="30">
        <v>46045</v>
      </c>
      <c r="G39" s="29" t="s">
        <v>701</v>
      </c>
      <c r="H39" s="30"/>
      <c r="I39" s="29"/>
      <c r="J39" s="27">
        <f>IF(OR(G39="Assistance received",G39="Closed"),IF(H39="","",H39-F39),Settings!$B$5-F39)</f>
        <v>8</v>
      </c>
      <c r="K39" s="25" t="str">
        <f>IF(AND(OR(G39="Referred",G39="Acknowledged"),N(J39)&gt;Settings!$B$18),"Overdue","")</f>
        <v/>
      </c>
    </row>
    <row r="40" spans="1:11" x14ac:dyDescent="0.3">
      <c r="A40" s="29" t="s">
        <v>718</v>
      </c>
      <c r="B40" s="29" t="s">
        <v>719</v>
      </c>
      <c r="C40" s="24" t="str">
        <f>IFERROR(INDEX(Households!$B$5:$B$154,MATCH(B40,Households!$A$5:$A$154,0)),"Not in register")</f>
        <v>Site C – Informal Tent Area</v>
      </c>
      <c r="D40" s="29" t="s">
        <v>97</v>
      </c>
      <c r="E40" s="29" t="s">
        <v>691</v>
      </c>
      <c r="F40" s="30">
        <v>46047</v>
      </c>
      <c r="G40" s="29" t="s">
        <v>679</v>
      </c>
      <c r="H40" s="30"/>
      <c r="I40" s="29"/>
      <c r="J40" s="27">
        <f>IF(OR(G40="Assistance received",G40="Closed"),IF(H40="","",H40-F40),Settings!$B$5-F40)</f>
        <v>6</v>
      </c>
      <c r="K40" s="25" t="str">
        <f>IF(AND(OR(G40="Referred",G40="Acknowledged"),N(J40)&gt;Settings!$B$18),"Overdue","")</f>
        <v/>
      </c>
    </row>
    <row r="41" spans="1:11" x14ac:dyDescent="0.3">
      <c r="A41" s="29" t="s">
        <v>720</v>
      </c>
      <c r="B41" s="29" t="s">
        <v>378</v>
      </c>
      <c r="C41" s="24" t="str">
        <f>IFERROR(INDEX(Households!$B$5:$B$154,MATCH(B41,Households!$A$5:$A$154,0)),"Not in register")</f>
        <v>Site C – Informal Tent Area</v>
      </c>
      <c r="D41" s="29" t="s">
        <v>95</v>
      </c>
      <c r="E41" s="29" t="s">
        <v>677</v>
      </c>
      <c r="F41" s="30">
        <v>46047</v>
      </c>
      <c r="G41" s="29" t="s">
        <v>679</v>
      </c>
      <c r="H41" s="30"/>
      <c r="I41" s="29"/>
      <c r="J41" s="27">
        <f>IF(OR(G41="Assistance received",G41="Closed"),IF(H41="","",H41-F41),Settings!$B$5-F41)</f>
        <v>6</v>
      </c>
      <c r="K41" s="25" t="str">
        <f>IF(AND(OR(G41="Referred",G41="Acknowledged"),N(J41)&gt;Settings!$B$18),"Overdue","")</f>
        <v/>
      </c>
    </row>
    <row r="42" spans="1:11" x14ac:dyDescent="0.3">
      <c r="A42" s="29" t="s">
        <v>721</v>
      </c>
      <c r="B42" s="29" t="s">
        <v>580</v>
      </c>
      <c r="C42" s="24" t="str">
        <f>IFERROR(INDEX(Households!$B$5:$B$154,MATCH(B42,Households!$A$5:$A$154,0)),"Not in register")</f>
        <v>Site D – Collective Centre</v>
      </c>
      <c r="D42" s="29" t="s">
        <v>93</v>
      </c>
      <c r="E42" s="29" t="s">
        <v>674</v>
      </c>
      <c r="F42" s="30">
        <v>46047</v>
      </c>
      <c r="G42" s="29" t="s">
        <v>679</v>
      </c>
      <c r="H42" s="30"/>
      <c r="I42" s="29" t="s">
        <v>101</v>
      </c>
      <c r="J42" s="27">
        <f>IF(OR(G42="Assistance received",G42="Closed"),IF(H42="","",H42-F42),Settings!$B$5-F42)</f>
        <v>6</v>
      </c>
      <c r="K42" s="25" t="str">
        <f>IF(AND(OR(G42="Referred",G42="Acknowledged"),N(J42)&gt;Settings!$B$18),"Overdue","")</f>
        <v/>
      </c>
    </row>
    <row r="43" spans="1:11" x14ac:dyDescent="0.3">
      <c r="A43" s="29" t="s">
        <v>722</v>
      </c>
      <c r="B43" s="29" t="s">
        <v>299</v>
      </c>
      <c r="C43" s="24" t="str">
        <f>IFERROR(INDEX(Households!$B$5:$B$154,MATCH(B43,Households!$A$5:$A$154,0)),"Not in register")</f>
        <v>Site C – Informal Tent Area</v>
      </c>
      <c r="D43" s="29" t="s">
        <v>97</v>
      </c>
      <c r="E43" s="29" t="s">
        <v>691</v>
      </c>
      <c r="F43" s="30">
        <v>46048</v>
      </c>
      <c r="G43" s="29" t="s">
        <v>681</v>
      </c>
      <c r="H43" s="30">
        <v>46051</v>
      </c>
      <c r="I43" s="29"/>
      <c r="J43" s="27">
        <f>IF(OR(G43="Assistance received",G43="Closed"),IF(H43="","",H43-F43),Settings!$B$5-F43)</f>
        <v>3</v>
      </c>
      <c r="K43" s="25" t="str">
        <f>IF(AND(OR(G43="Referred",G43="Acknowledged"),N(J43)&gt;Settings!$B$18),"Overdue","")</f>
        <v/>
      </c>
    </row>
    <row r="44" spans="1:11" x14ac:dyDescent="0.3">
      <c r="A44" s="29" t="s">
        <v>723</v>
      </c>
      <c r="B44" s="29" t="s">
        <v>635</v>
      </c>
      <c r="C44" s="24" t="str">
        <f>IFERROR(INDEX(Households!$B$5:$B$154,MATCH(B44,Households!$A$5:$A$154,0)),"Not in register")</f>
        <v>Site D – Collective Centre</v>
      </c>
      <c r="D44" s="29" t="s">
        <v>93</v>
      </c>
      <c r="E44" s="29" t="s">
        <v>674</v>
      </c>
      <c r="F44" s="30">
        <v>46048</v>
      </c>
      <c r="G44" s="29" t="s">
        <v>675</v>
      </c>
      <c r="H44" s="30">
        <v>46052</v>
      </c>
      <c r="I44" s="29" t="s">
        <v>102</v>
      </c>
      <c r="J44" s="27">
        <f>IF(OR(G44="Assistance received",G44="Closed"),IF(H44="","",H44-F44),Settings!$B$5-F44)</f>
        <v>4</v>
      </c>
      <c r="K44" s="25" t="str">
        <f>IF(AND(OR(G44="Referred",G44="Acknowledged"),N(J44)&gt;Settings!$B$18),"Overdue","")</f>
        <v/>
      </c>
    </row>
    <row r="45" spans="1:11" x14ac:dyDescent="0.3">
      <c r="A45" s="29" t="s">
        <v>724</v>
      </c>
      <c r="B45" s="29" t="s">
        <v>285</v>
      </c>
      <c r="C45" s="24" t="str">
        <f>IFERROR(INDEX(Households!$B$5:$B$154,MATCH(B45,Households!$A$5:$A$154,0)),"Not in register")</f>
        <v>Site B – School Shelter</v>
      </c>
      <c r="D45" s="29" t="s">
        <v>96</v>
      </c>
      <c r="E45" s="29" t="s">
        <v>696</v>
      </c>
      <c r="F45" s="30">
        <v>46049</v>
      </c>
      <c r="G45" s="29" t="s">
        <v>701</v>
      </c>
      <c r="H45" s="30"/>
      <c r="I45" s="29"/>
      <c r="J45" s="27">
        <f>IF(OR(G45="Assistance received",G45="Closed"),IF(H45="","",H45-F45),Settings!$B$5-F45)</f>
        <v>4</v>
      </c>
      <c r="K45" s="25" t="str">
        <f>IF(AND(OR(G45="Referred",G45="Acknowledged"),N(J45)&gt;Settings!$B$18),"Overdue","")</f>
        <v/>
      </c>
    </row>
    <row r="46" spans="1:11" x14ac:dyDescent="0.3">
      <c r="A46" s="29" t="s">
        <v>725</v>
      </c>
      <c r="B46" s="29" t="s">
        <v>376</v>
      </c>
      <c r="C46" s="24" t="str">
        <f>IFERROR(INDEX(Households!$B$5:$B$154,MATCH(B46,Households!$A$5:$A$154,0)),"Not in register")</f>
        <v>Site C – Informal Tent Area</v>
      </c>
      <c r="D46" s="29" t="s">
        <v>94</v>
      </c>
      <c r="E46" s="29" t="s">
        <v>686</v>
      </c>
      <c r="F46" s="30">
        <v>46049</v>
      </c>
      <c r="G46" s="29" t="s">
        <v>681</v>
      </c>
      <c r="H46" s="30">
        <v>46053</v>
      </c>
      <c r="I46" s="29"/>
      <c r="J46" s="27">
        <f>IF(OR(G46="Assistance received",G46="Closed"),IF(H46="","",H46-F46),Settings!$B$5-F46)</f>
        <v>4</v>
      </c>
      <c r="K46" s="25" t="str">
        <f>IF(AND(OR(G46="Referred",G46="Acknowledged"),N(J46)&gt;Settings!$B$18),"Overdue","")</f>
        <v/>
      </c>
    </row>
    <row r="47" spans="1:11" x14ac:dyDescent="0.3">
      <c r="A47" s="29" t="s">
        <v>726</v>
      </c>
      <c r="B47" s="29" t="s">
        <v>523</v>
      </c>
      <c r="C47" s="24" t="str">
        <f>IFERROR(INDEX(Households!$B$5:$B$154,MATCH(B47,Households!$A$5:$A$154,0)),"Not in register")</f>
        <v>Site C – Informal Tent Area</v>
      </c>
      <c r="D47" s="29" t="s">
        <v>95</v>
      </c>
      <c r="E47" s="29" t="s">
        <v>677</v>
      </c>
      <c r="F47" s="30">
        <v>46049</v>
      </c>
      <c r="G47" s="29" t="s">
        <v>681</v>
      </c>
      <c r="H47" s="30">
        <v>46052</v>
      </c>
      <c r="I47" s="29"/>
      <c r="J47" s="27">
        <f>IF(OR(G47="Assistance received",G47="Closed"),IF(H47="","",H47-F47),Settings!$B$5-F47)</f>
        <v>3</v>
      </c>
      <c r="K47" s="25" t="str">
        <f>IF(AND(OR(G47="Referred",G47="Acknowledged"),N(J47)&gt;Settings!$B$18),"Overdue","")</f>
        <v/>
      </c>
    </row>
    <row r="48" spans="1:11" x14ac:dyDescent="0.3">
      <c r="A48" s="29" t="s">
        <v>727</v>
      </c>
      <c r="B48" s="29" t="s">
        <v>592</v>
      </c>
      <c r="C48" s="24" t="str">
        <f>IFERROR(INDEX(Households!$B$5:$B$154,MATCH(B48,Households!$A$5:$A$154,0)),"Not in register")</f>
        <v>Site B – School Shelter</v>
      </c>
      <c r="D48" s="29" t="s">
        <v>94</v>
      </c>
      <c r="E48" s="29" t="s">
        <v>686</v>
      </c>
      <c r="F48" s="30">
        <v>46050</v>
      </c>
      <c r="G48" s="29" t="s">
        <v>701</v>
      </c>
      <c r="H48" s="30"/>
      <c r="I48" s="29"/>
      <c r="J48" s="27">
        <f>IF(OR(G48="Assistance received",G48="Closed"),IF(H48="","",H48-F48),Settings!$B$5-F48)</f>
        <v>3</v>
      </c>
      <c r="K48" s="25" t="str">
        <f>IF(AND(OR(G48="Referred",G48="Acknowledged"),N(J48)&gt;Settings!$B$18),"Overdue","")</f>
        <v/>
      </c>
    </row>
    <row r="49" spans="1:11" x14ac:dyDescent="0.3">
      <c r="A49" s="29" t="s">
        <v>728</v>
      </c>
      <c r="B49" s="29" t="s">
        <v>635</v>
      </c>
      <c r="C49" s="24" t="str">
        <f>IFERROR(INDEX(Households!$B$5:$B$154,MATCH(B49,Households!$A$5:$A$154,0)),"Not in register")</f>
        <v>Site D – Collective Centre</v>
      </c>
      <c r="D49" s="29" t="s">
        <v>95</v>
      </c>
      <c r="E49" s="29" t="s">
        <v>677</v>
      </c>
      <c r="F49" s="30">
        <v>46052</v>
      </c>
      <c r="G49" s="29" t="s">
        <v>701</v>
      </c>
      <c r="H49" s="30"/>
      <c r="I49" s="29"/>
      <c r="J49" s="27">
        <f>IF(OR(G49="Assistance received",G49="Closed"),IF(H49="","",H49-F49),Settings!$B$5-F49)</f>
        <v>1</v>
      </c>
      <c r="K49" s="25" t="str">
        <f>IF(AND(OR(G49="Referred",G49="Acknowledged"),N(J49)&gt;Settings!$B$18),"Overdue","")</f>
        <v/>
      </c>
    </row>
    <row r="50" spans="1:11" x14ac:dyDescent="0.3">
      <c r="A50" s="29" t="s">
        <v>729</v>
      </c>
      <c r="B50" s="29" t="s">
        <v>649</v>
      </c>
      <c r="C50" s="24" t="str">
        <f>IFERROR(INDEX(Households!$B$5:$B$154,MATCH(B50,Households!$A$5:$A$154,0)),"Not in register")</f>
        <v>Site B – School Shelter</v>
      </c>
      <c r="D50" s="29" t="s">
        <v>96</v>
      </c>
      <c r="E50" s="29" t="s">
        <v>696</v>
      </c>
      <c r="F50" s="30">
        <v>46053</v>
      </c>
      <c r="G50" s="29" t="s">
        <v>701</v>
      </c>
      <c r="H50" s="30"/>
      <c r="I50" s="29"/>
      <c r="J50" s="27">
        <f>IF(OR(G50="Assistance received",G50="Closed"),IF(H50="","",H50-F50),Settings!$B$5-F50)</f>
        <v>0</v>
      </c>
      <c r="K50" s="25" t="str">
        <f>IF(AND(OR(G50="Referred",G50="Acknowledged"),N(J50)&gt;Settings!$B$18),"Overdue","")</f>
        <v/>
      </c>
    </row>
    <row r="51" spans="1:11" x14ac:dyDescent="0.3">
      <c r="A51" s="29" t="s">
        <v>730</v>
      </c>
      <c r="B51" s="29" t="s">
        <v>363</v>
      </c>
      <c r="C51" s="24" t="str">
        <f>IFERROR(INDEX(Households!$B$5:$B$154,MATCH(B51,Households!$A$5:$A$154,0)),"Not in register")</f>
        <v>Site B – School Shelter</v>
      </c>
      <c r="D51" s="29" t="s">
        <v>95</v>
      </c>
      <c r="E51" s="29" t="s">
        <v>677</v>
      </c>
      <c r="F51" s="30">
        <v>46053</v>
      </c>
      <c r="G51" s="29" t="s">
        <v>679</v>
      </c>
      <c r="H51" s="30"/>
      <c r="I51" s="29"/>
      <c r="J51" s="27">
        <f>IF(OR(G51="Assistance received",G51="Closed"),IF(H51="","",H51-F51),Settings!$B$5-F51)</f>
        <v>0</v>
      </c>
      <c r="K51" s="25" t="str">
        <f>IF(AND(OR(G51="Referred",G51="Acknowledged"),N(J51)&gt;Settings!$B$18),"Overdue","")</f>
        <v/>
      </c>
    </row>
    <row r="52" spans="1:11" x14ac:dyDescent="0.3">
      <c r="A52" s="29" t="s">
        <v>731</v>
      </c>
      <c r="B52" s="29" t="s">
        <v>503</v>
      </c>
      <c r="C52" s="24" t="str">
        <f>IFERROR(INDEX(Households!$B$5:$B$154,MATCH(B52,Households!$A$5:$A$154,0)),"Not in register")</f>
        <v>Site C – Informal Tent Area</v>
      </c>
      <c r="D52" s="29" t="s">
        <v>95</v>
      </c>
      <c r="E52" s="29" t="s">
        <v>677</v>
      </c>
      <c r="F52" s="30">
        <v>46053</v>
      </c>
      <c r="G52" s="29" t="s">
        <v>701</v>
      </c>
      <c r="H52" s="30"/>
      <c r="I52" s="29"/>
      <c r="J52" s="27">
        <f>IF(OR(G52="Assistance received",G52="Closed"),IF(H52="","",H52-F52),Settings!$B$5-F52)</f>
        <v>0</v>
      </c>
      <c r="K52" s="25" t="str">
        <f>IF(AND(OR(G52="Referred",G52="Acknowledged"),N(J52)&gt;Settings!$B$18),"Overdue","")</f>
        <v/>
      </c>
    </row>
  </sheetData>
  <autoFilter ref="A4:K52" xr:uid="{00000000-0009-0000-0000-000006000000}"/>
  <conditionalFormatting sqref="K5:K52">
    <cfRule type="cellIs" dxfId="9" priority="2" operator="equal">
      <formula>"Overdue"</formula>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Invalid entry" error="Choose a value from the list" xr:uid="{00000000-0002-0000-0600-000000000000}">
          <x14:formula1>
            <xm:f>Lists!$B$5:$B$9</xm:f>
          </x14:formula1>
          <x14:formula2>
            <xm:f>0</xm:f>
          </x14:formula2>
          <xm:sqref>D5:D52</xm:sqref>
        </x14:dataValidation>
        <x14:dataValidation type="list" allowBlank="1" errorTitle="Invalid entry" error="Choose a value from the list" xr:uid="{00000000-0002-0000-0600-000001000000}">
          <x14:formula1>
            <xm:f>Lists!$C$5:$C$8</xm:f>
          </x14:formula1>
          <x14:formula2>
            <xm:f>0</xm:f>
          </x14:formula2>
          <xm:sqref>G5:G52</xm:sqref>
        </x14:dataValidation>
        <x14:dataValidation type="list" allowBlank="1" errorTitle="Invalid entry" error="Choose a value from the list" xr:uid="{00000000-0002-0000-0600-000002000000}">
          <x14:formula1>
            <xm:f>Lists!$D$5:$D$8</xm:f>
          </x14:formula1>
          <x14:formula2>
            <xm:f>0</xm:f>
          </x14:formula2>
          <xm:sqref>I5:I52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40"/>
  <sheetViews>
    <sheetView showGridLines="0" zoomScaleNormal="100" workbookViewId="0">
      <pane ySplit="4" topLeftCell="A5" activePane="bottomLeft" state="frozen"/>
      <selection pane="bottomLeft"/>
    </sheetView>
  </sheetViews>
  <sheetFormatPr defaultColWidth="8.6640625" defaultRowHeight="14.4" x14ac:dyDescent="0.3"/>
  <cols>
    <col min="1" max="1" width="9" customWidth="1"/>
    <col min="2" max="2" width="27" customWidth="1"/>
    <col min="3" max="3" width="13" customWidth="1"/>
    <col min="4" max="4" width="12" customWidth="1"/>
    <col min="5" max="5" width="36" customWidth="1"/>
    <col min="6" max="6" width="9" customWidth="1"/>
    <col min="7" max="9" width="11" customWidth="1"/>
    <col min="10" max="11" width="8" customWidth="1"/>
    <col min="12" max="12" width="10" customWidth="1"/>
  </cols>
  <sheetData>
    <row r="1" spans="1:12" ht="17.399999999999999" x14ac:dyDescent="0.3">
      <c r="A1" s="6" t="s">
        <v>732</v>
      </c>
    </row>
    <row r="2" spans="1:12" x14ac:dyDescent="0.3">
      <c r="A2" s="7" t="s">
        <v>733</v>
      </c>
    </row>
    <row r="4" spans="1:12" ht="42" customHeight="1" x14ac:dyDescent="0.3">
      <c r="A4" s="15" t="s">
        <v>734</v>
      </c>
      <c r="B4" s="15" t="s">
        <v>72</v>
      </c>
      <c r="C4" s="15" t="s">
        <v>735</v>
      </c>
      <c r="D4" s="15" t="s">
        <v>736</v>
      </c>
      <c r="E4" s="15" t="s">
        <v>737</v>
      </c>
      <c r="F4" s="15" t="s">
        <v>738</v>
      </c>
      <c r="G4" s="15" t="s">
        <v>739</v>
      </c>
      <c r="H4" s="15" t="s">
        <v>668</v>
      </c>
      <c r="I4" s="15" t="s">
        <v>740</v>
      </c>
      <c r="J4" s="15" t="s">
        <v>671</v>
      </c>
      <c r="K4" s="15" t="s">
        <v>741</v>
      </c>
      <c r="L4" s="15" t="s">
        <v>742</v>
      </c>
    </row>
    <row r="5" spans="1:12" x14ac:dyDescent="0.3">
      <c r="A5" s="29" t="s">
        <v>743</v>
      </c>
      <c r="B5" s="29" t="s">
        <v>79</v>
      </c>
      <c r="C5" s="29"/>
      <c r="D5" s="29" t="s">
        <v>744</v>
      </c>
      <c r="E5" s="29" t="s">
        <v>745</v>
      </c>
      <c r="F5" s="29" t="s">
        <v>327</v>
      </c>
      <c r="G5" s="30">
        <v>46024</v>
      </c>
      <c r="H5" s="29" t="s">
        <v>746</v>
      </c>
      <c r="I5" s="30">
        <v>46028</v>
      </c>
      <c r="J5" s="27">
        <f>IF(H5="Resolved",IF(I5="","",I5-G5),Settings!$B$5-G5)</f>
        <v>4</v>
      </c>
      <c r="K5" s="24">
        <f>IF(F5="Yes",Settings!$B$19,Settings!$B$20)</f>
        <v>14</v>
      </c>
      <c r="L5" s="25" t="str">
        <f t="shared" ref="L5:L40" si="0">IF(AND(H5&lt;&gt;"Resolved",N(J5)&gt;K5),"Delayed","")</f>
        <v/>
      </c>
    </row>
    <row r="6" spans="1:12" x14ac:dyDescent="0.3">
      <c r="A6" s="29" t="s">
        <v>747</v>
      </c>
      <c r="B6" s="29" t="s">
        <v>80</v>
      </c>
      <c r="C6" s="29"/>
      <c r="D6" s="29" t="s">
        <v>748</v>
      </c>
      <c r="E6" s="29" t="s">
        <v>749</v>
      </c>
      <c r="F6" s="29" t="s">
        <v>327</v>
      </c>
      <c r="G6" s="30">
        <v>46025</v>
      </c>
      <c r="H6" s="29" t="s">
        <v>746</v>
      </c>
      <c r="I6" s="30">
        <v>46036</v>
      </c>
      <c r="J6" s="27">
        <f>IF(H6="Resolved",IF(I6="","",I6-G6),Settings!$B$5-G6)</f>
        <v>11</v>
      </c>
      <c r="K6" s="24">
        <f>IF(F6="Yes",Settings!$B$19,Settings!$B$20)</f>
        <v>14</v>
      </c>
      <c r="L6" s="25" t="str">
        <f t="shared" si="0"/>
        <v/>
      </c>
    </row>
    <row r="7" spans="1:12" x14ac:dyDescent="0.3">
      <c r="A7" s="29" t="s">
        <v>750</v>
      </c>
      <c r="B7" s="29" t="s">
        <v>79</v>
      </c>
      <c r="C7" s="29"/>
      <c r="D7" s="29" t="s">
        <v>751</v>
      </c>
      <c r="E7" s="29" t="s">
        <v>752</v>
      </c>
      <c r="F7" s="29" t="s">
        <v>327</v>
      </c>
      <c r="G7" s="30">
        <v>46025</v>
      </c>
      <c r="H7" s="29" t="s">
        <v>91</v>
      </c>
      <c r="I7" s="30"/>
      <c r="J7" s="27">
        <f>IF(H7="Resolved",IF(I7="","",I7-G7),Settings!$B$5-G7)</f>
        <v>28</v>
      </c>
      <c r="K7" s="24">
        <f>IF(F7="Yes",Settings!$B$19,Settings!$B$20)</f>
        <v>14</v>
      </c>
      <c r="L7" s="25" t="str">
        <f t="shared" si="0"/>
        <v>Delayed</v>
      </c>
    </row>
    <row r="8" spans="1:12" x14ac:dyDescent="0.3">
      <c r="A8" s="29" t="s">
        <v>753</v>
      </c>
      <c r="B8" s="29" t="s">
        <v>79</v>
      </c>
      <c r="C8" s="29" t="s">
        <v>426</v>
      </c>
      <c r="D8" s="29" t="s">
        <v>123</v>
      </c>
      <c r="E8" s="29" t="s">
        <v>754</v>
      </c>
      <c r="F8" s="29" t="s">
        <v>327</v>
      </c>
      <c r="G8" s="30">
        <v>46029</v>
      </c>
      <c r="H8" s="29" t="s">
        <v>91</v>
      </c>
      <c r="I8" s="30"/>
      <c r="J8" s="27">
        <f>IF(H8="Resolved",IF(I8="","",I8-G8),Settings!$B$5-G8)</f>
        <v>24</v>
      </c>
      <c r="K8" s="24">
        <f>IF(F8="Yes",Settings!$B$19,Settings!$B$20)</f>
        <v>14</v>
      </c>
      <c r="L8" s="25" t="str">
        <f t="shared" si="0"/>
        <v>Delayed</v>
      </c>
    </row>
    <row r="9" spans="1:12" x14ac:dyDescent="0.3">
      <c r="A9" s="29" t="s">
        <v>755</v>
      </c>
      <c r="B9" s="29" t="s">
        <v>78</v>
      </c>
      <c r="C9" s="29"/>
      <c r="D9" s="29" t="s">
        <v>751</v>
      </c>
      <c r="E9" s="29" t="s">
        <v>752</v>
      </c>
      <c r="F9" s="29" t="s">
        <v>327</v>
      </c>
      <c r="G9" s="30">
        <v>46029</v>
      </c>
      <c r="H9" s="29" t="s">
        <v>746</v>
      </c>
      <c r="I9" s="30">
        <v>46038</v>
      </c>
      <c r="J9" s="27">
        <f>IF(H9="Resolved",IF(I9="","",I9-G9),Settings!$B$5-G9)</f>
        <v>9</v>
      </c>
      <c r="K9" s="24">
        <f>IF(F9="Yes",Settings!$B$19,Settings!$B$20)</f>
        <v>14</v>
      </c>
      <c r="L9" s="25" t="str">
        <f t="shared" si="0"/>
        <v/>
      </c>
    </row>
    <row r="10" spans="1:12" x14ac:dyDescent="0.3">
      <c r="A10" s="29" t="s">
        <v>756</v>
      </c>
      <c r="B10" s="29" t="s">
        <v>78</v>
      </c>
      <c r="C10" s="29" t="s">
        <v>389</v>
      </c>
      <c r="D10" s="29" t="s">
        <v>123</v>
      </c>
      <c r="E10" s="29" t="s">
        <v>757</v>
      </c>
      <c r="F10" s="29" t="s">
        <v>327</v>
      </c>
      <c r="G10" s="30">
        <v>46029</v>
      </c>
      <c r="H10" s="29" t="s">
        <v>746</v>
      </c>
      <c r="I10" s="30">
        <v>46032</v>
      </c>
      <c r="J10" s="27">
        <f>IF(H10="Resolved",IF(I10="","",I10-G10),Settings!$B$5-G10)</f>
        <v>3</v>
      </c>
      <c r="K10" s="24">
        <f>IF(F10="Yes",Settings!$B$19,Settings!$B$20)</f>
        <v>14</v>
      </c>
      <c r="L10" s="25" t="str">
        <f t="shared" si="0"/>
        <v/>
      </c>
    </row>
    <row r="11" spans="1:12" x14ac:dyDescent="0.3">
      <c r="A11" s="29" t="s">
        <v>758</v>
      </c>
      <c r="B11" s="29" t="s">
        <v>80</v>
      </c>
      <c r="C11" s="29"/>
      <c r="D11" s="29" t="s">
        <v>744</v>
      </c>
      <c r="E11" s="29" t="s">
        <v>745</v>
      </c>
      <c r="F11" s="29" t="s">
        <v>327</v>
      </c>
      <c r="G11" s="30">
        <v>46030</v>
      </c>
      <c r="H11" s="29" t="s">
        <v>759</v>
      </c>
      <c r="I11" s="30"/>
      <c r="J11" s="27">
        <f>IF(H11="Resolved",IF(I11="","",I11-G11),Settings!$B$5-G11)</f>
        <v>23</v>
      </c>
      <c r="K11" s="24">
        <f>IF(F11="Yes",Settings!$B$19,Settings!$B$20)</f>
        <v>14</v>
      </c>
      <c r="L11" s="25" t="str">
        <f t="shared" si="0"/>
        <v>Delayed</v>
      </c>
    </row>
    <row r="12" spans="1:12" x14ac:dyDescent="0.3">
      <c r="A12" s="29" t="s">
        <v>760</v>
      </c>
      <c r="B12" s="29" t="s">
        <v>80</v>
      </c>
      <c r="C12" s="29"/>
      <c r="D12" s="29" t="s">
        <v>761</v>
      </c>
      <c r="E12" s="29" t="s">
        <v>762</v>
      </c>
      <c r="F12" s="29" t="s">
        <v>182</v>
      </c>
      <c r="G12" s="30">
        <v>46030</v>
      </c>
      <c r="H12" s="29" t="s">
        <v>746</v>
      </c>
      <c r="I12" s="30">
        <v>46041</v>
      </c>
      <c r="J12" s="27">
        <f>IF(H12="Resolved",IF(I12="","",I12-G12),Settings!$B$5-G12)</f>
        <v>11</v>
      </c>
      <c r="K12" s="24">
        <f>IF(F12="Yes",Settings!$B$19,Settings!$B$20)</f>
        <v>3</v>
      </c>
      <c r="L12" s="25" t="str">
        <f t="shared" si="0"/>
        <v/>
      </c>
    </row>
    <row r="13" spans="1:12" x14ac:dyDescent="0.3">
      <c r="A13" s="29" t="s">
        <v>763</v>
      </c>
      <c r="B13" s="29" t="s">
        <v>79</v>
      </c>
      <c r="C13" s="29"/>
      <c r="D13" s="29" t="s">
        <v>744</v>
      </c>
      <c r="E13" s="29" t="s">
        <v>764</v>
      </c>
      <c r="F13" s="29" t="s">
        <v>327</v>
      </c>
      <c r="G13" s="30">
        <v>46032</v>
      </c>
      <c r="H13" s="29" t="s">
        <v>91</v>
      </c>
      <c r="I13" s="30"/>
      <c r="J13" s="27">
        <f>IF(H13="Resolved",IF(I13="","",I13-G13),Settings!$B$5-G13)</f>
        <v>21</v>
      </c>
      <c r="K13" s="24">
        <f>IF(F13="Yes",Settings!$B$19,Settings!$B$20)</f>
        <v>14</v>
      </c>
      <c r="L13" s="25" t="str">
        <f t="shared" si="0"/>
        <v>Delayed</v>
      </c>
    </row>
    <row r="14" spans="1:12" x14ac:dyDescent="0.3">
      <c r="A14" s="29" t="s">
        <v>765</v>
      </c>
      <c r="B14" s="29" t="s">
        <v>77</v>
      </c>
      <c r="C14" s="29" t="s">
        <v>466</v>
      </c>
      <c r="D14" s="29" t="s">
        <v>123</v>
      </c>
      <c r="E14" s="29" t="s">
        <v>766</v>
      </c>
      <c r="F14" s="29" t="s">
        <v>327</v>
      </c>
      <c r="G14" s="30">
        <v>46033</v>
      </c>
      <c r="H14" s="29" t="s">
        <v>746</v>
      </c>
      <c r="I14" s="30">
        <v>46043</v>
      </c>
      <c r="J14" s="27">
        <f>IF(H14="Resolved",IF(I14="","",I14-G14),Settings!$B$5-G14)</f>
        <v>10</v>
      </c>
      <c r="K14" s="24">
        <f>IF(F14="Yes",Settings!$B$19,Settings!$B$20)</f>
        <v>14</v>
      </c>
      <c r="L14" s="25" t="str">
        <f t="shared" si="0"/>
        <v/>
      </c>
    </row>
    <row r="15" spans="1:12" x14ac:dyDescent="0.3">
      <c r="A15" s="29" t="s">
        <v>767</v>
      </c>
      <c r="B15" s="29" t="s">
        <v>79</v>
      </c>
      <c r="C15" s="29"/>
      <c r="D15" s="29" t="s">
        <v>768</v>
      </c>
      <c r="E15" s="29" t="s">
        <v>769</v>
      </c>
      <c r="F15" s="29" t="s">
        <v>182</v>
      </c>
      <c r="G15" s="30">
        <v>46035</v>
      </c>
      <c r="H15" s="29" t="s">
        <v>746</v>
      </c>
      <c r="I15" s="30">
        <v>46046</v>
      </c>
      <c r="J15" s="27">
        <f>IF(H15="Resolved",IF(I15="","",I15-G15),Settings!$B$5-G15)</f>
        <v>11</v>
      </c>
      <c r="K15" s="24">
        <f>IF(F15="Yes",Settings!$B$19,Settings!$B$20)</f>
        <v>3</v>
      </c>
      <c r="L15" s="25" t="str">
        <f t="shared" si="0"/>
        <v/>
      </c>
    </row>
    <row r="16" spans="1:12" x14ac:dyDescent="0.3">
      <c r="A16" s="29" t="s">
        <v>770</v>
      </c>
      <c r="B16" s="29" t="s">
        <v>79</v>
      </c>
      <c r="C16" s="29"/>
      <c r="D16" s="29" t="s">
        <v>761</v>
      </c>
      <c r="E16" s="29" t="s">
        <v>771</v>
      </c>
      <c r="F16" s="29" t="s">
        <v>327</v>
      </c>
      <c r="G16" s="30">
        <v>46035</v>
      </c>
      <c r="H16" s="29" t="s">
        <v>746</v>
      </c>
      <c r="I16" s="30">
        <v>46043</v>
      </c>
      <c r="J16" s="27">
        <f>IF(H16="Resolved",IF(I16="","",I16-G16),Settings!$B$5-G16)</f>
        <v>8</v>
      </c>
      <c r="K16" s="24">
        <f>IF(F16="Yes",Settings!$B$19,Settings!$B$20)</f>
        <v>14</v>
      </c>
      <c r="L16" s="25" t="str">
        <f t="shared" si="0"/>
        <v/>
      </c>
    </row>
    <row r="17" spans="1:12" x14ac:dyDescent="0.3">
      <c r="A17" s="29" t="s">
        <v>772</v>
      </c>
      <c r="B17" s="29" t="s">
        <v>77</v>
      </c>
      <c r="C17" s="29"/>
      <c r="D17" s="29" t="s">
        <v>751</v>
      </c>
      <c r="E17" s="29" t="s">
        <v>752</v>
      </c>
      <c r="F17" s="29" t="s">
        <v>327</v>
      </c>
      <c r="G17" s="30">
        <v>46035</v>
      </c>
      <c r="H17" s="29" t="s">
        <v>91</v>
      </c>
      <c r="I17" s="30"/>
      <c r="J17" s="27">
        <f>IF(H17="Resolved",IF(I17="","",I17-G17),Settings!$B$5-G17)</f>
        <v>18</v>
      </c>
      <c r="K17" s="24">
        <f>IF(F17="Yes",Settings!$B$19,Settings!$B$20)</f>
        <v>14</v>
      </c>
      <c r="L17" s="25" t="str">
        <f t="shared" si="0"/>
        <v>Delayed</v>
      </c>
    </row>
    <row r="18" spans="1:12" x14ac:dyDescent="0.3">
      <c r="A18" s="29" t="s">
        <v>773</v>
      </c>
      <c r="B18" s="29" t="s">
        <v>79</v>
      </c>
      <c r="C18" s="29"/>
      <c r="D18" s="29" t="s">
        <v>744</v>
      </c>
      <c r="E18" s="29" t="s">
        <v>745</v>
      </c>
      <c r="F18" s="29" t="s">
        <v>327</v>
      </c>
      <c r="G18" s="30">
        <v>46036</v>
      </c>
      <c r="H18" s="29" t="s">
        <v>746</v>
      </c>
      <c r="I18" s="30">
        <v>46044</v>
      </c>
      <c r="J18" s="27">
        <f>IF(H18="Resolved",IF(I18="","",I18-G18),Settings!$B$5-G18)</f>
        <v>8</v>
      </c>
      <c r="K18" s="24">
        <f>IF(F18="Yes",Settings!$B$19,Settings!$B$20)</f>
        <v>14</v>
      </c>
      <c r="L18" s="25" t="str">
        <f t="shared" si="0"/>
        <v/>
      </c>
    </row>
    <row r="19" spans="1:12" x14ac:dyDescent="0.3">
      <c r="A19" s="29" t="s">
        <v>774</v>
      </c>
      <c r="B19" s="29" t="s">
        <v>77</v>
      </c>
      <c r="C19" s="29"/>
      <c r="D19" s="29" t="s">
        <v>751</v>
      </c>
      <c r="E19" s="29" t="s">
        <v>775</v>
      </c>
      <c r="F19" s="29" t="s">
        <v>327</v>
      </c>
      <c r="G19" s="30">
        <v>46036</v>
      </c>
      <c r="H19" s="29" t="s">
        <v>759</v>
      </c>
      <c r="I19" s="30"/>
      <c r="J19" s="27">
        <f>IF(H19="Resolved",IF(I19="","",I19-G19),Settings!$B$5-G19)</f>
        <v>17</v>
      </c>
      <c r="K19" s="24">
        <f>IF(F19="Yes",Settings!$B$19,Settings!$B$20)</f>
        <v>14</v>
      </c>
      <c r="L19" s="25" t="str">
        <f t="shared" si="0"/>
        <v>Delayed</v>
      </c>
    </row>
    <row r="20" spans="1:12" x14ac:dyDescent="0.3">
      <c r="A20" s="29" t="s">
        <v>776</v>
      </c>
      <c r="B20" s="29" t="s">
        <v>77</v>
      </c>
      <c r="C20" s="29"/>
      <c r="D20" s="29" t="s">
        <v>751</v>
      </c>
      <c r="E20" s="29" t="s">
        <v>775</v>
      </c>
      <c r="F20" s="29" t="s">
        <v>327</v>
      </c>
      <c r="G20" s="30">
        <v>46037</v>
      </c>
      <c r="H20" s="29" t="s">
        <v>759</v>
      </c>
      <c r="I20" s="30"/>
      <c r="J20" s="27">
        <f>IF(H20="Resolved",IF(I20="","",I20-G20),Settings!$B$5-G20)</f>
        <v>16</v>
      </c>
      <c r="K20" s="24">
        <f>IF(F20="Yes",Settings!$B$19,Settings!$B$20)</f>
        <v>14</v>
      </c>
      <c r="L20" s="25" t="str">
        <f t="shared" si="0"/>
        <v>Delayed</v>
      </c>
    </row>
    <row r="21" spans="1:12" x14ac:dyDescent="0.3">
      <c r="A21" s="29" t="s">
        <v>777</v>
      </c>
      <c r="B21" s="29" t="s">
        <v>79</v>
      </c>
      <c r="C21" s="29" t="s">
        <v>426</v>
      </c>
      <c r="D21" s="29" t="s">
        <v>123</v>
      </c>
      <c r="E21" s="29" t="s">
        <v>778</v>
      </c>
      <c r="F21" s="29" t="s">
        <v>327</v>
      </c>
      <c r="G21" s="30">
        <v>46037</v>
      </c>
      <c r="H21" s="29" t="s">
        <v>759</v>
      </c>
      <c r="I21" s="30"/>
      <c r="J21" s="27">
        <f>IF(H21="Resolved",IF(I21="","",I21-G21),Settings!$B$5-G21)</f>
        <v>16</v>
      </c>
      <c r="K21" s="24">
        <f>IF(F21="Yes",Settings!$B$19,Settings!$B$20)</f>
        <v>14</v>
      </c>
      <c r="L21" s="25" t="str">
        <f t="shared" si="0"/>
        <v>Delayed</v>
      </c>
    </row>
    <row r="22" spans="1:12" x14ac:dyDescent="0.3">
      <c r="A22" s="29" t="s">
        <v>779</v>
      </c>
      <c r="B22" s="29" t="s">
        <v>77</v>
      </c>
      <c r="C22" s="29" t="s">
        <v>584</v>
      </c>
      <c r="D22" s="29" t="s">
        <v>123</v>
      </c>
      <c r="E22" s="29" t="s">
        <v>766</v>
      </c>
      <c r="F22" s="29" t="s">
        <v>327</v>
      </c>
      <c r="G22" s="30">
        <v>46038</v>
      </c>
      <c r="H22" s="29" t="s">
        <v>91</v>
      </c>
      <c r="I22" s="30"/>
      <c r="J22" s="27">
        <f>IF(H22="Resolved",IF(I22="","",I22-G22),Settings!$B$5-G22)</f>
        <v>15</v>
      </c>
      <c r="K22" s="24">
        <f>IF(F22="Yes",Settings!$B$19,Settings!$B$20)</f>
        <v>14</v>
      </c>
      <c r="L22" s="25" t="str">
        <f t="shared" si="0"/>
        <v>Delayed</v>
      </c>
    </row>
    <row r="23" spans="1:12" x14ac:dyDescent="0.3">
      <c r="A23" s="29" t="s">
        <v>780</v>
      </c>
      <c r="B23" s="29" t="s">
        <v>80</v>
      </c>
      <c r="C23" s="29"/>
      <c r="D23" s="29" t="s">
        <v>781</v>
      </c>
      <c r="E23" s="29" t="s">
        <v>782</v>
      </c>
      <c r="F23" s="29" t="s">
        <v>182</v>
      </c>
      <c r="G23" s="30">
        <v>46039</v>
      </c>
      <c r="H23" s="29" t="s">
        <v>746</v>
      </c>
      <c r="I23" s="30">
        <v>46047</v>
      </c>
      <c r="J23" s="27">
        <f>IF(H23="Resolved",IF(I23="","",I23-G23),Settings!$B$5-G23)</f>
        <v>8</v>
      </c>
      <c r="K23" s="24">
        <f>IF(F23="Yes",Settings!$B$19,Settings!$B$20)</f>
        <v>3</v>
      </c>
      <c r="L23" s="25" t="str">
        <f t="shared" si="0"/>
        <v/>
      </c>
    </row>
    <row r="24" spans="1:12" x14ac:dyDescent="0.3">
      <c r="A24" s="29" t="s">
        <v>783</v>
      </c>
      <c r="B24" s="29" t="s">
        <v>79</v>
      </c>
      <c r="C24" s="29"/>
      <c r="D24" s="29" t="s">
        <v>768</v>
      </c>
      <c r="E24" s="29" t="s">
        <v>769</v>
      </c>
      <c r="F24" s="29" t="s">
        <v>182</v>
      </c>
      <c r="G24" s="30">
        <v>46040</v>
      </c>
      <c r="H24" s="29" t="s">
        <v>91</v>
      </c>
      <c r="I24" s="30"/>
      <c r="J24" s="27">
        <f>IF(H24="Resolved",IF(I24="","",I24-G24),Settings!$B$5-G24)</f>
        <v>13</v>
      </c>
      <c r="K24" s="24">
        <f>IF(F24="Yes",Settings!$B$19,Settings!$B$20)</f>
        <v>3</v>
      </c>
      <c r="L24" s="25" t="str">
        <f t="shared" si="0"/>
        <v>Delayed</v>
      </c>
    </row>
    <row r="25" spans="1:12" x14ac:dyDescent="0.3">
      <c r="A25" s="29" t="s">
        <v>784</v>
      </c>
      <c r="B25" s="29" t="s">
        <v>79</v>
      </c>
      <c r="C25" s="29"/>
      <c r="D25" s="29" t="s">
        <v>761</v>
      </c>
      <c r="E25" s="29" t="s">
        <v>771</v>
      </c>
      <c r="F25" s="29" t="s">
        <v>327</v>
      </c>
      <c r="G25" s="30">
        <v>46040</v>
      </c>
      <c r="H25" s="29" t="s">
        <v>759</v>
      </c>
      <c r="I25" s="30"/>
      <c r="J25" s="27">
        <f>IF(H25="Resolved",IF(I25="","",I25-G25),Settings!$B$5-G25)</f>
        <v>13</v>
      </c>
      <c r="K25" s="24">
        <f>IF(F25="Yes",Settings!$B$19,Settings!$B$20)</f>
        <v>14</v>
      </c>
      <c r="L25" s="25" t="str">
        <f t="shared" si="0"/>
        <v/>
      </c>
    </row>
    <row r="26" spans="1:12" x14ac:dyDescent="0.3">
      <c r="A26" s="29" t="s">
        <v>785</v>
      </c>
      <c r="B26" s="29" t="s">
        <v>78</v>
      </c>
      <c r="C26" s="29"/>
      <c r="D26" s="29" t="s">
        <v>751</v>
      </c>
      <c r="E26" s="29" t="s">
        <v>775</v>
      </c>
      <c r="F26" s="29" t="s">
        <v>327</v>
      </c>
      <c r="G26" s="30">
        <v>46040</v>
      </c>
      <c r="H26" s="29" t="s">
        <v>746</v>
      </c>
      <c r="I26" s="30">
        <v>46044</v>
      </c>
      <c r="J26" s="27">
        <f>IF(H26="Resolved",IF(I26="","",I26-G26),Settings!$B$5-G26)</f>
        <v>4</v>
      </c>
      <c r="K26" s="24">
        <f>IF(F26="Yes",Settings!$B$19,Settings!$B$20)</f>
        <v>14</v>
      </c>
      <c r="L26" s="25" t="str">
        <f t="shared" si="0"/>
        <v/>
      </c>
    </row>
    <row r="27" spans="1:12" x14ac:dyDescent="0.3">
      <c r="A27" s="29" t="s">
        <v>786</v>
      </c>
      <c r="B27" s="29" t="s">
        <v>80</v>
      </c>
      <c r="C27" s="29"/>
      <c r="D27" s="29" t="s">
        <v>761</v>
      </c>
      <c r="E27" s="29" t="s">
        <v>787</v>
      </c>
      <c r="F27" s="29" t="s">
        <v>182</v>
      </c>
      <c r="G27" s="30">
        <v>46045</v>
      </c>
      <c r="H27" s="29" t="s">
        <v>746</v>
      </c>
      <c r="I27" s="30">
        <v>46049</v>
      </c>
      <c r="J27" s="27">
        <f>IF(H27="Resolved",IF(I27="","",I27-G27),Settings!$B$5-G27)</f>
        <v>4</v>
      </c>
      <c r="K27" s="24">
        <f>IF(F27="Yes",Settings!$B$19,Settings!$B$20)</f>
        <v>3</v>
      </c>
      <c r="L27" s="25" t="str">
        <f t="shared" si="0"/>
        <v/>
      </c>
    </row>
    <row r="28" spans="1:12" x14ac:dyDescent="0.3">
      <c r="A28" s="29" t="s">
        <v>788</v>
      </c>
      <c r="B28" s="29" t="s">
        <v>77</v>
      </c>
      <c r="C28" s="29"/>
      <c r="D28" s="29" t="s">
        <v>761</v>
      </c>
      <c r="E28" s="29" t="s">
        <v>787</v>
      </c>
      <c r="F28" s="29" t="s">
        <v>182</v>
      </c>
      <c r="G28" s="30">
        <v>46045</v>
      </c>
      <c r="H28" s="29" t="s">
        <v>91</v>
      </c>
      <c r="I28" s="30"/>
      <c r="J28" s="27">
        <f>IF(H28="Resolved",IF(I28="","",I28-G28),Settings!$B$5-G28)</f>
        <v>8</v>
      </c>
      <c r="K28" s="24">
        <f>IF(F28="Yes",Settings!$B$19,Settings!$B$20)</f>
        <v>3</v>
      </c>
      <c r="L28" s="25" t="str">
        <f t="shared" si="0"/>
        <v>Delayed</v>
      </c>
    </row>
    <row r="29" spans="1:12" x14ac:dyDescent="0.3">
      <c r="A29" s="29" t="s">
        <v>789</v>
      </c>
      <c r="B29" s="29" t="s">
        <v>79</v>
      </c>
      <c r="C29" s="29"/>
      <c r="D29" s="29" t="s">
        <v>744</v>
      </c>
      <c r="E29" s="29" t="s">
        <v>764</v>
      </c>
      <c r="F29" s="29" t="s">
        <v>327</v>
      </c>
      <c r="G29" s="30">
        <v>46046</v>
      </c>
      <c r="H29" s="29" t="s">
        <v>91</v>
      </c>
      <c r="I29" s="30"/>
      <c r="J29" s="27">
        <f>IF(H29="Resolved",IF(I29="","",I29-G29),Settings!$B$5-G29)</f>
        <v>7</v>
      </c>
      <c r="K29" s="24">
        <f>IF(F29="Yes",Settings!$B$19,Settings!$B$20)</f>
        <v>14</v>
      </c>
      <c r="L29" s="25" t="str">
        <f t="shared" si="0"/>
        <v/>
      </c>
    </row>
    <row r="30" spans="1:12" x14ac:dyDescent="0.3">
      <c r="A30" s="29" t="s">
        <v>790</v>
      </c>
      <c r="B30" s="29" t="s">
        <v>79</v>
      </c>
      <c r="C30" s="29"/>
      <c r="D30" s="29" t="s">
        <v>761</v>
      </c>
      <c r="E30" s="29" t="s">
        <v>787</v>
      </c>
      <c r="F30" s="29" t="s">
        <v>182</v>
      </c>
      <c r="G30" s="30">
        <v>46048</v>
      </c>
      <c r="H30" s="29" t="s">
        <v>759</v>
      </c>
      <c r="I30" s="30"/>
      <c r="J30" s="27">
        <f>IF(H30="Resolved",IF(I30="","",I30-G30),Settings!$B$5-G30)</f>
        <v>5</v>
      </c>
      <c r="K30" s="24">
        <f>IF(F30="Yes",Settings!$B$19,Settings!$B$20)</f>
        <v>3</v>
      </c>
      <c r="L30" s="25" t="str">
        <f t="shared" si="0"/>
        <v>Delayed</v>
      </c>
    </row>
    <row r="31" spans="1:12" x14ac:dyDescent="0.3">
      <c r="A31" s="29" t="s">
        <v>791</v>
      </c>
      <c r="B31" s="29" t="s">
        <v>77</v>
      </c>
      <c r="C31" s="29"/>
      <c r="D31" s="29" t="s">
        <v>761</v>
      </c>
      <c r="E31" s="29" t="s">
        <v>787</v>
      </c>
      <c r="F31" s="29" t="s">
        <v>182</v>
      </c>
      <c r="G31" s="30">
        <v>46048</v>
      </c>
      <c r="H31" s="29" t="s">
        <v>746</v>
      </c>
      <c r="I31" s="30">
        <v>46053</v>
      </c>
      <c r="J31" s="27">
        <f>IF(H31="Resolved",IF(I31="","",I31-G31),Settings!$B$5-G31)</f>
        <v>5</v>
      </c>
      <c r="K31" s="24">
        <f>IF(F31="Yes",Settings!$B$19,Settings!$B$20)</f>
        <v>3</v>
      </c>
      <c r="L31" s="25" t="str">
        <f t="shared" si="0"/>
        <v/>
      </c>
    </row>
    <row r="32" spans="1:12" x14ac:dyDescent="0.3">
      <c r="A32" s="29" t="s">
        <v>792</v>
      </c>
      <c r="B32" s="29" t="s">
        <v>78</v>
      </c>
      <c r="C32" s="29"/>
      <c r="D32" s="29" t="s">
        <v>781</v>
      </c>
      <c r="E32" s="29" t="s">
        <v>782</v>
      </c>
      <c r="F32" s="29" t="s">
        <v>182</v>
      </c>
      <c r="G32" s="30">
        <v>46049</v>
      </c>
      <c r="H32" s="29" t="s">
        <v>759</v>
      </c>
      <c r="I32" s="30"/>
      <c r="J32" s="27">
        <f>IF(H32="Resolved",IF(I32="","",I32-G32),Settings!$B$5-G32)</f>
        <v>4</v>
      </c>
      <c r="K32" s="24">
        <f>IF(F32="Yes",Settings!$B$19,Settings!$B$20)</f>
        <v>3</v>
      </c>
      <c r="L32" s="25" t="str">
        <f t="shared" si="0"/>
        <v>Delayed</v>
      </c>
    </row>
    <row r="33" spans="1:12" x14ac:dyDescent="0.3">
      <c r="A33" s="29" t="s">
        <v>793</v>
      </c>
      <c r="B33" s="29" t="s">
        <v>79</v>
      </c>
      <c r="C33" s="29"/>
      <c r="D33" s="29" t="s">
        <v>768</v>
      </c>
      <c r="E33" s="29" t="s">
        <v>794</v>
      </c>
      <c r="F33" s="29" t="s">
        <v>182</v>
      </c>
      <c r="G33" s="30">
        <v>46049</v>
      </c>
      <c r="H33" s="29" t="s">
        <v>759</v>
      </c>
      <c r="I33" s="30"/>
      <c r="J33" s="27">
        <f>IF(H33="Resolved",IF(I33="","",I33-G33),Settings!$B$5-G33)</f>
        <v>4</v>
      </c>
      <c r="K33" s="24">
        <f>IF(F33="Yes",Settings!$B$19,Settings!$B$20)</f>
        <v>3</v>
      </c>
      <c r="L33" s="25" t="str">
        <f t="shared" si="0"/>
        <v>Delayed</v>
      </c>
    </row>
    <row r="34" spans="1:12" x14ac:dyDescent="0.3">
      <c r="A34" s="29" t="s">
        <v>795</v>
      </c>
      <c r="B34" s="29" t="s">
        <v>80</v>
      </c>
      <c r="C34" s="29" t="s">
        <v>249</v>
      </c>
      <c r="D34" s="29" t="s">
        <v>123</v>
      </c>
      <c r="E34" s="29" t="s">
        <v>796</v>
      </c>
      <c r="F34" s="29" t="s">
        <v>327</v>
      </c>
      <c r="G34" s="30">
        <v>46050</v>
      </c>
      <c r="H34" s="29" t="s">
        <v>746</v>
      </c>
      <c r="I34" s="30">
        <v>46053</v>
      </c>
      <c r="J34" s="27">
        <f>IF(H34="Resolved",IF(I34="","",I34-G34),Settings!$B$5-G34)</f>
        <v>3</v>
      </c>
      <c r="K34" s="24">
        <f>IF(F34="Yes",Settings!$B$19,Settings!$B$20)</f>
        <v>14</v>
      </c>
      <c r="L34" s="25" t="str">
        <f t="shared" si="0"/>
        <v/>
      </c>
    </row>
    <row r="35" spans="1:12" x14ac:dyDescent="0.3">
      <c r="A35" s="29" t="s">
        <v>797</v>
      </c>
      <c r="B35" s="29" t="s">
        <v>79</v>
      </c>
      <c r="C35" s="29"/>
      <c r="D35" s="29" t="s">
        <v>744</v>
      </c>
      <c r="E35" s="29" t="s">
        <v>745</v>
      </c>
      <c r="F35" s="29" t="s">
        <v>327</v>
      </c>
      <c r="G35" s="30">
        <v>46050</v>
      </c>
      <c r="H35" s="29" t="s">
        <v>91</v>
      </c>
      <c r="I35" s="30"/>
      <c r="J35" s="27">
        <f>IF(H35="Resolved",IF(I35="","",I35-G35),Settings!$B$5-G35)</f>
        <v>3</v>
      </c>
      <c r="K35" s="24">
        <f>IF(F35="Yes",Settings!$B$19,Settings!$B$20)</f>
        <v>14</v>
      </c>
      <c r="L35" s="25" t="str">
        <f t="shared" si="0"/>
        <v/>
      </c>
    </row>
    <row r="36" spans="1:12" x14ac:dyDescent="0.3">
      <c r="A36" s="29" t="s">
        <v>798</v>
      </c>
      <c r="B36" s="29" t="s">
        <v>78</v>
      </c>
      <c r="C36" s="29"/>
      <c r="D36" s="29" t="s">
        <v>781</v>
      </c>
      <c r="E36" s="29" t="s">
        <v>782</v>
      </c>
      <c r="F36" s="29" t="s">
        <v>182</v>
      </c>
      <c r="G36" s="30">
        <v>46051</v>
      </c>
      <c r="H36" s="29" t="s">
        <v>91</v>
      </c>
      <c r="I36" s="30"/>
      <c r="J36" s="27">
        <f>IF(H36="Resolved",IF(I36="","",I36-G36),Settings!$B$5-G36)</f>
        <v>2</v>
      </c>
      <c r="K36" s="24">
        <f>IF(F36="Yes",Settings!$B$19,Settings!$B$20)</f>
        <v>3</v>
      </c>
      <c r="L36" s="25" t="str">
        <f t="shared" si="0"/>
        <v/>
      </c>
    </row>
    <row r="37" spans="1:12" x14ac:dyDescent="0.3">
      <c r="A37" s="29" t="s">
        <v>799</v>
      </c>
      <c r="B37" s="29" t="s">
        <v>78</v>
      </c>
      <c r="C37" s="29"/>
      <c r="D37" s="29" t="s">
        <v>761</v>
      </c>
      <c r="E37" s="29" t="s">
        <v>787</v>
      </c>
      <c r="F37" s="29" t="s">
        <v>182</v>
      </c>
      <c r="G37" s="30">
        <v>46051</v>
      </c>
      <c r="H37" s="29" t="s">
        <v>746</v>
      </c>
      <c r="I37" s="30">
        <v>46053</v>
      </c>
      <c r="J37" s="27">
        <f>IF(H37="Resolved",IF(I37="","",I37-G37),Settings!$B$5-G37)</f>
        <v>2</v>
      </c>
      <c r="K37" s="24">
        <f>IF(F37="Yes",Settings!$B$19,Settings!$B$20)</f>
        <v>3</v>
      </c>
      <c r="L37" s="25" t="str">
        <f t="shared" si="0"/>
        <v/>
      </c>
    </row>
    <row r="38" spans="1:12" x14ac:dyDescent="0.3">
      <c r="A38" s="29" t="s">
        <v>800</v>
      </c>
      <c r="B38" s="29" t="s">
        <v>80</v>
      </c>
      <c r="C38" s="29"/>
      <c r="D38" s="29" t="s">
        <v>751</v>
      </c>
      <c r="E38" s="29" t="s">
        <v>775</v>
      </c>
      <c r="F38" s="29" t="s">
        <v>327</v>
      </c>
      <c r="G38" s="30">
        <v>46052</v>
      </c>
      <c r="H38" s="29" t="s">
        <v>759</v>
      </c>
      <c r="I38" s="30"/>
      <c r="J38" s="27">
        <f>IF(H38="Resolved",IF(I38="","",I38-G38),Settings!$B$5-G38)</f>
        <v>1</v>
      </c>
      <c r="K38" s="24">
        <f>IF(F38="Yes",Settings!$B$19,Settings!$B$20)</f>
        <v>14</v>
      </c>
      <c r="L38" s="25" t="str">
        <f t="shared" si="0"/>
        <v/>
      </c>
    </row>
    <row r="39" spans="1:12" x14ac:dyDescent="0.3">
      <c r="A39" s="29" t="s">
        <v>801</v>
      </c>
      <c r="B39" s="29" t="s">
        <v>80</v>
      </c>
      <c r="C39" s="29"/>
      <c r="D39" s="29" t="s">
        <v>768</v>
      </c>
      <c r="E39" s="29" t="s">
        <v>769</v>
      </c>
      <c r="F39" s="29" t="s">
        <v>182</v>
      </c>
      <c r="G39" s="30">
        <v>46052</v>
      </c>
      <c r="H39" s="29" t="s">
        <v>759</v>
      </c>
      <c r="I39" s="30"/>
      <c r="J39" s="27">
        <f>IF(H39="Resolved",IF(I39="","",I39-G39),Settings!$B$5-G39)</f>
        <v>1</v>
      </c>
      <c r="K39" s="24">
        <f>IF(F39="Yes",Settings!$B$19,Settings!$B$20)</f>
        <v>3</v>
      </c>
      <c r="L39" s="25" t="str">
        <f t="shared" si="0"/>
        <v/>
      </c>
    </row>
    <row r="40" spans="1:12" x14ac:dyDescent="0.3">
      <c r="A40" s="29" t="s">
        <v>802</v>
      </c>
      <c r="B40" s="29" t="s">
        <v>77</v>
      </c>
      <c r="C40" s="29"/>
      <c r="D40" s="29" t="s">
        <v>768</v>
      </c>
      <c r="E40" s="29" t="s">
        <v>794</v>
      </c>
      <c r="F40" s="29" t="s">
        <v>182</v>
      </c>
      <c r="G40" s="30">
        <v>46052</v>
      </c>
      <c r="H40" s="29" t="s">
        <v>746</v>
      </c>
      <c r="I40" s="30">
        <v>46053</v>
      </c>
      <c r="J40" s="27">
        <f>IF(H40="Resolved",IF(I40="","",I40-G40),Settings!$B$5-G40)</f>
        <v>1</v>
      </c>
      <c r="K40" s="24">
        <f>IF(F40="Yes",Settings!$B$19,Settings!$B$20)</f>
        <v>3</v>
      </c>
      <c r="L40" s="25" t="str">
        <f t="shared" si="0"/>
        <v/>
      </c>
    </row>
  </sheetData>
  <autoFilter ref="A4:L40" xr:uid="{00000000-0009-0000-0000-000007000000}"/>
  <conditionalFormatting sqref="L5:L40">
    <cfRule type="cellIs" dxfId="8" priority="2" operator="equal">
      <formula>"Delayed"</formula>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errorTitle="Invalid entry" error="Choose a value from the list" xr:uid="{00000000-0002-0000-0700-000000000000}">
          <x14:formula1>
            <xm:f>Lists!$H$5:$H$8</xm:f>
          </x14:formula1>
          <x14:formula2>
            <xm:f>0</xm:f>
          </x14:formula2>
          <xm:sqref>B5:B40</xm:sqref>
        </x14:dataValidation>
        <x14:dataValidation type="list" allowBlank="1" errorTitle="Invalid entry" error="Choose a value from the list" xr:uid="{00000000-0002-0000-0700-000001000000}">
          <x14:formula1>
            <xm:f>Lists!$E$5:$E$11</xm:f>
          </x14:formula1>
          <x14:formula2>
            <xm:f>0</xm:f>
          </x14:formula2>
          <xm:sqref>D5:D40</xm:sqref>
        </x14:dataValidation>
        <x14:dataValidation type="list" allowBlank="1" errorTitle="Invalid entry" error="Choose a value from the list" xr:uid="{00000000-0002-0000-0700-000002000000}">
          <x14:formula1>
            <xm:f>Lists!$I$5:$I$6</xm:f>
          </x14:formula1>
          <x14:formula2>
            <xm:f>0</xm:f>
          </x14:formula2>
          <xm:sqref>F5:F40</xm:sqref>
        </x14:dataValidation>
        <x14:dataValidation type="list" allowBlank="1" errorTitle="Invalid entry" error="Choose a value from the list" xr:uid="{00000000-0002-0000-0700-000003000000}">
          <x14:formula1>
            <xm:f>Lists!$F$5:$F$7</xm:f>
          </x14:formula1>
          <x14:formula2>
            <xm:f>0</xm:f>
          </x14:formula2>
          <xm:sqref>H5:H40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8"/>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H14" sqref="H14"/>
    </sheetView>
  </sheetViews>
  <sheetFormatPr defaultColWidth="8.6640625" defaultRowHeight="14.4" x14ac:dyDescent="0.3"/>
  <cols>
    <col min="1" max="1" width="27" customWidth="1"/>
    <col min="2" max="2" width="16" customWidth="1"/>
    <col min="3" max="4" width="10" customWidth="1"/>
    <col min="5" max="6" width="9" customWidth="1"/>
    <col min="7" max="8" width="8" customWidth="1"/>
    <col min="9" max="9" width="11" customWidth="1"/>
    <col min="10" max="13" width="9" customWidth="1"/>
    <col min="14" max="14" width="13" customWidth="1"/>
    <col min="15" max="15" width="9" customWidth="1"/>
    <col min="16" max="16" width="13" customWidth="1"/>
    <col min="17" max="17" width="10" customWidth="1"/>
    <col min="18" max="18" width="13" customWidth="1"/>
    <col min="19" max="22" width="10" customWidth="1"/>
    <col min="23" max="23" width="9" customWidth="1"/>
    <col min="24" max="24" width="26" customWidth="1"/>
  </cols>
  <sheetData>
    <row r="1" spans="1:24" ht="17.399999999999999" x14ac:dyDescent="0.3">
      <c r="A1" s="6" t="s">
        <v>803</v>
      </c>
    </row>
    <row r="2" spans="1:24" x14ac:dyDescent="0.3">
      <c r="A2" s="7" t="s">
        <v>804</v>
      </c>
    </row>
    <row r="4" spans="1:24" ht="42" customHeight="1" x14ac:dyDescent="0.3">
      <c r="A4" s="15" t="s">
        <v>72</v>
      </c>
      <c r="B4" s="15" t="s">
        <v>805</v>
      </c>
      <c r="C4" s="15" t="s">
        <v>73</v>
      </c>
      <c r="D4" s="15" t="s">
        <v>32</v>
      </c>
      <c r="E4" s="15" t="s">
        <v>806</v>
      </c>
      <c r="F4" s="15" t="s">
        <v>807</v>
      </c>
      <c r="G4" s="15" t="s">
        <v>808</v>
      </c>
      <c r="H4" s="15" t="s">
        <v>809</v>
      </c>
      <c r="I4" s="15" t="s">
        <v>810</v>
      </c>
      <c r="J4" s="15" t="s">
        <v>811</v>
      </c>
      <c r="K4" s="15" t="s">
        <v>812</v>
      </c>
      <c r="L4" s="15" t="s">
        <v>813</v>
      </c>
      <c r="M4" s="15" t="s">
        <v>106</v>
      </c>
      <c r="N4" s="15" t="s">
        <v>107</v>
      </c>
      <c r="O4" s="15" t="s">
        <v>108</v>
      </c>
      <c r="P4" s="15" t="s">
        <v>109</v>
      </c>
      <c r="Q4" s="15" t="s">
        <v>110</v>
      </c>
      <c r="R4" s="15" t="s">
        <v>111</v>
      </c>
      <c r="S4" s="15" t="s">
        <v>814</v>
      </c>
      <c r="T4" s="15" t="s">
        <v>815</v>
      </c>
      <c r="U4" s="15" t="s">
        <v>816</v>
      </c>
      <c r="V4" s="15" t="s">
        <v>44</v>
      </c>
      <c r="W4" s="15" t="s">
        <v>817</v>
      </c>
      <c r="X4" s="15" t="s">
        <v>818</v>
      </c>
    </row>
    <row r="5" spans="1:24" x14ac:dyDescent="0.3">
      <c r="A5" s="29" t="s">
        <v>77</v>
      </c>
      <c r="B5" s="29" t="s">
        <v>819</v>
      </c>
      <c r="C5" s="24">
        <f>COUNTIF(Households!$B$5:$B$154,A5)</f>
        <v>34</v>
      </c>
      <c r="D5" s="24">
        <f>SUMIF(Households!$B$5:$B$154,A5,Households!$H$5:$H$154)</f>
        <v>222</v>
      </c>
      <c r="E5" s="29">
        <v>3</v>
      </c>
      <c r="F5" s="29">
        <v>9</v>
      </c>
      <c r="G5" s="29">
        <v>4</v>
      </c>
      <c r="H5" s="29">
        <v>10</v>
      </c>
      <c r="I5" s="31">
        <v>3000</v>
      </c>
      <c r="J5" s="29" t="s">
        <v>182</v>
      </c>
      <c r="K5" s="29">
        <v>7</v>
      </c>
      <c r="L5" s="29">
        <v>2</v>
      </c>
      <c r="M5" s="27">
        <f>IF(E5=0,"",D5/E5)</f>
        <v>74</v>
      </c>
      <c r="N5" s="25" t="str">
        <f>IF(E5=0,"Below reference",IF(M5&lt;=Settings!$B$6,"Meets reference","Below reference"))</f>
        <v>Meets reference</v>
      </c>
      <c r="O5" s="27">
        <f>IF(F5=0,"",D5/F5)</f>
        <v>24.666666666666668</v>
      </c>
      <c r="P5" s="25" t="str">
        <f>IF(F5=0,"Below reference",IF(O5&lt;=Settings!$B$7,"Meets reference","Below reference"))</f>
        <v>Below reference</v>
      </c>
      <c r="Q5" s="32">
        <f>IF(D5=0,0,I5/D5)</f>
        <v>13.513513513513514</v>
      </c>
      <c r="R5" s="25" t="str">
        <f>IF(Q5&gt;=Settings!$B$8,"Meets reference","Below reference")</f>
        <v>Below reference</v>
      </c>
      <c r="S5" s="24">
        <f>MAX(0,ROUNDUP(D5/Settings!$B$7,0)-F5)</f>
        <v>3</v>
      </c>
      <c r="T5" s="24">
        <f>MAX(0,ROUNDUP(D5/Settings!$B$6,0)-E5)</f>
        <v>0</v>
      </c>
      <c r="U5" s="33">
        <f>IF(K5=0,0,L5/K5)</f>
        <v>0.2857142857142857</v>
      </c>
      <c r="V5" s="24">
        <f>COUNTIFS(Maintenance_Log!$B$5:$B$40,A5,Maintenance_Log!$H$5:$H$40,"&lt;&gt;Resolved")</f>
        <v>5</v>
      </c>
      <c r="W5" s="24">
        <f>COUNTIFS(Maintenance_Log!$B$5:$B$40,A5,Maintenance_Log!$H$5:$H$40,"&lt;&gt;Resolved",Maintenance_Log!$F$5:$F$40,"Yes")</f>
        <v>1</v>
      </c>
      <c r="X5" s="24" t="str">
        <f>IF(K5=0,"No committee – support formation",IF(U5&lt;0.5,"Women under-represented",""))</f>
        <v>Women under-represented</v>
      </c>
    </row>
    <row r="6" spans="1:24" x14ac:dyDescent="0.3">
      <c r="A6" s="29" t="s">
        <v>78</v>
      </c>
      <c r="B6" s="29" t="s">
        <v>819</v>
      </c>
      <c r="C6" s="24">
        <f>COUNTIF(Households!$B$5:$B$154,A6)</f>
        <v>30</v>
      </c>
      <c r="D6" s="24">
        <f>SUMIF(Households!$B$5:$B$154,A6,Households!$H$5:$H$154)</f>
        <v>202</v>
      </c>
      <c r="E6" s="29">
        <v>2</v>
      </c>
      <c r="F6" s="29">
        <v>12</v>
      </c>
      <c r="G6" s="29">
        <v>4</v>
      </c>
      <c r="H6" s="29">
        <v>12</v>
      </c>
      <c r="I6" s="31">
        <v>3600</v>
      </c>
      <c r="J6" s="29" t="s">
        <v>182</v>
      </c>
      <c r="K6" s="29">
        <v>6</v>
      </c>
      <c r="L6" s="29">
        <v>3</v>
      </c>
      <c r="M6" s="27">
        <f>IF(E6=0,"",D6/E6)</f>
        <v>101</v>
      </c>
      <c r="N6" s="25" t="str">
        <f>IF(E6=0,"Below reference",IF(M6&lt;=Settings!$B$6,"Meets reference","Below reference"))</f>
        <v>Meets reference</v>
      </c>
      <c r="O6" s="27">
        <f>IF(F6=0,"",D6/F6)</f>
        <v>16.833333333333332</v>
      </c>
      <c r="P6" s="25" t="str">
        <f>IF(F6=0,"Below reference",IF(O6&lt;=Settings!$B$7,"Meets reference","Below reference"))</f>
        <v>Meets reference</v>
      </c>
      <c r="Q6" s="32">
        <f>IF(D6=0,0,I6/D6)</f>
        <v>17.821782178217823</v>
      </c>
      <c r="R6" s="25" t="str">
        <f>IF(Q6&gt;=Settings!$B$8,"Meets reference","Below reference")</f>
        <v>Meets reference</v>
      </c>
      <c r="S6" s="24">
        <f>MAX(0,ROUNDUP(D6/Settings!$B$7,0)-F6)</f>
        <v>0</v>
      </c>
      <c r="T6" s="24">
        <f>MAX(0,ROUNDUP(D6/Settings!$B$6,0)-E6)</f>
        <v>0</v>
      </c>
      <c r="U6" s="33">
        <f>IF(K6=0,0,L6/K6)</f>
        <v>0.5</v>
      </c>
      <c r="V6" s="24">
        <f>COUNTIFS(Maintenance_Log!$B$5:$B$40,A6,Maintenance_Log!$H$5:$H$40,"&lt;&gt;Resolved")</f>
        <v>2</v>
      </c>
      <c r="W6" s="24">
        <f>COUNTIFS(Maintenance_Log!$B$5:$B$40,A6,Maintenance_Log!$H$5:$H$40,"&lt;&gt;Resolved",Maintenance_Log!$F$5:$F$40,"Yes")</f>
        <v>2</v>
      </c>
      <c r="X6" s="24" t="str">
        <f>IF(K6=0,"No committee – support formation",IF(U6&lt;0.5,"Women under-represented",""))</f>
        <v/>
      </c>
    </row>
    <row r="7" spans="1:24" x14ac:dyDescent="0.3">
      <c r="A7" s="29" t="s">
        <v>79</v>
      </c>
      <c r="B7" s="29" t="s">
        <v>820</v>
      </c>
      <c r="C7" s="24">
        <f>COUNTIF(Households!$B$5:$B$154,A7)</f>
        <v>36</v>
      </c>
      <c r="D7" s="24">
        <f>SUMIF(Households!$B$5:$B$154,A7,Households!$H$5:$H$154)</f>
        <v>258</v>
      </c>
      <c r="E7" s="29">
        <v>1</v>
      </c>
      <c r="F7" s="29">
        <v>6</v>
      </c>
      <c r="G7" s="29">
        <v>2</v>
      </c>
      <c r="H7" s="29">
        <v>3</v>
      </c>
      <c r="I7" s="31">
        <v>2000</v>
      </c>
      <c r="J7" s="29" t="s">
        <v>327</v>
      </c>
      <c r="K7" s="29">
        <v>0</v>
      </c>
      <c r="L7" s="29">
        <v>0</v>
      </c>
      <c r="M7" s="27">
        <f>IF(E7=0,"",D7/E7)</f>
        <v>258</v>
      </c>
      <c r="N7" s="25" t="str">
        <f>IF(E7=0,"Below reference",IF(M7&lt;=Settings!$B$6,"Meets reference","Below reference"))</f>
        <v>Below reference</v>
      </c>
      <c r="O7" s="27">
        <f>IF(F7=0,"",D7/F7)</f>
        <v>43</v>
      </c>
      <c r="P7" s="25" t="str">
        <f>IF(F7=0,"Below reference",IF(O7&lt;=Settings!$B$7,"Meets reference","Below reference"))</f>
        <v>Below reference</v>
      </c>
      <c r="Q7" s="32">
        <f>IF(D7=0,0,I7/D7)</f>
        <v>7.7519379844961236</v>
      </c>
      <c r="R7" s="25" t="str">
        <f>IF(Q7&gt;=Settings!$B$8,"Meets reference","Below reference")</f>
        <v>Below reference</v>
      </c>
      <c r="S7" s="24">
        <f>MAX(0,ROUNDUP(D7/Settings!$B$7,0)-F7)</f>
        <v>7</v>
      </c>
      <c r="T7" s="24">
        <f>MAX(0,ROUNDUP(D7/Settings!$B$6,0)-E7)</f>
        <v>1</v>
      </c>
      <c r="U7" s="33">
        <f>IF(K7=0,0,L7/K7)</f>
        <v>0</v>
      </c>
      <c r="V7" s="24">
        <f>COUNTIFS(Maintenance_Log!$B$5:$B$40,A7,Maintenance_Log!$H$5:$H$40,"&lt;&gt;Resolved")</f>
        <v>10</v>
      </c>
      <c r="W7" s="24">
        <f>COUNTIFS(Maintenance_Log!$B$5:$B$40,A7,Maintenance_Log!$H$5:$H$40,"&lt;&gt;Resolved",Maintenance_Log!$F$5:$F$40,"Yes")</f>
        <v>3</v>
      </c>
      <c r="X7" s="24" t="str">
        <f>IF(K7=0,"No committee – support formation",IF(U7&lt;0.5,"Women under-represented",""))</f>
        <v>No committee – support formation</v>
      </c>
    </row>
    <row r="8" spans="1:24" x14ac:dyDescent="0.3">
      <c r="A8" s="29" t="s">
        <v>80</v>
      </c>
      <c r="B8" s="29" t="s">
        <v>821</v>
      </c>
      <c r="C8" s="24">
        <f>COUNTIF(Households!$B$5:$B$154,A8)</f>
        <v>20</v>
      </c>
      <c r="D8" s="24">
        <f>SUMIF(Households!$B$5:$B$154,A8,Households!$H$5:$H$154)</f>
        <v>116</v>
      </c>
      <c r="E8" s="29">
        <v>2</v>
      </c>
      <c r="F8" s="29">
        <v>5</v>
      </c>
      <c r="G8" s="29">
        <v>3</v>
      </c>
      <c r="H8" s="29">
        <v>8</v>
      </c>
      <c r="I8" s="31">
        <v>2400</v>
      </c>
      <c r="J8" s="29" t="s">
        <v>182</v>
      </c>
      <c r="K8" s="29">
        <v>5</v>
      </c>
      <c r="L8" s="29">
        <v>2</v>
      </c>
      <c r="M8" s="27">
        <f>IF(E8=0,"",D8/E8)</f>
        <v>58</v>
      </c>
      <c r="N8" s="25" t="str">
        <f>IF(E8=0,"Below reference",IF(M8&lt;=Settings!$B$6,"Meets reference","Below reference"))</f>
        <v>Meets reference</v>
      </c>
      <c r="O8" s="27">
        <f>IF(F8=0,"",D8/F8)</f>
        <v>23.2</v>
      </c>
      <c r="P8" s="25" t="str">
        <f>IF(F8=0,"Below reference",IF(O8&lt;=Settings!$B$7,"Meets reference","Below reference"))</f>
        <v>Below reference</v>
      </c>
      <c r="Q8" s="32">
        <f>IF(D8=0,0,I8/D8)</f>
        <v>20.689655172413794</v>
      </c>
      <c r="R8" s="25" t="str">
        <f>IF(Q8&gt;=Settings!$B$8,"Meets reference","Below reference")</f>
        <v>Meets reference</v>
      </c>
      <c r="S8" s="24">
        <f>MAX(0,ROUNDUP(D8/Settings!$B$7,0)-F8)</f>
        <v>1</v>
      </c>
      <c r="T8" s="24">
        <f>MAX(0,ROUNDUP(D8/Settings!$B$6,0)-E8)</f>
        <v>0</v>
      </c>
      <c r="U8" s="33">
        <f>IF(K8=0,0,L8/K8)</f>
        <v>0.4</v>
      </c>
      <c r="V8" s="24">
        <f>COUNTIFS(Maintenance_Log!$B$5:$B$40,A8,Maintenance_Log!$H$5:$H$40,"&lt;&gt;Resolved")</f>
        <v>3</v>
      </c>
      <c r="W8" s="24">
        <f>COUNTIFS(Maintenance_Log!$B$5:$B$40,A8,Maintenance_Log!$H$5:$H$40,"&lt;&gt;Resolved",Maintenance_Log!$F$5:$F$40,"Yes")</f>
        <v>1</v>
      </c>
      <c r="X8" s="24" t="str">
        <f>IF(K8=0,"No committee – support formation",IF(U8&lt;0.5,"Women under-represented",""))</f>
        <v>Women under-represented</v>
      </c>
    </row>
  </sheetData>
  <conditionalFormatting sqref="N5:N8">
    <cfRule type="cellIs" dxfId="7" priority="2" operator="equal">
      <formula>"Below reference"</formula>
    </cfRule>
    <cfRule type="cellIs" dxfId="6" priority="3" operator="equal">
      <formula>"Meets reference"</formula>
    </cfRule>
  </conditionalFormatting>
  <conditionalFormatting sqref="P5:P8">
    <cfRule type="cellIs" dxfId="5" priority="4" operator="equal">
      <formula>"Below reference"</formula>
    </cfRule>
    <cfRule type="cellIs" dxfId="4" priority="5" operator="equal">
      <formula>"Meets reference"</formula>
    </cfRule>
  </conditionalFormatting>
  <conditionalFormatting sqref="R5:R8">
    <cfRule type="cellIs" dxfId="3" priority="6" operator="equal">
      <formula>"Below reference"</formula>
    </cfRule>
    <cfRule type="cellIs" dxfId="2" priority="7" operator="equal">
      <formula>"Meets reference"</formula>
    </cfRule>
  </conditionalFormatting>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10"/>
  <sheetViews>
    <sheetView showGridLines="0" zoomScaleNormal="100" workbookViewId="0"/>
  </sheetViews>
  <sheetFormatPr defaultColWidth="8.6640625" defaultRowHeight="14.4" x14ac:dyDescent="0.3"/>
  <cols>
    <col min="1" max="1" width="10" customWidth="1"/>
    <col min="2" max="3" width="27" customWidth="1"/>
    <col min="4" max="4" width="38" customWidth="1"/>
    <col min="5" max="7" width="8" customWidth="1"/>
    <col min="8" max="8" width="9" customWidth="1"/>
    <col min="9" max="9" width="8" customWidth="1"/>
    <col min="10" max="10" width="11" customWidth="1"/>
    <col min="11" max="11" width="9" customWidth="1"/>
    <col min="12" max="12" width="11" customWidth="1"/>
    <col min="13" max="13" width="9" customWidth="1"/>
    <col min="14" max="14" width="14" customWidth="1"/>
    <col min="15" max="15" width="11" customWidth="1"/>
    <col min="16" max="16" width="34" customWidth="1"/>
  </cols>
  <sheetData>
    <row r="1" spans="1:16" ht="17.399999999999999" x14ac:dyDescent="0.3">
      <c r="A1" s="6" t="s">
        <v>822</v>
      </c>
    </row>
    <row r="2" spans="1:16" x14ac:dyDescent="0.3">
      <c r="A2" s="7" t="s">
        <v>823</v>
      </c>
    </row>
    <row r="4" spans="1:16" ht="42" customHeight="1" x14ac:dyDescent="0.3">
      <c r="A4" s="15" t="s">
        <v>824</v>
      </c>
      <c r="B4" s="15" t="s">
        <v>72</v>
      </c>
      <c r="C4" s="15" t="s">
        <v>825</v>
      </c>
      <c r="D4" s="15" t="s">
        <v>826</v>
      </c>
      <c r="E4" s="15" t="s">
        <v>827</v>
      </c>
      <c r="F4" s="15" t="s">
        <v>828</v>
      </c>
      <c r="G4" s="15" t="s">
        <v>829</v>
      </c>
      <c r="H4" s="15" t="s">
        <v>830</v>
      </c>
      <c r="I4" s="15" t="s">
        <v>831</v>
      </c>
      <c r="J4" s="15" t="s">
        <v>832</v>
      </c>
      <c r="K4" s="15" t="s">
        <v>833</v>
      </c>
      <c r="L4" s="15" t="s">
        <v>834</v>
      </c>
      <c r="M4" s="15" t="s">
        <v>835</v>
      </c>
      <c r="N4" s="15" t="s">
        <v>668</v>
      </c>
      <c r="O4" s="15" t="s">
        <v>836</v>
      </c>
      <c r="P4" s="15" t="s">
        <v>837</v>
      </c>
    </row>
    <row r="5" spans="1:16" x14ac:dyDescent="0.3">
      <c r="A5" s="29" t="s">
        <v>838</v>
      </c>
      <c r="B5" s="29" t="s">
        <v>77</v>
      </c>
      <c r="C5" s="29" t="s">
        <v>839</v>
      </c>
      <c r="D5" s="29" t="s">
        <v>840</v>
      </c>
      <c r="E5" s="29">
        <v>8</v>
      </c>
      <c r="F5" s="29">
        <v>3</v>
      </c>
      <c r="G5" s="29">
        <v>3</v>
      </c>
      <c r="H5" s="29">
        <v>1</v>
      </c>
      <c r="I5" s="33">
        <f t="shared" ref="I5:I10" si="0">IF(E5=0,0,F5/E5)</f>
        <v>0.375</v>
      </c>
      <c r="J5" s="31">
        <v>450</v>
      </c>
      <c r="K5" s="29" t="s">
        <v>182</v>
      </c>
      <c r="L5" s="29" t="s">
        <v>182</v>
      </c>
      <c r="M5" s="34">
        <v>0.6</v>
      </c>
      <c r="N5" s="29" t="s">
        <v>759</v>
      </c>
      <c r="O5" s="30">
        <v>46056</v>
      </c>
      <c r="P5" s="24" t="str">
        <f t="shared" ref="P5:P10" si="1">IF(AND(L5="No",N5&lt;&gt;"Proposal drafted"),"Complete supporting documentation",IF(K5="No","Draft BoQ for technical review",""))</f>
        <v/>
      </c>
    </row>
    <row r="6" spans="1:16" x14ac:dyDescent="0.3">
      <c r="A6" s="29" t="s">
        <v>841</v>
      </c>
      <c r="B6" s="29" t="s">
        <v>79</v>
      </c>
      <c r="C6" s="29" t="s">
        <v>842</v>
      </c>
      <c r="D6" s="29" t="s">
        <v>843</v>
      </c>
      <c r="E6" s="29">
        <v>10</v>
      </c>
      <c r="F6" s="29">
        <v>10</v>
      </c>
      <c r="G6" s="29">
        <v>2</v>
      </c>
      <c r="H6" s="29">
        <v>1</v>
      </c>
      <c r="I6" s="33">
        <f t="shared" si="0"/>
        <v>1</v>
      </c>
      <c r="J6" s="31">
        <v>600</v>
      </c>
      <c r="K6" s="29" t="s">
        <v>182</v>
      </c>
      <c r="L6" s="29" t="s">
        <v>327</v>
      </c>
      <c r="M6" s="34">
        <v>0.3</v>
      </c>
      <c r="N6" s="29" t="s">
        <v>759</v>
      </c>
      <c r="O6" s="30">
        <v>46055</v>
      </c>
      <c r="P6" s="24" t="str">
        <f t="shared" si="1"/>
        <v>Complete supporting documentation</v>
      </c>
    </row>
    <row r="7" spans="1:16" x14ac:dyDescent="0.3">
      <c r="A7" s="29" t="s">
        <v>844</v>
      </c>
      <c r="B7" s="29" t="s">
        <v>79</v>
      </c>
      <c r="C7" s="29" t="s">
        <v>845</v>
      </c>
      <c r="D7" s="29" t="s">
        <v>846</v>
      </c>
      <c r="E7" s="29">
        <v>7</v>
      </c>
      <c r="F7" s="29">
        <v>2</v>
      </c>
      <c r="G7" s="29">
        <v>6</v>
      </c>
      <c r="H7" s="29">
        <v>0</v>
      </c>
      <c r="I7" s="33">
        <f t="shared" si="0"/>
        <v>0.2857142857142857</v>
      </c>
      <c r="J7" s="31">
        <v>800</v>
      </c>
      <c r="K7" s="29" t="s">
        <v>182</v>
      </c>
      <c r="L7" s="29" t="s">
        <v>182</v>
      </c>
      <c r="M7" s="34">
        <v>0.1</v>
      </c>
      <c r="N7" s="29" t="s">
        <v>847</v>
      </c>
      <c r="O7" s="30">
        <v>46058</v>
      </c>
      <c r="P7" s="24" t="str">
        <f t="shared" si="1"/>
        <v/>
      </c>
    </row>
    <row r="8" spans="1:16" x14ac:dyDescent="0.3">
      <c r="A8" s="29" t="s">
        <v>848</v>
      </c>
      <c r="B8" s="29" t="s">
        <v>78</v>
      </c>
      <c r="C8" s="29" t="s">
        <v>849</v>
      </c>
      <c r="D8" s="29" t="s">
        <v>850</v>
      </c>
      <c r="E8" s="29">
        <v>6</v>
      </c>
      <c r="F8" s="29">
        <v>3</v>
      </c>
      <c r="G8" s="29">
        <v>2</v>
      </c>
      <c r="H8" s="29">
        <v>0</v>
      </c>
      <c r="I8" s="33">
        <f t="shared" si="0"/>
        <v>0.5</v>
      </c>
      <c r="J8" s="31">
        <v>350</v>
      </c>
      <c r="K8" s="29" t="s">
        <v>182</v>
      </c>
      <c r="L8" s="29" t="s">
        <v>182</v>
      </c>
      <c r="M8" s="34">
        <v>1</v>
      </c>
      <c r="N8" s="29" t="s">
        <v>851</v>
      </c>
      <c r="O8" s="30">
        <v>46063</v>
      </c>
      <c r="P8" s="24" t="str">
        <f t="shared" si="1"/>
        <v/>
      </c>
    </row>
    <row r="9" spans="1:16" x14ac:dyDescent="0.3">
      <c r="A9" s="29" t="s">
        <v>852</v>
      </c>
      <c r="B9" s="29" t="s">
        <v>80</v>
      </c>
      <c r="C9" s="29" t="s">
        <v>853</v>
      </c>
      <c r="D9" s="29" t="s">
        <v>854</v>
      </c>
      <c r="E9" s="29">
        <v>6</v>
      </c>
      <c r="F9" s="29">
        <v>3</v>
      </c>
      <c r="G9" s="29">
        <v>0</v>
      </c>
      <c r="H9" s="29">
        <v>2</v>
      </c>
      <c r="I9" s="33">
        <f t="shared" si="0"/>
        <v>0.5</v>
      </c>
      <c r="J9" s="31">
        <v>400</v>
      </c>
      <c r="K9" s="29" t="s">
        <v>327</v>
      </c>
      <c r="L9" s="29" t="s">
        <v>327</v>
      </c>
      <c r="M9" s="34">
        <v>0</v>
      </c>
      <c r="N9" s="29" t="s">
        <v>855</v>
      </c>
      <c r="O9" s="30">
        <v>46057</v>
      </c>
      <c r="P9" s="24" t="str">
        <f t="shared" si="1"/>
        <v>Draft BoQ for technical review</v>
      </c>
    </row>
    <row r="10" spans="1:16" x14ac:dyDescent="0.3">
      <c r="A10" s="29" t="s">
        <v>856</v>
      </c>
      <c r="B10" s="29" t="s">
        <v>77</v>
      </c>
      <c r="C10" s="29" t="s">
        <v>857</v>
      </c>
      <c r="D10" s="29" t="s">
        <v>858</v>
      </c>
      <c r="E10" s="29">
        <v>9</v>
      </c>
      <c r="F10" s="29">
        <v>6</v>
      </c>
      <c r="G10" s="29">
        <v>2</v>
      </c>
      <c r="H10" s="29">
        <v>1</v>
      </c>
      <c r="I10" s="33">
        <f t="shared" si="0"/>
        <v>0.66666666666666663</v>
      </c>
      <c r="J10" s="31">
        <v>500</v>
      </c>
      <c r="K10" s="29" t="s">
        <v>182</v>
      </c>
      <c r="L10" s="29" t="s">
        <v>327</v>
      </c>
      <c r="M10" s="34">
        <v>0.4</v>
      </c>
      <c r="N10" s="29" t="s">
        <v>759</v>
      </c>
      <c r="O10" s="30">
        <v>46054</v>
      </c>
      <c r="P10" s="24" t="str">
        <f t="shared" si="1"/>
        <v>Complete supporting documentation</v>
      </c>
    </row>
  </sheetData>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Invalid entry" error="Choose a value from the list" xr:uid="{00000000-0002-0000-0900-000000000000}">
          <x14:formula1>
            <xm:f>Lists!$H$5:$H$8</xm:f>
          </x14:formula1>
          <x14:formula2>
            <xm:f>0</xm:f>
          </x14:formula2>
          <xm:sqref>B5:B10</xm:sqref>
        </x14:dataValidation>
        <x14:dataValidation type="list" allowBlank="1" errorTitle="Invalid entry" error="Choose a value from the list" xr:uid="{00000000-0002-0000-0900-000001000000}">
          <x14:formula1>
            <xm:f>Lists!$I$5:$I$6</xm:f>
          </x14:formula1>
          <x14:formula2>
            <xm:f>0</xm:f>
          </x14:formula2>
          <xm:sqref>K5:L10</xm:sqref>
        </x14:dataValidation>
        <x14:dataValidation type="list" allowBlank="1" errorTitle="Invalid entry" error="Choose a value from the list" xr:uid="{00000000-0002-0000-0900-000002000000}">
          <x14:formula1>
            <xm:f>Lists!$J$5:$J$8</xm:f>
          </x14:formula1>
          <x14:formula2>
            <xm:f>0</xm:f>
          </x14:formula2>
          <xm:sqref>N5:N10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19"/>
  <sheetViews>
    <sheetView showGridLines="0" zoomScaleNormal="100" workbookViewId="0"/>
  </sheetViews>
  <sheetFormatPr defaultColWidth="8.6640625" defaultRowHeight="14.4" x14ac:dyDescent="0.3"/>
  <cols>
    <col min="1" max="1" width="28" customWidth="1"/>
    <col min="2" max="2" width="14" customWidth="1"/>
    <col min="3" max="5" width="11" customWidth="1"/>
    <col min="6" max="7" width="13" customWidth="1"/>
    <col min="8" max="8" width="52" customWidth="1"/>
  </cols>
  <sheetData>
    <row r="1" spans="1:8" ht="17.399999999999999" x14ac:dyDescent="0.3">
      <c r="A1" s="6" t="s">
        <v>859</v>
      </c>
    </row>
    <row r="2" spans="1:8" x14ac:dyDescent="0.3">
      <c r="A2" s="7" t="s">
        <v>860</v>
      </c>
    </row>
    <row r="4" spans="1:8" ht="42" customHeight="1" x14ac:dyDescent="0.3">
      <c r="A4" s="15" t="s">
        <v>48</v>
      </c>
      <c r="B4" s="15" t="s">
        <v>49</v>
      </c>
      <c r="C4" s="15" t="s">
        <v>861</v>
      </c>
      <c r="D4" s="15" t="s">
        <v>862</v>
      </c>
      <c r="E4" s="15" t="s">
        <v>863</v>
      </c>
      <c r="F4" s="15" t="s">
        <v>864</v>
      </c>
      <c r="G4" s="15" t="s">
        <v>865</v>
      </c>
      <c r="H4" s="15" t="s">
        <v>866</v>
      </c>
    </row>
    <row r="5" spans="1:8" x14ac:dyDescent="0.3">
      <c r="A5" s="11" t="s">
        <v>54</v>
      </c>
      <c r="B5" s="11" t="s">
        <v>55</v>
      </c>
      <c r="C5" s="35">
        <f>SUM(Needs_Gaps!$F$5:$F$154)</f>
        <v>571</v>
      </c>
      <c r="D5" s="33">
        <f>Settings!$B$34</f>
        <v>0.05</v>
      </c>
      <c r="E5" s="35">
        <f t="shared" ref="E5:E16" si="0">ROUNDUP(C5*(1+D5),0)</f>
        <v>600</v>
      </c>
      <c r="F5" s="35">
        <f>Settings!$B$37</f>
        <v>12</v>
      </c>
      <c r="G5" s="35">
        <f t="shared" ref="G5:G16" si="1">E5*F5</f>
        <v>7200</v>
      </c>
      <c r="H5" s="11" t="s">
        <v>867</v>
      </c>
    </row>
    <row r="6" spans="1:8" x14ac:dyDescent="0.3">
      <c r="A6" s="11" t="s">
        <v>56</v>
      </c>
      <c r="B6" s="11" t="s">
        <v>55</v>
      </c>
      <c r="C6" s="35">
        <f>SUM(Needs_Gaps!$I$5:$I$154)</f>
        <v>265</v>
      </c>
      <c r="D6" s="33">
        <f>Settings!$B$34</f>
        <v>0.05</v>
      </c>
      <c r="E6" s="35">
        <f t="shared" si="0"/>
        <v>279</v>
      </c>
      <c r="F6" s="35">
        <f>Settings!$B$38</f>
        <v>18</v>
      </c>
      <c r="G6" s="35">
        <f t="shared" si="1"/>
        <v>5022</v>
      </c>
      <c r="H6" s="11" t="s">
        <v>867</v>
      </c>
    </row>
    <row r="7" spans="1:8" x14ac:dyDescent="0.3">
      <c r="A7" s="11" t="s">
        <v>57</v>
      </c>
      <c r="B7" s="11" t="s">
        <v>58</v>
      </c>
      <c r="C7" s="35">
        <f>SUM(Needs_Gaps!$L$5:$L$154)</f>
        <v>21</v>
      </c>
      <c r="D7" s="33">
        <f>Settings!$B$34</f>
        <v>0.05</v>
      </c>
      <c r="E7" s="35">
        <f t="shared" si="0"/>
        <v>23</v>
      </c>
      <c r="F7" s="35">
        <f>Settings!$B$39</f>
        <v>25</v>
      </c>
      <c r="G7" s="35">
        <f t="shared" si="1"/>
        <v>575</v>
      </c>
      <c r="H7" s="11" t="s">
        <v>867</v>
      </c>
    </row>
    <row r="8" spans="1:8" x14ac:dyDescent="0.3">
      <c r="A8" s="11" t="s">
        <v>59</v>
      </c>
      <c r="B8" s="11" t="s">
        <v>60</v>
      </c>
      <c r="C8" s="35">
        <f>SUM(Needs_Gaps!$O$5:$O$154)</f>
        <v>9</v>
      </c>
      <c r="D8" s="33">
        <f>Settings!$B$34</f>
        <v>0.05</v>
      </c>
      <c r="E8" s="35">
        <f t="shared" si="0"/>
        <v>10</v>
      </c>
      <c r="F8" s="35">
        <f>Settings!$B$40</f>
        <v>180</v>
      </c>
      <c r="G8" s="35">
        <f t="shared" si="1"/>
        <v>1800</v>
      </c>
      <c r="H8" s="11" t="s">
        <v>867</v>
      </c>
    </row>
    <row r="9" spans="1:8" x14ac:dyDescent="0.3">
      <c r="A9" s="11" t="s">
        <v>61</v>
      </c>
      <c r="B9" s="11" t="s">
        <v>62</v>
      </c>
      <c r="C9" s="35">
        <f>SUM(Needs_Gaps!$R$5:$R$154)</f>
        <v>17</v>
      </c>
      <c r="D9" s="33">
        <f>Settings!$B$34</f>
        <v>0.05</v>
      </c>
      <c r="E9" s="35">
        <f t="shared" si="0"/>
        <v>18</v>
      </c>
      <c r="F9" s="35">
        <f>Settings!$B$41</f>
        <v>20</v>
      </c>
      <c r="G9" s="35">
        <f t="shared" si="1"/>
        <v>360</v>
      </c>
      <c r="H9" s="11" t="s">
        <v>867</v>
      </c>
    </row>
    <row r="10" spans="1:8" x14ac:dyDescent="0.3">
      <c r="A10" s="11" t="s">
        <v>63</v>
      </c>
      <c r="B10" s="11" t="s">
        <v>64</v>
      </c>
      <c r="C10" s="35">
        <f>SUM(Needs_Gaps!$U$5:$U$154)</f>
        <v>198</v>
      </c>
      <c r="D10" s="33">
        <f>Settings!$B$34</f>
        <v>0.05</v>
      </c>
      <c r="E10" s="35">
        <f t="shared" si="0"/>
        <v>208</v>
      </c>
      <c r="F10" s="35">
        <f>Settings!$B$42</f>
        <v>15</v>
      </c>
      <c r="G10" s="35">
        <f t="shared" si="1"/>
        <v>3120</v>
      </c>
      <c r="H10" s="11" t="s">
        <v>867</v>
      </c>
    </row>
    <row r="11" spans="1:8" x14ac:dyDescent="0.3">
      <c r="A11" s="11" t="s">
        <v>65</v>
      </c>
      <c r="B11" s="11" t="s">
        <v>64</v>
      </c>
      <c r="C11" s="35">
        <f>SUM(Needs_Gaps!$X$5:$X$154)</f>
        <v>101</v>
      </c>
      <c r="D11" s="33">
        <f>Settings!$B$34</f>
        <v>0.05</v>
      </c>
      <c r="E11" s="35">
        <f t="shared" si="0"/>
        <v>107</v>
      </c>
      <c r="F11" s="35">
        <f>Settings!$B$43</f>
        <v>20</v>
      </c>
      <c r="G11" s="35">
        <f t="shared" si="1"/>
        <v>2140</v>
      </c>
      <c r="H11" s="11" t="s">
        <v>867</v>
      </c>
    </row>
    <row r="12" spans="1:8" x14ac:dyDescent="0.3">
      <c r="A12" s="11" t="s">
        <v>66</v>
      </c>
      <c r="B12" s="11" t="s">
        <v>67</v>
      </c>
      <c r="C12" s="35">
        <f>SUM(Needs_Gaps!$AA$5:$AA$154)</f>
        <v>182</v>
      </c>
      <c r="D12" s="33">
        <f>Settings!$B$34</f>
        <v>0.05</v>
      </c>
      <c r="E12" s="35">
        <f t="shared" si="0"/>
        <v>192</v>
      </c>
      <c r="F12" s="35">
        <f>Settings!$B$44</f>
        <v>9</v>
      </c>
      <c r="G12" s="35">
        <f t="shared" si="1"/>
        <v>1728</v>
      </c>
      <c r="H12" s="11" t="s">
        <v>867</v>
      </c>
    </row>
    <row r="13" spans="1:8" x14ac:dyDescent="0.3">
      <c r="A13" s="11" t="s">
        <v>68</v>
      </c>
      <c r="B13" s="11" t="s">
        <v>69</v>
      </c>
      <c r="C13" s="35">
        <f>SUM(Needs_Gaps!$AD$5:$AD$154)</f>
        <v>43</v>
      </c>
      <c r="D13" s="33">
        <f>Settings!$B$34</f>
        <v>0.05</v>
      </c>
      <c r="E13" s="35">
        <f t="shared" si="0"/>
        <v>46</v>
      </c>
      <c r="F13" s="35">
        <f>Settings!$B$45</f>
        <v>22</v>
      </c>
      <c r="G13" s="35">
        <f t="shared" si="1"/>
        <v>1012</v>
      </c>
      <c r="H13" s="11" t="s">
        <v>867</v>
      </c>
    </row>
    <row r="14" spans="1:8" x14ac:dyDescent="0.3">
      <c r="A14" s="11" t="s">
        <v>70</v>
      </c>
      <c r="B14" s="11" t="s">
        <v>69</v>
      </c>
      <c r="C14" s="35">
        <f>SUM(Needs_Gaps!$AG$5:$AG$154)</f>
        <v>161</v>
      </c>
      <c r="D14" s="33">
        <f>Settings!$B$34</f>
        <v>0.05</v>
      </c>
      <c r="E14" s="35">
        <f t="shared" si="0"/>
        <v>170</v>
      </c>
      <c r="F14" s="35">
        <f>Settings!$B$46</f>
        <v>8</v>
      </c>
      <c r="G14" s="35">
        <f t="shared" si="1"/>
        <v>1360</v>
      </c>
      <c r="H14" s="11" t="s">
        <v>867</v>
      </c>
    </row>
    <row r="15" spans="1:8" x14ac:dyDescent="0.3">
      <c r="A15" s="11" t="s">
        <v>868</v>
      </c>
      <c r="B15" s="11" t="s">
        <v>869</v>
      </c>
      <c r="C15" s="24">
        <f>SUM(Site_Profile!$S$5:$S$8)</f>
        <v>11</v>
      </c>
      <c r="D15" s="34">
        <v>0</v>
      </c>
      <c r="E15" s="24">
        <f t="shared" si="0"/>
        <v>11</v>
      </c>
      <c r="F15" s="35">
        <f>Settings!$B$47</f>
        <v>450</v>
      </c>
      <c r="G15" s="35">
        <f t="shared" si="1"/>
        <v>4950</v>
      </c>
      <c r="H15" s="11" t="s">
        <v>870</v>
      </c>
    </row>
    <row r="16" spans="1:8" x14ac:dyDescent="0.3">
      <c r="A16" s="11" t="s">
        <v>871</v>
      </c>
      <c r="B16" s="11" t="s">
        <v>869</v>
      </c>
      <c r="C16" s="24">
        <f>SUM(Site_Profile!$T$5:$T$8)</f>
        <v>1</v>
      </c>
      <c r="D16" s="34">
        <v>0</v>
      </c>
      <c r="E16" s="24">
        <f t="shared" si="0"/>
        <v>1</v>
      </c>
      <c r="F16" s="35">
        <f>Settings!$B$48</f>
        <v>250</v>
      </c>
      <c r="G16" s="35">
        <f t="shared" si="1"/>
        <v>250</v>
      </c>
      <c r="H16" s="11" t="s">
        <v>872</v>
      </c>
    </row>
    <row r="17" spans="1:7" x14ac:dyDescent="0.3">
      <c r="A17" s="36" t="s">
        <v>873</v>
      </c>
      <c r="G17" s="37">
        <f>SUM(G5:G16)</f>
        <v>29517</v>
      </c>
    </row>
    <row r="19" spans="1:7" x14ac:dyDescent="0.3">
      <c r="A19" s="7" t="s">
        <v>874</v>
      </c>
    </row>
  </sheetData>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pageSetUpPr fitToPage="1"/>
  </sheetPr>
  <dimension ref="A1:AI149"/>
  <sheetViews>
    <sheetView showGridLines="0" zoomScaleNormal="100" workbookViewId="0">
      <pane ySplit="1" topLeftCell="A2" activePane="bottomLeft" state="frozen"/>
      <selection pane="bottomLeft"/>
    </sheetView>
  </sheetViews>
  <sheetFormatPr defaultColWidth="8.6640625" defaultRowHeight="14.4" x14ac:dyDescent="0.3"/>
  <cols>
    <col min="1" max="2" width="26" customWidth="1"/>
    <col min="3" max="26" width="14" customWidth="1"/>
    <col min="27" max="27" width="26" customWidth="1"/>
    <col min="28" max="28" width="19" customWidth="1"/>
    <col min="29" max="35" width="14" customWidth="1"/>
  </cols>
  <sheetData>
    <row r="1" spans="1:35" ht="26.4" x14ac:dyDescent="0.3">
      <c r="A1" s="38" t="s">
        <v>875</v>
      </c>
      <c r="B1" s="38" t="s">
        <v>876</v>
      </c>
      <c r="C1" s="38" t="s">
        <v>877</v>
      </c>
      <c r="D1" s="38" t="s">
        <v>878</v>
      </c>
      <c r="E1" s="38" t="s">
        <v>879</v>
      </c>
      <c r="F1" s="38" t="s">
        <v>880</v>
      </c>
      <c r="G1" s="38" t="s">
        <v>881</v>
      </c>
      <c r="H1" s="38" t="s">
        <v>882</v>
      </c>
      <c r="I1" s="38" t="s">
        <v>883</v>
      </c>
      <c r="J1" s="38" t="s">
        <v>884</v>
      </c>
      <c r="K1" s="38" t="s">
        <v>885</v>
      </c>
      <c r="L1" s="38" t="s">
        <v>886</v>
      </c>
      <c r="M1" s="38" t="s">
        <v>887</v>
      </c>
      <c r="N1" s="38" t="s">
        <v>888</v>
      </c>
      <c r="O1" s="38" t="s">
        <v>889</v>
      </c>
      <c r="P1" s="38" t="s">
        <v>890</v>
      </c>
      <c r="Q1" s="38" t="s">
        <v>891</v>
      </c>
      <c r="R1" s="38" t="s">
        <v>892</v>
      </c>
      <c r="S1" s="38" t="s">
        <v>893</v>
      </c>
      <c r="T1" s="38" t="s">
        <v>894</v>
      </c>
      <c r="U1" s="38" t="s">
        <v>895</v>
      </c>
      <c r="V1" s="38" t="s">
        <v>896</v>
      </c>
      <c r="W1" s="38" t="s">
        <v>897</v>
      </c>
      <c r="X1" s="38" t="s">
        <v>898</v>
      </c>
      <c r="Y1" s="38" t="s">
        <v>899</v>
      </c>
      <c r="Z1" s="38" t="s">
        <v>900</v>
      </c>
      <c r="AA1" s="38" t="s">
        <v>901</v>
      </c>
      <c r="AB1" s="38" t="s">
        <v>902</v>
      </c>
      <c r="AC1" s="38" t="s">
        <v>903</v>
      </c>
      <c r="AD1" s="38" t="s">
        <v>904</v>
      </c>
      <c r="AE1" s="38" t="s">
        <v>905</v>
      </c>
      <c r="AF1" s="38" t="s">
        <v>906</v>
      </c>
      <c r="AG1" s="38" t="s">
        <v>907</v>
      </c>
      <c r="AH1" s="38" t="s">
        <v>908</v>
      </c>
      <c r="AI1" s="38" t="s">
        <v>909</v>
      </c>
    </row>
    <row r="2" spans="1:35" x14ac:dyDescent="0.3">
      <c r="A2" s="39" t="s">
        <v>910</v>
      </c>
      <c r="B2" s="39" t="s">
        <v>911</v>
      </c>
      <c r="C2" s="39" t="s">
        <v>912</v>
      </c>
      <c r="D2" s="39" t="s">
        <v>913</v>
      </c>
      <c r="E2" s="39" t="s">
        <v>914</v>
      </c>
      <c r="F2" s="39" t="s">
        <v>915</v>
      </c>
      <c r="G2" s="39" t="s">
        <v>916</v>
      </c>
      <c r="H2" s="39" t="s">
        <v>917</v>
      </c>
      <c r="I2" s="39" t="s">
        <v>197</v>
      </c>
      <c r="J2" s="39" t="s">
        <v>918</v>
      </c>
      <c r="K2" s="39" t="s">
        <v>919</v>
      </c>
      <c r="L2" s="39">
        <v>9</v>
      </c>
      <c r="M2" s="39" t="s">
        <v>920</v>
      </c>
      <c r="N2" s="39">
        <v>0</v>
      </c>
      <c r="O2" s="39">
        <v>6</v>
      </c>
      <c r="P2" s="39">
        <v>2</v>
      </c>
      <c r="Q2" s="39">
        <v>1</v>
      </c>
      <c r="R2" s="39">
        <v>2</v>
      </c>
      <c r="S2" s="39">
        <v>0</v>
      </c>
      <c r="T2" s="39">
        <v>0</v>
      </c>
      <c r="U2" s="39">
        <v>15</v>
      </c>
      <c r="V2" s="39">
        <v>1</v>
      </c>
      <c r="W2" s="39">
        <v>1</v>
      </c>
      <c r="X2" s="39">
        <v>0</v>
      </c>
      <c r="Z2" s="39">
        <v>418250008</v>
      </c>
      <c r="AA2" s="39" t="s">
        <v>921</v>
      </c>
      <c r="AB2" s="39" t="s">
        <v>922</v>
      </c>
      <c r="AE2" s="39" t="s">
        <v>923</v>
      </c>
      <c r="AG2" s="39" t="s">
        <v>924</v>
      </c>
      <c r="AI2" s="39">
        <v>1</v>
      </c>
    </row>
    <row r="3" spans="1:35" x14ac:dyDescent="0.3">
      <c r="A3" s="39" t="s">
        <v>925</v>
      </c>
      <c r="B3" s="39" t="s">
        <v>926</v>
      </c>
      <c r="C3" s="39" t="s">
        <v>912</v>
      </c>
      <c r="D3" s="39" t="s">
        <v>927</v>
      </c>
      <c r="E3" s="39" t="s">
        <v>928</v>
      </c>
      <c r="F3" s="39" t="s">
        <v>915</v>
      </c>
      <c r="G3" s="39" t="s">
        <v>916</v>
      </c>
      <c r="H3" s="39" t="s">
        <v>917</v>
      </c>
      <c r="I3" s="39" t="s">
        <v>213</v>
      </c>
      <c r="J3" s="39" t="s">
        <v>918</v>
      </c>
      <c r="K3" s="39" t="s">
        <v>919</v>
      </c>
      <c r="L3" s="39">
        <v>3</v>
      </c>
      <c r="M3" s="39" t="s">
        <v>920</v>
      </c>
      <c r="N3" s="39">
        <v>0</v>
      </c>
      <c r="O3" s="39">
        <v>0</v>
      </c>
      <c r="P3" s="39">
        <v>2</v>
      </c>
      <c r="Q3" s="39">
        <v>1</v>
      </c>
      <c r="R3" s="39">
        <v>1</v>
      </c>
      <c r="S3" s="39">
        <v>0</v>
      </c>
      <c r="T3" s="39">
        <v>1</v>
      </c>
      <c r="U3" s="39">
        <v>4</v>
      </c>
      <c r="V3" s="39">
        <v>1</v>
      </c>
      <c r="X3" s="39">
        <v>0</v>
      </c>
      <c r="Z3" s="39">
        <v>418250017</v>
      </c>
      <c r="AA3" s="39" t="s">
        <v>929</v>
      </c>
      <c r="AB3" s="39" t="s">
        <v>930</v>
      </c>
      <c r="AE3" s="39" t="s">
        <v>923</v>
      </c>
      <c r="AG3" s="39" t="s">
        <v>924</v>
      </c>
      <c r="AI3" s="39">
        <v>2</v>
      </c>
    </row>
    <row r="4" spans="1:35" x14ac:dyDescent="0.3">
      <c r="A4" s="39" t="s">
        <v>931</v>
      </c>
      <c r="B4" s="39" t="s">
        <v>932</v>
      </c>
      <c r="C4" s="39" t="s">
        <v>912</v>
      </c>
      <c r="D4" s="39" t="s">
        <v>913</v>
      </c>
      <c r="E4" s="39" t="s">
        <v>914</v>
      </c>
      <c r="F4" s="39" t="s">
        <v>915</v>
      </c>
      <c r="G4" s="39" t="s">
        <v>916</v>
      </c>
      <c r="H4" s="39" t="s">
        <v>917</v>
      </c>
      <c r="I4" s="39" t="s">
        <v>234</v>
      </c>
      <c r="J4" s="39" t="s">
        <v>918</v>
      </c>
      <c r="K4" s="39" t="s">
        <v>919</v>
      </c>
      <c r="L4" s="39">
        <v>7</v>
      </c>
      <c r="M4" s="39" t="s">
        <v>917</v>
      </c>
      <c r="N4" s="39">
        <v>0</v>
      </c>
      <c r="O4" s="39">
        <v>3</v>
      </c>
      <c r="P4" s="39">
        <v>2</v>
      </c>
      <c r="Q4" s="39">
        <v>2</v>
      </c>
      <c r="R4" s="39">
        <v>2</v>
      </c>
      <c r="S4" s="39">
        <v>0</v>
      </c>
      <c r="T4" s="39">
        <v>0</v>
      </c>
      <c r="U4" s="39">
        <v>0</v>
      </c>
      <c r="V4" s="39">
        <v>0</v>
      </c>
      <c r="W4" s="39">
        <v>0</v>
      </c>
      <c r="X4" s="39">
        <v>2</v>
      </c>
      <c r="Z4" s="39">
        <v>418250023</v>
      </c>
      <c r="AA4" s="39" t="s">
        <v>933</v>
      </c>
      <c r="AB4" s="39" t="s">
        <v>934</v>
      </c>
      <c r="AE4" s="39" t="s">
        <v>923</v>
      </c>
      <c r="AG4" s="39" t="s">
        <v>924</v>
      </c>
      <c r="AI4" s="39">
        <v>3</v>
      </c>
    </row>
    <row r="5" spans="1:35" x14ac:dyDescent="0.3">
      <c r="A5" s="39" t="s">
        <v>935</v>
      </c>
      <c r="B5" s="39" t="s">
        <v>936</v>
      </c>
      <c r="C5" s="39" t="s">
        <v>937</v>
      </c>
      <c r="D5" s="39" t="s">
        <v>938</v>
      </c>
      <c r="E5" s="39" t="s">
        <v>928</v>
      </c>
      <c r="F5" s="39" t="s">
        <v>915</v>
      </c>
      <c r="G5" s="39" t="s">
        <v>916</v>
      </c>
      <c r="H5" s="39" t="s">
        <v>917</v>
      </c>
      <c r="I5" s="39" t="s">
        <v>180</v>
      </c>
      <c r="J5" s="39" t="s">
        <v>918</v>
      </c>
      <c r="K5" s="39" t="s">
        <v>919</v>
      </c>
      <c r="L5" s="39">
        <v>6</v>
      </c>
      <c r="M5" s="39" t="s">
        <v>920</v>
      </c>
      <c r="N5" s="39">
        <v>1</v>
      </c>
      <c r="O5" s="39">
        <v>3</v>
      </c>
      <c r="P5" s="39">
        <v>2</v>
      </c>
      <c r="Q5" s="39">
        <v>0</v>
      </c>
      <c r="R5" s="39">
        <v>1</v>
      </c>
      <c r="S5" s="39">
        <v>1</v>
      </c>
      <c r="T5" s="39">
        <v>0</v>
      </c>
      <c r="U5" s="39">
        <v>4</v>
      </c>
      <c r="V5" s="39">
        <v>3</v>
      </c>
      <c r="W5" s="39">
        <v>4</v>
      </c>
      <c r="X5" s="39">
        <v>2</v>
      </c>
      <c r="Y5" s="39" t="s">
        <v>917</v>
      </c>
      <c r="Z5" s="39">
        <v>418250030</v>
      </c>
      <c r="AA5" s="39" t="s">
        <v>939</v>
      </c>
      <c r="AB5" s="39" t="s">
        <v>940</v>
      </c>
      <c r="AE5" s="39" t="s">
        <v>923</v>
      </c>
      <c r="AG5" s="39" t="s">
        <v>924</v>
      </c>
      <c r="AI5" s="39">
        <v>4</v>
      </c>
    </row>
    <row r="6" spans="1:35" x14ac:dyDescent="0.3">
      <c r="A6" s="39" t="s">
        <v>941</v>
      </c>
      <c r="B6" s="39" t="s">
        <v>942</v>
      </c>
      <c r="C6" s="39" t="s">
        <v>937</v>
      </c>
      <c r="D6" s="39" t="s">
        <v>927</v>
      </c>
      <c r="E6" s="39" t="s">
        <v>928</v>
      </c>
      <c r="F6" s="39" t="s">
        <v>915</v>
      </c>
      <c r="G6" s="39" t="s">
        <v>916</v>
      </c>
      <c r="H6" s="39" t="s">
        <v>917</v>
      </c>
      <c r="I6" s="39" t="s">
        <v>184</v>
      </c>
      <c r="J6" s="39" t="s">
        <v>918</v>
      </c>
      <c r="K6" s="39" t="s">
        <v>943</v>
      </c>
      <c r="L6" s="39">
        <v>10</v>
      </c>
      <c r="M6" s="39" t="s">
        <v>920</v>
      </c>
      <c r="N6" s="39">
        <v>1</v>
      </c>
      <c r="O6" s="39">
        <v>7</v>
      </c>
      <c r="P6" s="39">
        <v>2</v>
      </c>
      <c r="Q6" s="39">
        <v>0</v>
      </c>
      <c r="R6" s="39">
        <v>1</v>
      </c>
      <c r="S6" s="39">
        <v>1</v>
      </c>
      <c r="T6" s="39">
        <v>1</v>
      </c>
      <c r="U6" s="39">
        <v>11</v>
      </c>
      <c r="V6" s="39">
        <v>8</v>
      </c>
      <c r="W6" s="39">
        <v>7</v>
      </c>
      <c r="X6" s="39">
        <v>2</v>
      </c>
      <c r="Y6" s="39" t="s">
        <v>917</v>
      </c>
      <c r="Z6" s="39">
        <v>418250038</v>
      </c>
      <c r="AA6" s="39" t="s">
        <v>944</v>
      </c>
      <c r="AB6" s="39" t="s">
        <v>945</v>
      </c>
      <c r="AE6" s="39" t="s">
        <v>923</v>
      </c>
      <c r="AG6" s="39" t="s">
        <v>924</v>
      </c>
      <c r="AI6" s="39">
        <v>5</v>
      </c>
    </row>
    <row r="7" spans="1:35" x14ac:dyDescent="0.3">
      <c r="A7" s="39" t="s">
        <v>946</v>
      </c>
      <c r="B7" s="39" t="s">
        <v>947</v>
      </c>
      <c r="C7" s="39" t="s">
        <v>948</v>
      </c>
      <c r="D7" s="39" t="s">
        <v>949</v>
      </c>
      <c r="E7" s="39" t="s">
        <v>950</v>
      </c>
      <c r="F7" s="39" t="s">
        <v>951</v>
      </c>
      <c r="G7" s="39" t="s">
        <v>916</v>
      </c>
      <c r="H7" s="39" t="s">
        <v>917</v>
      </c>
      <c r="I7" s="39" t="s">
        <v>206</v>
      </c>
      <c r="J7" s="39" t="s">
        <v>951</v>
      </c>
      <c r="K7" s="39" t="s">
        <v>952</v>
      </c>
      <c r="L7" s="39">
        <v>7</v>
      </c>
      <c r="M7" s="39" t="s">
        <v>920</v>
      </c>
      <c r="N7" s="39">
        <v>0</v>
      </c>
      <c r="O7" s="39">
        <v>4</v>
      </c>
      <c r="P7" s="39">
        <v>3</v>
      </c>
      <c r="Q7" s="39">
        <v>0</v>
      </c>
      <c r="R7" s="39">
        <v>2</v>
      </c>
      <c r="S7" s="39">
        <v>0</v>
      </c>
      <c r="T7" s="39">
        <v>2</v>
      </c>
      <c r="U7" s="39">
        <v>11</v>
      </c>
      <c r="V7" s="39">
        <v>6</v>
      </c>
      <c r="W7" s="39">
        <v>1</v>
      </c>
      <c r="X7" s="39">
        <v>3</v>
      </c>
      <c r="Z7" s="39">
        <v>418250046</v>
      </c>
      <c r="AA7" s="39" t="s">
        <v>953</v>
      </c>
      <c r="AB7" s="39" t="s">
        <v>954</v>
      </c>
      <c r="AE7" s="39" t="s">
        <v>923</v>
      </c>
      <c r="AG7" s="39" t="s">
        <v>924</v>
      </c>
      <c r="AI7" s="39">
        <v>6</v>
      </c>
    </row>
    <row r="8" spans="1:35" x14ac:dyDescent="0.3">
      <c r="A8" s="39" t="s">
        <v>955</v>
      </c>
      <c r="B8" s="39" t="s">
        <v>956</v>
      </c>
      <c r="C8" s="39" t="s">
        <v>957</v>
      </c>
      <c r="D8" s="39" t="s">
        <v>913</v>
      </c>
      <c r="E8" s="39" t="s">
        <v>914</v>
      </c>
      <c r="F8" s="39" t="s">
        <v>915</v>
      </c>
      <c r="G8" s="39" t="s">
        <v>916</v>
      </c>
      <c r="H8" s="39" t="s">
        <v>917</v>
      </c>
      <c r="I8" s="39" t="s">
        <v>240</v>
      </c>
      <c r="J8" s="39" t="s">
        <v>918</v>
      </c>
      <c r="K8" s="39" t="s">
        <v>919</v>
      </c>
      <c r="L8" s="39">
        <v>8</v>
      </c>
      <c r="M8" s="39" t="s">
        <v>920</v>
      </c>
      <c r="N8" s="39">
        <v>0</v>
      </c>
      <c r="O8" s="39">
        <v>5</v>
      </c>
      <c r="P8" s="39">
        <v>3</v>
      </c>
      <c r="Q8" s="39">
        <v>0</v>
      </c>
      <c r="R8" s="39">
        <v>2</v>
      </c>
      <c r="S8" s="39">
        <v>0</v>
      </c>
      <c r="T8" s="39">
        <v>1</v>
      </c>
      <c r="U8" s="39">
        <v>11</v>
      </c>
      <c r="V8" s="39">
        <v>1</v>
      </c>
      <c r="W8" s="39">
        <v>3</v>
      </c>
      <c r="X8" s="39">
        <v>2</v>
      </c>
      <c r="Z8" s="39">
        <v>418250054</v>
      </c>
      <c r="AA8" s="39" t="s">
        <v>958</v>
      </c>
      <c r="AB8" s="39" t="s">
        <v>959</v>
      </c>
      <c r="AE8" s="39" t="s">
        <v>923</v>
      </c>
      <c r="AG8" s="39" t="s">
        <v>924</v>
      </c>
      <c r="AI8" s="39">
        <v>7</v>
      </c>
    </row>
    <row r="9" spans="1:35" x14ac:dyDescent="0.3">
      <c r="A9" s="39" t="s">
        <v>960</v>
      </c>
      <c r="B9" s="39" t="s">
        <v>961</v>
      </c>
      <c r="C9" s="39" t="s">
        <v>957</v>
      </c>
      <c r="D9" s="39" t="s">
        <v>949</v>
      </c>
      <c r="E9" s="39" t="s">
        <v>950</v>
      </c>
      <c r="F9" s="39" t="s">
        <v>951</v>
      </c>
      <c r="G9" s="39" t="s">
        <v>916</v>
      </c>
      <c r="H9" s="39" t="s">
        <v>917</v>
      </c>
      <c r="I9" s="39" t="s">
        <v>208</v>
      </c>
      <c r="J9" s="39" t="s">
        <v>951</v>
      </c>
      <c r="K9" s="39" t="s">
        <v>943</v>
      </c>
      <c r="L9" s="39">
        <v>8</v>
      </c>
      <c r="M9" s="39" t="s">
        <v>920</v>
      </c>
      <c r="N9" s="39">
        <v>0</v>
      </c>
      <c r="O9" s="39">
        <v>6</v>
      </c>
      <c r="P9" s="39">
        <v>2</v>
      </c>
      <c r="Q9" s="39">
        <v>0</v>
      </c>
      <c r="R9" s="39">
        <v>1</v>
      </c>
      <c r="S9" s="39">
        <v>0</v>
      </c>
      <c r="T9" s="39">
        <v>0</v>
      </c>
      <c r="U9" s="39">
        <v>8</v>
      </c>
      <c r="V9" s="39">
        <v>8</v>
      </c>
      <c r="W9" s="39">
        <v>1</v>
      </c>
      <c r="X9" s="39">
        <v>1</v>
      </c>
      <c r="Z9" s="39">
        <v>418250061</v>
      </c>
      <c r="AA9" s="39" t="s">
        <v>962</v>
      </c>
      <c r="AB9" s="39" t="s">
        <v>963</v>
      </c>
      <c r="AE9" s="39" t="s">
        <v>923</v>
      </c>
      <c r="AG9" s="39" t="s">
        <v>924</v>
      </c>
      <c r="AI9" s="39">
        <v>8</v>
      </c>
    </row>
    <row r="10" spans="1:35" x14ac:dyDescent="0.3">
      <c r="A10" s="39" t="s">
        <v>964</v>
      </c>
      <c r="B10" s="39" t="s">
        <v>965</v>
      </c>
      <c r="C10" s="39" t="s">
        <v>957</v>
      </c>
      <c r="D10" s="39" t="s">
        <v>938</v>
      </c>
      <c r="E10" s="39" t="s">
        <v>928</v>
      </c>
      <c r="F10" s="39" t="s">
        <v>915</v>
      </c>
      <c r="G10" s="39" t="s">
        <v>916</v>
      </c>
      <c r="H10" s="39" t="s">
        <v>917</v>
      </c>
      <c r="I10" s="39" t="s">
        <v>252</v>
      </c>
      <c r="J10" s="39" t="s">
        <v>918</v>
      </c>
      <c r="K10" s="39" t="s">
        <v>919</v>
      </c>
      <c r="L10" s="39">
        <v>6</v>
      </c>
      <c r="M10" s="39" t="s">
        <v>920</v>
      </c>
      <c r="N10" s="39">
        <v>0</v>
      </c>
      <c r="O10" s="39">
        <v>4</v>
      </c>
      <c r="P10" s="39">
        <v>2</v>
      </c>
      <c r="Q10" s="39">
        <v>0</v>
      </c>
      <c r="R10" s="39">
        <v>1</v>
      </c>
      <c r="S10" s="39">
        <v>0</v>
      </c>
      <c r="T10" s="39">
        <v>0</v>
      </c>
      <c r="U10" s="39">
        <v>8</v>
      </c>
      <c r="V10" s="39">
        <v>4</v>
      </c>
      <c r="W10" s="39">
        <v>2</v>
      </c>
      <c r="X10" s="39">
        <v>1</v>
      </c>
      <c r="Z10" s="39">
        <v>418250067</v>
      </c>
      <c r="AA10" s="39" t="s">
        <v>966</v>
      </c>
      <c r="AB10" s="39" t="s">
        <v>967</v>
      </c>
      <c r="AE10" s="39" t="s">
        <v>923</v>
      </c>
      <c r="AG10" s="39" t="s">
        <v>924</v>
      </c>
      <c r="AI10" s="39">
        <v>9</v>
      </c>
    </row>
    <row r="11" spans="1:35" x14ac:dyDescent="0.3">
      <c r="A11" s="39" t="s">
        <v>968</v>
      </c>
      <c r="B11" s="39" t="s">
        <v>969</v>
      </c>
      <c r="C11" s="39" t="s">
        <v>970</v>
      </c>
      <c r="D11" s="39" t="s">
        <v>927</v>
      </c>
      <c r="E11" s="39" t="s">
        <v>928</v>
      </c>
      <c r="F11" s="39" t="s">
        <v>915</v>
      </c>
      <c r="G11" s="39" t="s">
        <v>916</v>
      </c>
      <c r="H11" s="39" t="s">
        <v>917</v>
      </c>
      <c r="I11" s="39" t="s">
        <v>187</v>
      </c>
      <c r="J11" s="39" t="s">
        <v>918</v>
      </c>
      <c r="K11" s="39" t="s">
        <v>919</v>
      </c>
      <c r="L11" s="39">
        <v>9</v>
      </c>
      <c r="M11" s="39" t="s">
        <v>920</v>
      </c>
      <c r="N11" s="39">
        <v>0</v>
      </c>
      <c r="O11" s="39">
        <v>7</v>
      </c>
      <c r="P11" s="39">
        <v>2</v>
      </c>
      <c r="Q11" s="39">
        <v>0</v>
      </c>
      <c r="R11" s="39">
        <v>1</v>
      </c>
      <c r="S11" s="39">
        <v>1</v>
      </c>
      <c r="T11" s="39">
        <v>1</v>
      </c>
      <c r="U11" s="39">
        <v>2</v>
      </c>
      <c r="V11" s="39">
        <v>0</v>
      </c>
      <c r="W11" s="39">
        <v>2</v>
      </c>
      <c r="X11" s="39">
        <v>2</v>
      </c>
      <c r="Z11" s="39">
        <v>418250075</v>
      </c>
      <c r="AA11" s="39" t="s">
        <v>971</v>
      </c>
      <c r="AB11" s="39" t="s">
        <v>972</v>
      </c>
      <c r="AE11" s="39" t="s">
        <v>923</v>
      </c>
      <c r="AG11" s="39" t="s">
        <v>924</v>
      </c>
      <c r="AI11" s="39">
        <v>10</v>
      </c>
    </row>
    <row r="12" spans="1:35" x14ac:dyDescent="0.3">
      <c r="A12" s="39" t="s">
        <v>973</v>
      </c>
      <c r="B12" s="39" t="s">
        <v>974</v>
      </c>
      <c r="C12" s="39" t="s">
        <v>970</v>
      </c>
      <c r="D12" s="39" t="s">
        <v>975</v>
      </c>
      <c r="E12" s="39" t="s">
        <v>950</v>
      </c>
      <c r="F12" s="39" t="s">
        <v>951</v>
      </c>
      <c r="G12" s="39" t="s">
        <v>916</v>
      </c>
      <c r="H12" s="39" t="s">
        <v>917</v>
      </c>
      <c r="I12" s="39" t="s">
        <v>330</v>
      </c>
      <c r="J12" s="39" t="s">
        <v>976</v>
      </c>
      <c r="K12" s="39" t="s">
        <v>919</v>
      </c>
      <c r="L12" s="39">
        <v>6</v>
      </c>
      <c r="M12" s="39" t="s">
        <v>920</v>
      </c>
      <c r="N12" s="39">
        <v>0</v>
      </c>
      <c r="O12" s="39">
        <v>4</v>
      </c>
      <c r="P12" s="39">
        <v>2</v>
      </c>
      <c r="Q12" s="39">
        <v>0</v>
      </c>
      <c r="R12" s="39">
        <v>2</v>
      </c>
      <c r="S12" s="39">
        <v>0</v>
      </c>
      <c r="T12" s="39">
        <v>1</v>
      </c>
      <c r="U12" s="39">
        <v>4</v>
      </c>
      <c r="V12" s="39">
        <v>3</v>
      </c>
      <c r="W12" s="39">
        <v>1</v>
      </c>
      <c r="X12" s="39">
        <v>1</v>
      </c>
      <c r="Z12" s="39">
        <v>418250080</v>
      </c>
      <c r="AA12" s="39" t="s">
        <v>977</v>
      </c>
      <c r="AB12" s="39" t="s">
        <v>978</v>
      </c>
      <c r="AE12" s="39" t="s">
        <v>923</v>
      </c>
      <c r="AG12" s="39" t="s">
        <v>924</v>
      </c>
      <c r="AI12" s="39">
        <v>11</v>
      </c>
    </row>
    <row r="13" spans="1:35" x14ac:dyDescent="0.3">
      <c r="A13" s="39" t="s">
        <v>979</v>
      </c>
      <c r="B13" s="39" t="s">
        <v>980</v>
      </c>
      <c r="C13" s="39" t="s">
        <v>981</v>
      </c>
      <c r="D13" s="39" t="s">
        <v>949</v>
      </c>
      <c r="E13" s="39" t="s">
        <v>950</v>
      </c>
      <c r="F13" s="39" t="s">
        <v>951</v>
      </c>
      <c r="G13" s="39" t="s">
        <v>916</v>
      </c>
      <c r="H13" s="39" t="s">
        <v>917</v>
      </c>
      <c r="I13" s="39" t="s">
        <v>201</v>
      </c>
      <c r="J13" s="39" t="s">
        <v>976</v>
      </c>
      <c r="K13" s="39" t="s">
        <v>952</v>
      </c>
      <c r="L13" s="39">
        <v>5</v>
      </c>
      <c r="M13" s="39" t="s">
        <v>920</v>
      </c>
      <c r="N13" s="39">
        <v>1</v>
      </c>
      <c r="O13" s="39">
        <v>2</v>
      </c>
      <c r="P13" s="39">
        <v>2</v>
      </c>
      <c r="Q13" s="39">
        <v>0</v>
      </c>
      <c r="R13" s="39">
        <v>1</v>
      </c>
      <c r="S13" s="39">
        <v>1</v>
      </c>
      <c r="T13" s="39">
        <v>1</v>
      </c>
      <c r="U13" s="39">
        <v>5</v>
      </c>
      <c r="V13" s="39">
        <v>3</v>
      </c>
      <c r="W13" s="39">
        <v>0</v>
      </c>
      <c r="X13" s="39">
        <v>1</v>
      </c>
      <c r="Y13" s="39" t="s">
        <v>920</v>
      </c>
      <c r="Z13" s="39">
        <v>418250084</v>
      </c>
      <c r="AA13" s="39" t="s">
        <v>982</v>
      </c>
      <c r="AB13" s="39" t="s">
        <v>983</v>
      </c>
      <c r="AE13" s="39" t="s">
        <v>923</v>
      </c>
      <c r="AG13" s="39" t="s">
        <v>924</v>
      </c>
      <c r="AI13" s="39">
        <v>12</v>
      </c>
    </row>
    <row r="14" spans="1:35" x14ac:dyDescent="0.3">
      <c r="A14" s="39" t="s">
        <v>984</v>
      </c>
      <c r="B14" s="39" t="s">
        <v>985</v>
      </c>
      <c r="C14" s="39" t="s">
        <v>981</v>
      </c>
      <c r="D14" s="39" t="s">
        <v>949</v>
      </c>
      <c r="E14" s="39" t="s">
        <v>950</v>
      </c>
      <c r="F14" s="39" t="s">
        <v>951</v>
      </c>
      <c r="G14" s="39" t="s">
        <v>916</v>
      </c>
      <c r="H14" s="39" t="s">
        <v>917</v>
      </c>
      <c r="I14" s="39" t="s">
        <v>238</v>
      </c>
      <c r="J14" s="39" t="s">
        <v>951</v>
      </c>
      <c r="K14" s="39" t="s">
        <v>919</v>
      </c>
      <c r="L14" s="39">
        <v>11</v>
      </c>
      <c r="M14" s="39" t="s">
        <v>917</v>
      </c>
      <c r="N14" s="39">
        <v>1</v>
      </c>
      <c r="O14" s="39">
        <v>8</v>
      </c>
      <c r="P14" s="39">
        <v>1</v>
      </c>
      <c r="Q14" s="39">
        <v>1</v>
      </c>
      <c r="R14" s="39">
        <v>2</v>
      </c>
      <c r="S14" s="39">
        <v>0</v>
      </c>
      <c r="T14" s="39">
        <v>0</v>
      </c>
      <c r="U14" s="39">
        <v>17</v>
      </c>
      <c r="V14" s="39">
        <v>5</v>
      </c>
      <c r="W14" s="39">
        <v>4</v>
      </c>
      <c r="X14" s="39">
        <v>1</v>
      </c>
      <c r="Y14" s="39" t="s">
        <v>917</v>
      </c>
      <c r="Z14" s="39">
        <v>418250093</v>
      </c>
      <c r="AA14" s="39" t="s">
        <v>986</v>
      </c>
      <c r="AB14" s="39" t="s">
        <v>987</v>
      </c>
      <c r="AE14" s="39" t="s">
        <v>923</v>
      </c>
      <c r="AG14" s="39" t="s">
        <v>924</v>
      </c>
      <c r="AI14" s="39">
        <v>13</v>
      </c>
    </row>
    <row r="15" spans="1:35" x14ac:dyDescent="0.3">
      <c r="A15" s="39" t="s">
        <v>988</v>
      </c>
      <c r="B15" s="39" t="s">
        <v>989</v>
      </c>
      <c r="C15" s="39" t="s">
        <v>981</v>
      </c>
      <c r="D15" s="39" t="s">
        <v>913</v>
      </c>
      <c r="E15" s="39" t="s">
        <v>914</v>
      </c>
      <c r="F15" s="39" t="s">
        <v>915</v>
      </c>
      <c r="G15" s="39" t="s">
        <v>916</v>
      </c>
      <c r="H15" s="39" t="s">
        <v>917</v>
      </c>
      <c r="I15" s="39" t="s">
        <v>195</v>
      </c>
      <c r="J15" s="39" t="s">
        <v>918</v>
      </c>
      <c r="K15" s="39" t="s">
        <v>919</v>
      </c>
      <c r="L15" s="39">
        <v>3</v>
      </c>
      <c r="M15" s="39" t="s">
        <v>920</v>
      </c>
      <c r="N15" s="39">
        <v>1</v>
      </c>
      <c r="O15" s="39">
        <v>0</v>
      </c>
      <c r="P15" s="39">
        <v>2</v>
      </c>
      <c r="Q15" s="39">
        <v>0</v>
      </c>
      <c r="R15" s="39">
        <v>1</v>
      </c>
      <c r="S15" s="39">
        <v>1</v>
      </c>
      <c r="T15" s="39">
        <v>0</v>
      </c>
      <c r="U15" s="39">
        <v>1</v>
      </c>
      <c r="V15" s="39">
        <v>3</v>
      </c>
      <c r="W15" s="39">
        <v>1</v>
      </c>
      <c r="X15" s="39">
        <v>1</v>
      </c>
      <c r="Y15" s="39" t="s">
        <v>920</v>
      </c>
      <c r="Z15" s="39">
        <v>418250101</v>
      </c>
      <c r="AA15" s="39" t="s">
        <v>990</v>
      </c>
      <c r="AB15" s="39" t="s">
        <v>991</v>
      </c>
      <c r="AE15" s="39" t="s">
        <v>923</v>
      </c>
      <c r="AG15" s="39" t="s">
        <v>924</v>
      </c>
      <c r="AI15" s="39">
        <v>14</v>
      </c>
    </row>
    <row r="16" spans="1:35" x14ac:dyDescent="0.3">
      <c r="A16" s="39" t="s">
        <v>992</v>
      </c>
      <c r="B16" s="39" t="s">
        <v>993</v>
      </c>
      <c r="C16" s="39" t="s">
        <v>981</v>
      </c>
      <c r="D16" s="39" t="s">
        <v>994</v>
      </c>
      <c r="E16" s="39" t="s">
        <v>995</v>
      </c>
      <c r="F16" s="39" t="s">
        <v>996</v>
      </c>
      <c r="G16" s="39" t="s">
        <v>916</v>
      </c>
      <c r="H16" s="39" t="s">
        <v>917</v>
      </c>
      <c r="I16" s="39" t="s">
        <v>249</v>
      </c>
      <c r="J16" s="39" t="s">
        <v>997</v>
      </c>
      <c r="K16" s="39" t="s">
        <v>919</v>
      </c>
      <c r="L16" s="39">
        <v>7</v>
      </c>
      <c r="M16" s="39" t="s">
        <v>920</v>
      </c>
      <c r="N16" s="39">
        <v>1</v>
      </c>
      <c r="O16" s="39">
        <v>2</v>
      </c>
      <c r="P16" s="39">
        <v>3</v>
      </c>
      <c r="Q16" s="39">
        <v>1</v>
      </c>
      <c r="R16" s="39">
        <v>2</v>
      </c>
      <c r="S16" s="39">
        <v>1</v>
      </c>
      <c r="T16" s="39">
        <v>0</v>
      </c>
      <c r="U16" s="39">
        <v>1</v>
      </c>
      <c r="V16" s="39">
        <v>5</v>
      </c>
      <c r="W16" s="39">
        <v>2</v>
      </c>
      <c r="X16" s="39">
        <v>2</v>
      </c>
      <c r="Y16" s="39" t="s">
        <v>920</v>
      </c>
      <c r="Z16" s="39">
        <v>418250109</v>
      </c>
      <c r="AA16" s="39" t="s">
        <v>998</v>
      </c>
      <c r="AB16" s="39" t="s">
        <v>999</v>
      </c>
      <c r="AE16" s="39" t="s">
        <v>923</v>
      </c>
      <c r="AG16" s="39" t="s">
        <v>924</v>
      </c>
      <c r="AI16" s="39">
        <v>15</v>
      </c>
    </row>
    <row r="17" spans="1:35" x14ac:dyDescent="0.3">
      <c r="A17" s="39" t="s">
        <v>1000</v>
      </c>
      <c r="B17" s="39" t="s">
        <v>1001</v>
      </c>
      <c r="C17" s="39" t="s">
        <v>1002</v>
      </c>
      <c r="D17" s="39" t="s">
        <v>927</v>
      </c>
      <c r="E17" s="39" t="s">
        <v>928</v>
      </c>
      <c r="F17" s="39" t="s">
        <v>915</v>
      </c>
      <c r="G17" s="39" t="s">
        <v>916</v>
      </c>
      <c r="H17" s="39" t="s">
        <v>917</v>
      </c>
      <c r="I17" s="39" t="s">
        <v>259</v>
      </c>
      <c r="J17" s="39" t="s">
        <v>918</v>
      </c>
      <c r="K17" s="39" t="s">
        <v>919</v>
      </c>
      <c r="L17" s="39">
        <v>6</v>
      </c>
      <c r="M17" s="39" t="s">
        <v>920</v>
      </c>
      <c r="N17" s="39">
        <v>2</v>
      </c>
      <c r="O17" s="39">
        <v>2</v>
      </c>
      <c r="P17" s="39">
        <v>2</v>
      </c>
      <c r="Q17" s="39">
        <v>0</v>
      </c>
      <c r="R17" s="39">
        <v>1</v>
      </c>
      <c r="S17" s="39">
        <v>1</v>
      </c>
      <c r="T17" s="39">
        <v>1</v>
      </c>
      <c r="U17" s="39">
        <v>5</v>
      </c>
      <c r="V17" s="39">
        <v>6</v>
      </c>
      <c r="W17" s="39">
        <v>1</v>
      </c>
      <c r="X17" s="39">
        <v>0</v>
      </c>
      <c r="Y17" s="39" t="s">
        <v>920</v>
      </c>
      <c r="Z17" s="39">
        <v>418250113</v>
      </c>
      <c r="AA17" s="39" t="s">
        <v>1003</v>
      </c>
      <c r="AB17" s="39" t="s">
        <v>1004</v>
      </c>
      <c r="AE17" s="39" t="s">
        <v>923</v>
      </c>
      <c r="AG17" s="39" t="s">
        <v>924</v>
      </c>
      <c r="AI17" s="39">
        <v>16</v>
      </c>
    </row>
    <row r="18" spans="1:35" x14ac:dyDescent="0.3">
      <c r="A18" s="39" t="s">
        <v>1005</v>
      </c>
      <c r="B18" s="39" t="s">
        <v>1006</v>
      </c>
      <c r="C18" s="39" t="s">
        <v>1002</v>
      </c>
      <c r="D18" s="39" t="s">
        <v>913</v>
      </c>
      <c r="E18" s="39" t="s">
        <v>914</v>
      </c>
      <c r="F18" s="39" t="s">
        <v>915</v>
      </c>
      <c r="G18" s="39" t="s">
        <v>916</v>
      </c>
      <c r="H18" s="39" t="s">
        <v>917</v>
      </c>
      <c r="I18" s="39" t="s">
        <v>193</v>
      </c>
      <c r="J18" s="39" t="s">
        <v>918</v>
      </c>
      <c r="K18" s="39" t="s">
        <v>919</v>
      </c>
      <c r="L18" s="39">
        <v>4</v>
      </c>
      <c r="M18" s="39" t="s">
        <v>920</v>
      </c>
      <c r="N18" s="39">
        <v>2</v>
      </c>
      <c r="O18" s="39">
        <v>0</v>
      </c>
      <c r="P18" s="39">
        <v>2</v>
      </c>
      <c r="Q18" s="39">
        <v>0</v>
      </c>
      <c r="R18" s="39">
        <v>1</v>
      </c>
      <c r="S18" s="39">
        <v>0</v>
      </c>
      <c r="T18" s="39">
        <v>1</v>
      </c>
      <c r="U18" s="39">
        <v>1</v>
      </c>
      <c r="V18" s="39">
        <v>3</v>
      </c>
      <c r="W18" s="39">
        <v>1</v>
      </c>
      <c r="X18" s="39">
        <v>0</v>
      </c>
      <c r="Y18" s="39" t="s">
        <v>917</v>
      </c>
      <c r="Z18" s="39">
        <v>418250121</v>
      </c>
      <c r="AA18" s="39" t="s">
        <v>1007</v>
      </c>
      <c r="AB18" s="39" t="s">
        <v>1008</v>
      </c>
      <c r="AE18" s="39" t="s">
        <v>923</v>
      </c>
      <c r="AG18" s="39" t="s">
        <v>924</v>
      </c>
      <c r="AI18" s="39">
        <v>17</v>
      </c>
    </row>
    <row r="19" spans="1:35" x14ac:dyDescent="0.3">
      <c r="A19" s="39" t="s">
        <v>1009</v>
      </c>
      <c r="B19" s="39" t="s">
        <v>1010</v>
      </c>
      <c r="C19" s="39" t="s">
        <v>1011</v>
      </c>
      <c r="D19" s="39" t="s">
        <v>913</v>
      </c>
      <c r="E19" s="39" t="s">
        <v>914</v>
      </c>
      <c r="F19" s="39" t="s">
        <v>915</v>
      </c>
      <c r="G19" s="39" t="s">
        <v>916</v>
      </c>
      <c r="H19" s="39" t="s">
        <v>917</v>
      </c>
      <c r="I19" s="39" t="s">
        <v>317</v>
      </c>
      <c r="J19" s="39" t="s">
        <v>918</v>
      </c>
      <c r="K19" s="39" t="s">
        <v>919</v>
      </c>
      <c r="L19" s="39">
        <v>10</v>
      </c>
      <c r="M19" s="39" t="s">
        <v>920</v>
      </c>
      <c r="N19" s="39">
        <v>1</v>
      </c>
      <c r="O19" s="39">
        <v>7</v>
      </c>
      <c r="P19" s="39">
        <v>2</v>
      </c>
      <c r="Q19" s="39">
        <v>0</v>
      </c>
      <c r="R19" s="39">
        <v>2</v>
      </c>
      <c r="S19" s="39">
        <v>1</v>
      </c>
      <c r="T19" s="39">
        <v>1</v>
      </c>
      <c r="U19" s="39">
        <v>16</v>
      </c>
      <c r="V19" s="39">
        <v>6</v>
      </c>
      <c r="W19" s="39">
        <v>6</v>
      </c>
      <c r="X19" s="39">
        <v>2</v>
      </c>
      <c r="Y19" s="39" t="s">
        <v>920</v>
      </c>
      <c r="Z19" s="39">
        <v>418250129</v>
      </c>
      <c r="AA19" s="39" t="s">
        <v>1012</v>
      </c>
      <c r="AB19" s="39" t="s">
        <v>1013</v>
      </c>
      <c r="AE19" s="39" t="s">
        <v>923</v>
      </c>
      <c r="AG19" s="39" t="s">
        <v>924</v>
      </c>
      <c r="AI19" s="39">
        <v>18</v>
      </c>
    </row>
    <row r="20" spans="1:35" x14ac:dyDescent="0.3">
      <c r="A20" s="39" t="s">
        <v>1014</v>
      </c>
      <c r="B20" s="39" t="s">
        <v>1015</v>
      </c>
      <c r="C20" s="39" t="s">
        <v>1011</v>
      </c>
      <c r="D20" s="39" t="s">
        <v>913</v>
      </c>
      <c r="E20" s="39" t="s">
        <v>914</v>
      </c>
      <c r="F20" s="39" t="s">
        <v>915</v>
      </c>
      <c r="G20" s="39" t="s">
        <v>916</v>
      </c>
      <c r="H20" s="39" t="s">
        <v>917</v>
      </c>
      <c r="I20" s="39" t="s">
        <v>297</v>
      </c>
      <c r="J20" s="39" t="s">
        <v>918</v>
      </c>
      <c r="K20" s="39" t="s">
        <v>919</v>
      </c>
      <c r="L20" s="39">
        <v>3</v>
      </c>
      <c r="M20" s="39" t="s">
        <v>920</v>
      </c>
      <c r="N20" s="39">
        <v>1</v>
      </c>
      <c r="O20" s="39">
        <v>0</v>
      </c>
      <c r="P20" s="39">
        <v>2</v>
      </c>
      <c r="Q20" s="39">
        <v>0</v>
      </c>
      <c r="R20" s="39">
        <v>1</v>
      </c>
      <c r="S20" s="39">
        <v>0</v>
      </c>
      <c r="T20" s="39">
        <v>0</v>
      </c>
      <c r="U20" s="39">
        <v>3</v>
      </c>
      <c r="V20" s="39">
        <v>2</v>
      </c>
      <c r="W20" s="39">
        <v>0</v>
      </c>
      <c r="X20" s="39">
        <v>2</v>
      </c>
      <c r="Y20" s="39" t="s">
        <v>920</v>
      </c>
      <c r="Z20" s="39">
        <v>418250135</v>
      </c>
      <c r="AA20" s="39" t="s">
        <v>1016</v>
      </c>
      <c r="AB20" s="39" t="s">
        <v>1017</v>
      </c>
      <c r="AE20" s="39" t="s">
        <v>923</v>
      </c>
      <c r="AG20" s="39" t="s">
        <v>924</v>
      </c>
      <c r="AI20" s="39">
        <v>19</v>
      </c>
    </row>
    <row r="21" spans="1:35" x14ac:dyDescent="0.3">
      <c r="A21" s="39" t="s">
        <v>1018</v>
      </c>
      <c r="B21" s="39" t="s">
        <v>1019</v>
      </c>
      <c r="C21" s="39" t="s">
        <v>1020</v>
      </c>
      <c r="D21" s="39" t="s">
        <v>949</v>
      </c>
      <c r="E21" s="39" t="s">
        <v>950</v>
      </c>
      <c r="F21" s="39" t="s">
        <v>951</v>
      </c>
      <c r="G21" s="39" t="s">
        <v>916</v>
      </c>
      <c r="H21" s="39" t="s">
        <v>917</v>
      </c>
      <c r="I21" s="39" t="s">
        <v>204</v>
      </c>
      <c r="J21" s="39" t="s">
        <v>951</v>
      </c>
      <c r="K21" s="39" t="s">
        <v>943</v>
      </c>
      <c r="L21" s="39">
        <v>7</v>
      </c>
      <c r="M21" s="39" t="s">
        <v>917</v>
      </c>
      <c r="N21" s="39">
        <v>1</v>
      </c>
      <c r="O21" s="39">
        <v>5</v>
      </c>
      <c r="P21" s="39">
        <v>1</v>
      </c>
      <c r="Q21" s="39">
        <v>0</v>
      </c>
      <c r="R21" s="39">
        <v>2</v>
      </c>
      <c r="S21" s="39">
        <v>1</v>
      </c>
      <c r="T21" s="39">
        <v>0</v>
      </c>
      <c r="U21" s="39">
        <v>6</v>
      </c>
      <c r="V21" s="39">
        <v>6</v>
      </c>
      <c r="W21" s="39">
        <v>3</v>
      </c>
      <c r="X21" s="39">
        <v>0</v>
      </c>
      <c r="Y21" s="39" t="s">
        <v>920</v>
      </c>
      <c r="Z21" s="39">
        <v>418250145</v>
      </c>
      <c r="AA21" s="39" t="s">
        <v>1021</v>
      </c>
      <c r="AB21" s="39" t="s">
        <v>1022</v>
      </c>
      <c r="AE21" s="39" t="s">
        <v>923</v>
      </c>
      <c r="AG21" s="39" t="s">
        <v>924</v>
      </c>
      <c r="AI21" s="39">
        <v>20</v>
      </c>
    </row>
    <row r="22" spans="1:35" x14ac:dyDescent="0.3">
      <c r="A22" s="39" t="s">
        <v>1023</v>
      </c>
      <c r="B22" s="39" t="s">
        <v>1024</v>
      </c>
      <c r="C22" s="39" t="s">
        <v>1020</v>
      </c>
      <c r="D22" s="39" t="s">
        <v>913</v>
      </c>
      <c r="E22" s="39" t="s">
        <v>914</v>
      </c>
      <c r="F22" s="39" t="s">
        <v>915</v>
      </c>
      <c r="G22" s="39" t="s">
        <v>916</v>
      </c>
      <c r="H22" s="39" t="s">
        <v>917</v>
      </c>
      <c r="I22" s="39" t="s">
        <v>199</v>
      </c>
      <c r="J22" s="39" t="s">
        <v>918</v>
      </c>
      <c r="K22" s="39" t="s">
        <v>919</v>
      </c>
      <c r="L22" s="39">
        <v>3</v>
      </c>
      <c r="M22" s="39" t="s">
        <v>920</v>
      </c>
      <c r="N22" s="39">
        <v>1</v>
      </c>
      <c r="O22" s="39">
        <v>0</v>
      </c>
      <c r="P22" s="39">
        <v>2</v>
      </c>
      <c r="Q22" s="39">
        <v>0</v>
      </c>
      <c r="R22" s="39">
        <v>1</v>
      </c>
      <c r="S22" s="39">
        <v>1</v>
      </c>
      <c r="T22" s="39">
        <v>1</v>
      </c>
      <c r="U22" s="39">
        <v>0</v>
      </c>
      <c r="V22" s="39">
        <v>1</v>
      </c>
      <c r="W22" s="39">
        <v>1</v>
      </c>
      <c r="X22" s="39">
        <v>0</v>
      </c>
      <c r="Y22" s="39" t="s">
        <v>920</v>
      </c>
      <c r="Z22" s="39">
        <v>418250152</v>
      </c>
      <c r="AA22" s="39" t="s">
        <v>1025</v>
      </c>
      <c r="AB22" s="39" t="s">
        <v>1026</v>
      </c>
      <c r="AE22" s="39" t="s">
        <v>923</v>
      </c>
      <c r="AG22" s="39" t="s">
        <v>924</v>
      </c>
      <c r="AI22" s="39">
        <v>21</v>
      </c>
    </row>
    <row r="23" spans="1:35" x14ac:dyDescent="0.3">
      <c r="A23" s="39" t="s">
        <v>1027</v>
      </c>
      <c r="B23" s="39" t="s">
        <v>1028</v>
      </c>
      <c r="C23" s="39" t="s">
        <v>1029</v>
      </c>
      <c r="D23" s="39" t="s">
        <v>975</v>
      </c>
      <c r="E23" s="39" t="s">
        <v>950</v>
      </c>
      <c r="F23" s="39" t="s">
        <v>951</v>
      </c>
      <c r="G23" s="39" t="s">
        <v>916</v>
      </c>
      <c r="H23" s="39" t="s">
        <v>917</v>
      </c>
      <c r="I23" s="39" t="s">
        <v>367</v>
      </c>
      <c r="J23" s="39" t="s">
        <v>976</v>
      </c>
      <c r="K23" s="39" t="s">
        <v>919</v>
      </c>
      <c r="L23" s="39">
        <v>7</v>
      </c>
      <c r="M23" s="39" t="s">
        <v>920</v>
      </c>
      <c r="N23" s="39">
        <v>0</v>
      </c>
      <c r="O23" s="39">
        <v>5</v>
      </c>
      <c r="P23" s="39">
        <v>2</v>
      </c>
      <c r="Q23" s="39">
        <v>0</v>
      </c>
      <c r="R23" s="39">
        <v>2</v>
      </c>
      <c r="S23" s="39">
        <v>0</v>
      </c>
      <c r="T23" s="39">
        <v>0</v>
      </c>
      <c r="U23" s="39">
        <v>0</v>
      </c>
      <c r="V23" s="39">
        <v>2</v>
      </c>
      <c r="W23" s="39">
        <v>1</v>
      </c>
      <c r="X23" s="39">
        <v>0</v>
      </c>
      <c r="Z23" s="39">
        <v>418250154</v>
      </c>
      <c r="AA23" s="39" t="s">
        <v>1030</v>
      </c>
      <c r="AB23" s="39" t="s">
        <v>1031</v>
      </c>
      <c r="AE23" s="39" t="s">
        <v>923</v>
      </c>
      <c r="AG23" s="39" t="s">
        <v>924</v>
      </c>
      <c r="AI23" s="39">
        <v>22</v>
      </c>
    </row>
    <row r="24" spans="1:35" x14ac:dyDescent="0.3">
      <c r="A24" s="39" t="s">
        <v>1032</v>
      </c>
      <c r="B24" s="39" t="s">
        <v>1033</v>
      </c>
      <c r="C24" s="39" t="s">
        <v>1029</v>
      </c>
      <c r="D24" s="39" t="s">
        <v>975</v>
      </c>
      <c r="E24" s="39" t="s">
        <v>950</v>
      </c>
      <c r="F24" s="39" t="s">
        <v>951</v>
      </c>
      <c r="G24" s="39" t="s">
        <v>916</v>
      </c>
      <c r="H24" s="39" t="s">
        <v>917</v>
      </c>
      <c r="I24" s="39" t="s">
        <v>225</v>
      </c>
      <c r="J24" s="39" t="s">
        <v>951</v>
      </c>
      <c r="K24" s="39" t="s">
        <v>943</v>
      </c>
      <c r="L24" s="39">
        <v>8</v>
      </c>
      <c r="M24" s="39" t="s">
        <v>920</v>
      </c>
      <c r="N24" s="39">
        <v>0</v>
      </c>
      <c r="O24" s="39">
        <v>6</v>
      </c>
      <c r="P24" s="39">
        <v>2</v>
      </c>
      <c r="Q24" s="39">
        <v>0</v>
      </c>
      <c r="R24" s="39">
        <v>1</v>
      </c>
      <c r="S24" s="39">
        <v>0</v>
      </c>
      <c r="T24" s="39">
        <v>1</v>
      </c>
      <c r="U24" s="39">
        <v>2</v>
      </c>
      <c r="V24" s="39">
        <v>1</v>
      </c>
      <c r="W24" s="39">
        <v>1</v>
      </c>
      <c r="X24" s="39">
        <v>1</v>
      </c>
      <c r="Z24" s="39">
        <v>418250163</v>
      </c>
      <c r="AA24" s="39" t="s">
        <v>1034</v>
      </c>
      <c r="AB24" s="39" t="s">
        <v>1035</v>
      </c>
      <c r="AE24" s="39" t="s">
        <v>923</v>
      </c>
      <c r="AG24" s="39" t="s">
        <v>924</v>
      </c>
      <c r="AI24" s="39">
        <v>23</v>
      </c>
    </row>
    <row r="25" spans="1:35" x14ac:dyDescent="0.3">
      <c r="A25" s="39" t="s">
        <v>1036</v>
      </c>
      <c r="B25" s="39" t="s">
        <v>1037</v>
      </c>
      <c r="C25" s="39" t="s">
        <v>1029</v>
      </c>
      <c r="D25" s="39" t="s">
        <v>913</v>
      </c>
      <c r="E25" s="39" t="s">
        <v>914</v>
      </c>
      <c r="F25" s="39" t="s">
        <v>915</v>
      </c>
      <c r="G25" s="39" t="s">
        <v>916</v>
      </c>
      <c r="H25" s="39" t="s">
        <v>917</v>
      </c>
      <c r="I25" s="39" t="s">
        <v>236</v>
      </c>
      <c r="J25" s="39" t="s">
        <v>918</v>
      </c>
      <c r="K25" s="39" t="s">
        <v>919</v>
      </c>
      <c r="L25" s="39">
        <v>3</v>
      </c>
      <c r="M25" s="39" t="s">
        <v>920</v>
      </c>
      <c r="N25" s="39">
        <v>1</v>
      </c>
      <c r="O25" s="39">
        <v>0</v>
      </c>
      <c r="P25" s="39">
        <v>2</v>
      </c>
      <c r="Q25" s="39">
        <v>0</v>
      </c>
      <c r="R25" s="39">
        <v>1</v>
      </c>
      <c r="S25" s="39">
        <v>1</v>
      </c>
      <c r="T25" s="39">
        <v>0</v>
      </c>
      <c r="U25" s="39">
        <v>0</v>
      </c>
      <c r="V25" s="39">
        <v>3</v>
      </c>
      <c r="W25" s="39">
        <v>1</v>
      </c>
      <c r="X25" s="39">
        <v>1</v>
      </c>
      <c r="Y25" s="39" t="s">
        <v>920</v>
      </c>
      <c r="Z25" s="39">
        <v>418250172</v>
      </c>
      <c r="AA25" s="39" t="s">
        <v>1038</v>
      </c>
      <c r="AB25" s="39" t="s">
        <v>1039</v>
      </c>
      <c r="AE25" s="39" t="s">
        <v>923</v>
      </c>
      <c r="AG25" s="39" t="s">
        <v>924</v>
      </c>
      <c r="AI25" s="39">
        <v>24</v>
      </c>
    </row>
    <row r="26" spans="1:35" x14ac:dyDescent="0.3">
      <c r="A26" s="39" t="s">
        <v>1040</v>
      </c>
      <c r="B26" s="39" t="s">
        <v>1041</v>
      </c>
      <c r="C26" s="39" t="s">
        <v>1042</v>
      </c>
      <c r="D26" s="39" t="s">
        <v>927</v>
      </c>
      <c r="E26" s="39" t="s">
        <v>928</v>
      </c>
      <c r="F26" s="39" t="s">
        <v>915</v>
      </c>
      <c r="G26" s="39" t="s">
        <v>916</v>
      </c>
      <c r="H26" s="39" t="s">
        <v>917</v>
      </c>
      <c r="I26" s="39" t="s">
        <v>230</v>
      </c>
      <c r="J26" s="39" t="s">
        <v>918</v>
      </c>
      <c r="K26" s="39" t="s">
        <v>919</v>
      </c>
      <c r="L26" s="39">
        <v>5</v>
      </c>
      <c r="M26" s="39" t="s">
        <v>920</v>
      </c>
      <c r="N26" s="39">
        <v>1</v>
      </c>
      <c r="O26" s="39">
        <v>0</v>
      </c>
      <c r="P26" s="39">
        <v>2</v>
      </c>
      <c r="Q26" s="39">
        <v>2</v>
      </c>
      <c r="R26" s="39">
        <v>1</v>
      </c>
      <c r="S26" s="39">
        <v>1</v>
      </c>
      <c r="T26" s="39">
        <v>0</v>
      </c>
      <c r="U26" s="39">
        <v>1</v>
      </c>
      <c r="V26" s="39">
        <v>1</v>
      </c>
      <c r="W26" s="39">
        <v>1</v>
      </c>
      <c r="X26" s="39">
        <v>0</v>
      </c>
      <c r="Y26" s="39" t="s">
        <v>920</v>
      </c>
      <c r="Z26" s="39">
        <v>418250177</v>
      </c>
      <c r="AA26" s="39" t="s">
        <v>1043</v>
      </c>
      <c r="AB26" s="39" t="s">
        <v>1044</v>
      </c>
      <c r="AE26" s="39" t="s">
        <v>923</v>
      </c>
      <c r="AG26" s="39" t="s">
        <v>924</v>
      </c>
      <c r="AI26" s="39">
        <v>25</v>
      </c>
    </row>
    <row r="27" spans="1:35" x14ac:dyDescent="0.3">
      <c r="A27" s="39" t="s">
        <v>1045</v>
      </c>
      <c r="B27" s="39" t="s">
        <v>1046</v>
      </c>
      <c r="C27" s="39" t="s">
        <v>1042</v>
      </c>
      <c r="D27" s="39" t="s">
        <v>913</v>
      </c>
      <c r="E27" s="39" t="s">
        <v>914</v>
      </c>
      <c r="F27" s="39" t="s">
        <v>915</v>
      </c>
      <c r="G27" s="39" t="s">
        <v>916</v>
      </c>
      <c r="H27" s="39" t="s">
        <v>917</v>
      </c>
      <c r="I27" s="39" t="s">
        <v>245</v>
      </c>
      <c r="J27" s="39" t="s">
        <v>918</v>
      </c>
      <c r="K27" s="39" t="s">
        <v>943</v>
      </c>
      <c r="L27" s="39">
        <v>6</v>
      </c>
      <c r="M27" s="39" t="s">
        <v>920</v>
      </c>
      <c r="N27" s="39">
        <v>0</v>
      </c>
      <c r="O27" s="39">
        <v>3</v>
      </c>
      <c r="P27" s="39">
        <v>3</v>
      </c>
      <c r="Q27" s="39">
        <v>0</v>
      </c>
      <c r="R27" s="39">
        <v>2</v>
      </c>
      <c r="S27" s="39">
        <v>0</v>
      </c>
      <c r="T27" s="39">
        <v>0</v>
      </c>
      <c r="U27" s="39">
        <v>1</v>
      </c>
      <c r="V27" s="39">
        <v>4</v>
      </c>
      <c r="W27" s="39">
        <v>0</v>
      </c>
      <c r="X27" s="39">
        <v>1</v>
      </c>
      <c r="Z27" s="39">
        <v>418250185</v>
      </c>
      <c r="AA27" s="39" t="s">
        <v>1047</v>
      </c>
      <c r="AB27" s="39" t="s">
        <v>1048</v>
      </c>
      <c r="AE27" s="39" t="s">
        <v>923</v>
      </c>
      <c r="AG27" s="39" t="s">
        <v>924</v>
      </c>
      <c r="AI27" s="39">
        <v>26</v>
      </c>
    </row>
    <row r="28" spans="1:35" x14ac:dyDescent="0.3">
      <c r="A28" s="39" t="s">
        <v>1049</v>
      </c>
      <c r="B28" s="39" t="s">
        <v>1050</v>
      </c>
      <c r="C28" s="39" t="s">
        <v>1042</v>
      </c>
      <c r="D28" s="39" t="s">
        <v>927</v>
      </c>
      <c r="E28" s="39" t="s">
        <v>928</v>
      </c>
      <c r="F28" s="39" t="s">
        <v>915</v>
      </c>
      <c r="G28" s="39" t="s">
        <v>916</v>
      </c>
      <c r="H28" s="39" t="s">
        <v>917</v>
      </c>
      <c r="I28" s="39" t="s">
        <v>211</v>
      </c>
      <c r="J28" s="39" t="s">
        <v>918</v>
      </c>
      <c r="K28" s="39" t="s">
        <v>919</v>
      </c>
      <c r="L28" s="39">
        <v>5</v>
      </c>
      <c r="M28" s="39" t="s">
        <v>920</v>
      </c>
      <c r="N28" s="39">
        <v>1</v>
      </c>
      <c r="O28" s="39">
        <v>0</v>
      </c>
      <c r="P28" s="39">
        <v>3</v>
      </c>
      <c r="Q28" s="39">
        <v>1</v>
      </c>
      <c r="R28" s="39">
        <v>2</v>
      </c>
      <c r="S28" s="39">
        <v>1</v>
      </c>
      <c r="T28" s="39">
        <v>0</v>
      </c>
      <c r="U28" s="39">
        <v>1</v>
      </c>
      <c r="V28" s="39">
        <v>1</v>
      </c>
      <c r="W28" s="39">
        <v>0</v>
      </c>
      <c r="X28" s="39">
        <v>3</v>
      </c>
      <c r="Y28" s="39" t="s">
        <v>920</v>
      </c>
      <c r="Z28" s="39">
        <v>418250194</v>
      </c>
      <c r="AA28" s="39" t="s">
        <v>1051</v>
      </c>
      <c r="AB28" s="39" t="s">
        <v>1052</v>
      </c>
      <c r="AE28" s="39" t="s">
        <v>923</v>
      </c>
      <c r="AG28" s="39" t="s">
        <v>924</v>
      </c>
      <c r="AI28" s="39">
        <v>27</v>
      </c>
    </row>
    <row r="29" spans="1:35" x14ac:dyDescent="0.3">
      <c r="A29" s="39" t="s">
        <v>1053</v>
      </c>
      <c r="B29" s="39" t="s">
        <v>1054</v>
      </c>
      <c r="C29" s="39" t="s">
        <v>1042</v>
      </c>
      <c r="D29" s="39" t="s">
        <v>994</v>
      </c>
      <c r="E29" s="39" t="s">
        <v>995</v>
      </c>
      <c r="F29" s="39" t="s">
        <v>996</v>
      </c>
      <c r="G29" s="39" t="s">
        <v>916</v>
      </c>
      <c r="H29" s="39" t="s">
        <v>917</v>
      </c>
      <c r="I29" s="39" t="s">
        <v>220</v>
      </c>
      <c r="J29" s="39" t="s">
        <v>997</v>
      </c>
      <c r="K29" s="39" t="s">
        <v>919</v>
      </c>
      <c r="L29" s="39">
        <v>6</v>
      </c>
      <c r="M29" s="39" t="s">
        <v>920</v>
      </c>
      <c r="N29" s="39">
        <v>0</v>
      </c>
      <c r="O29" s="39">
        <v>3</v>
      </c>
      <c r="P29" s="39">
        <v>3</v>
      </c>
      <c r="Q29" s="39">
        <v>0</v>
      </c>
      <c r="R29" s="39">
        <v>2</v>
      </c>
      <c r="S29" s="39">
        <v>0</v>
      </c>
      <c r="T29" s="39">
        <v>0</v>
      </c>
      <c r="U29" s="39">
        <v>4</v>
      </c>
      <c r="V29" s="39">
        <v>0</v>
      </c>
      <c r="W29" s="39">
        <v>1</v>
      </c>
      <c r="X29" s="39">
        <v>1</v>
      </c>
      <c r="Z29" s="39">
        <v>418250201</v>
      </c>
      <c r="AA29" s="39" t="s">
        <v>1055</v>
      </c>
      <c r="AB29" s="39" t="s">
        <v>1056</v>
      </c>
      <c r="AE29" s="39" t="s">
        <v>923</v>
      </c>
      <c r="AG29" s="39" t="s">
        <v>924</v>
      </c>
      <c r="AI29" s="39">
        <v>28</v>
      </c>
    </row>
    <row r="30" spans="1:35" x14ac:dyDescent="0.3">
      <c r="A30" s="39" t="s">
        <v>1057</v>
      </c>
      <c r="B30" s="39" t="s">
        <v>1058</v>
      </c>
      <c r="C30" s="39" t="s">
        <v>1059</v>
      </c>
      <c r="D30" s="39" t="s">
        <v>927</v>
      </c>
      <c r="E30" s="39" t="s">
        <v>928</v>
      </c>
      <c r="F30" s="39" t="s">
        <v>915</v>
      </c>
      <c r="G30" s="39" t="s">
        <v>916</v>
      </c>
      <c r="H30" s="39" t="s">
        <v>917</v>
      </c>
      <c r="I30" s="39" t="s">
        <v>269</v>
      </c>
      <c r="J30" s="39" t="s">
        <v>918</v>
      </c>
      <c r="K30" s="39" t="s">
        <v>919</v>
      </c>
      <c r="L30" s="39">
        <v>8</v>
      </c>
      <c r="M30" s="39" t="s">
        <v>920</v>
      </c>
      <c r="N30" s="39">
        <v>0</v>
      </c>
      <c r="O30" s="39">
        <v>5</v>
      </c>
      <c r="P30" s="39">
        <v>2</v>
      </c>
      <c r="Q30" s="39">
        <v>1</v>
      </c>
      <c r="R30" s="39">
        <v>1</v>
      </c>
      <c r="S30" s="39">
        <v>0</v>
      </c>
      <c r="T30" s="39">
        <v>0</v>
      </c>
      <c r="U30" s="39">
        <v>12</v>
      </c>
      <c r="V30" s="39">
        <v>4</v>
      </c>
      <c r="W30" s="39">
        <v>3</v>
      </c>
      <c r="X30" s="39">
        <v>3</v>
      </c>
      <c r="Z30" s="39">
        <v>418250203</v>
      </c>
      <c r="AA30" s="39" t="s">
        <v>1060</v>
      </c>
      <c r="AB30" s="39" t="s">
        <v>1061</v>
      </c>
      <c r="AE30" s="39" t="s">
        <v>923</v>
      </c>
      <c r="AG30" s="39" t="s">
        <v>924</v>
      </c>
      <c r="AI30" s="39">
        <v>29</v>
      </c>
    </row>
    <row r="31" spans="1:35" x14ac:dyDescent="0.3">
      <c r="A31" s="39" t="s">
        <v>1062</v>
      </c>
      <c r="B31" s="39" t="s">
        <v>1063</v>
      </c>
      <c r="C31" s="39" t="s">
        <v>1059</v>
      </c>
      <c r="D31" s="39" t="s">
        <v>938</v>
      </c>
      <c r="E31" s="39" t="s">
        <v>928</v>
      </c>
      <c r="F31" s="39" t="s">
        <v>915</v>
      </c>
      <c r="G31" s="39" t="s">
        <v>916</v>
      </c>
      <c r="H31" s="39" t="s">
        <v>917</v>
      </c>
      <c r="I31" s="39" t="s">
        <v>448</v>
      </c>
      <c r="J31" s="39" t="s">
        <v>918</v>
      </c>
      <c r="K31" s="39" t="s">
        <v>943</v>
      </c>
      <c r="L31" s="39">
        <v>3</v>
      </c>
      <c r="M31" s="39" t="s">
        <v>920</v>
      </c>
      <c r="N31" s="39">
        <v>0</v>
      </c>
      <c r="O31" s="39">
        <v>0</v>
      </c>
      <c r="P31" s="39">
        <v>3</v>
      </c>
      <c r="Q31" s="39">
        <v>0</v>
      </c>
      <c r="R31" s="39">
        <v>2</v>
      </c>
      <c r="S31" s="39">
        <v>0</v>
      </c>
      <c r="T31" s="39">
        <v>0</v>
      </c>
      <c r="U31" s="39">
        <v>0</v>
      </c>
      <c r="V31" s="39">
        <v>3</v>
      </c>
      <c r="X31" s="39">
        <v>0</v>
      </c>
      <c r="Z31" s="39">
        <v>418250212</v>
      </c>
      <c r="AA31" s="39" t="s">
        <v>1064</v>
      </c>
      <c r="AB31" s="39" t="s">
        <v>1065</v>
      </c>
      <c r="AE31" s="39" t="s">
        <v>923</v>
      </c>
      <c r="AG31" s="39" t="s">
        <v>924</v>
      </c>
      <c r="AI31" s="39">
        <v>30</v>
      </c>
    </row>
    <row r="32" spans="1:35" x14ac:dyDescent="0.3">
      <c r="A32" s="39" t="s">
        <v>1066</v>
      </c>
      <c r="B32" s="39" t="s">
        <v>1067</v>
      </c>
      <c r="C32" s="39" t="s">
        <v>1068</v>
      </c>
      <c r="D32" s="39" t="s">
        <v>913</v>
      </c>
      <c r="E32" s="39" t="s">
        <v>914</v>
      </c>
      <c r="F32" s="39" t="s">
        <v>915</v>
      </c>
      <c r="G32" s="39" t="s">
        <v>916</v>
      </c>
      <c r="H32" s="39" t="s">
        <v>917</v>
      </c>
      <c r="I32" s="39" t="s">
        <v>228</v>
      </c>
      <c r="J32" s="39" t="s">
        <v>918</v>
      </c>
      <c r="K32" s="39" t="s">
        <v>919</v>
      </c>
      <c r="L32" s="39">
        <v>9</v>
      </c>
      <c r="M32" s="39" t="s">
        <v>920</v>
      </c>
      <c r="N32" s="39">
        <v>2</v>
      </c>
      <c r="O32" s="39">
        <v>4</v>
      </c>
      <c r="P32" s="39">
        <v>3</v>
      </c>
      <c r="Q32" s="39">
        <v>0</v>
      </c>
      <c r="R32" s="39">
        <v>2</v>
      </c>
      <c r="S32" s="39">
        <v>0</v>
      </c>
      <c r="T32" s="39">
        <v>0</v>
      </c>
      <c r="U32" s="39">
        <v>9</v>
      </c>
      <c r="V32" s="39">
        <v>9</v>
      </c>
      <c r="W32" s="39">
        <v>1</v>
      </c>
      <c r="X32" s="39">
        <v>1</v>
      </c>
      <c r="Y32" s="39" t="s">
        <v>920</v>
      </c>
      <c r="Z32" s="39">
        <v>418250220</v>
      </c>
      <c r="AA32" s="39" t="s">
        <v>1069</v>
      </c>
      <c r="AB32" s="39" t="s">
        <v>1070</v>
      </c>
      <c r="AE32" s="39" t="s">
        <v>923</v>
      </c>
      <c r="AG32" s="39" t="s">
        <v>924</v>
      </c>
      <c r="AI32" s="39">
        <v>31</v>
      </c>
    </row>
    <row r="33" spans="1:35" x14ac:dyDescent="0.3">
      <c r="A33" s="39" t="s">
        <v>1071</v>
      </c>
      <c r="B33" s="39" t="s">
        <v>1072</v>
      </c>
      <c r="C33" s="39" t="s">
        <v>1068</v>
      </c>
      <c r="D33" s="39" t="s">
        <v>927</v>
      </c>
      <c r="E33" s="39" t="s">
        <v>928</v>
      </c>
      <c r="F33" s="39" t="s">
        <v>915</v>
      </c>
      <c r="G33" s="39" t="s">
        <v>916</v>
      </c>
      <c r="H33" s="39" t="s">
        <v>917</v>
      </c>
      <c r="I33" s="39" t="s">
        <v>254</v>
      </c>
      <c r="J33" s="39" t="s">
        <v>918</v>
      </c>
      <c r="K33" s="39" t="s">
        <v>919</v>
      </c>
      <c r="L33" s="39">
        <v>7</v>
      </c>
      <c r="M33" s="39" t="s">
        <v>920</v>
      </c>
      <c r="N33" s="39">
        <v>0</v>
      </c>
      <c r="O33" s="39">
        <v>4</v>
      </c>
      <c r="P33" s="39">
        <v>3</v>
      </c>
      <c r="Q33" s="39">
        <v>0</v>
      </c>
      <c r="R33" s="39">
        <v>2</v>
      </c>
      <c r="S33" s="39">
        <v>0</v>
      </c>
      <c r="T33" s="39">
        <v>0</v>
      </c>
      <c r="U33" s="39">
        <v>5</v>
      </c>
      <c r="V33" s="39">
        <v>1</v>
      </c>
      <c r="W33" s="39">
        <v>1</v>
      </c>
      <c r="X33" s="39">
        <v>1</v>
      </c>
      <c r="Z33" s="39">
        <v>418250226</v>
      </c>
      <c r="AA33" s="39" t="s">
        <v>1073</v>
      </c>
      <c r="AB33" s="39" t="s">
        <v>1074</v>
      </c>
      <c r="AE33" s="39" t="s">
        <v>923</v>
      </c>
      <c r="AG33" s="39" t="s">
        <v>924</v>
      </c>
      <c r="AI33" s="39">
        <v>32</v>
      </c>
    </row>
    <row r="34" spans="1:35" x14ac:dyDescent="0.3">
      <c r="A34" s="39" t="s">
        <v>1075</v>
      </c>
      <c r="B34" s="39" t="s">
        <v>1076</v>
      </c>
      <c r="C34" s="39" t="s">
        <v>1077</v>
      </c>
      <c r="D34" s="39" t="s">
        <v>994</v>
      </c>
      <c r="E34" s="39" t="s">
        <v>995</v>
      </c>
      <c r="F34" s="39" t="s">
        <v>996</v>
      </c>
      <c r="G34" s="39" t="s">
        <v>916</v>
      </c>
      <c r="H34" s="39" t="s">
        <v>917</v>
      </c>
      <c r="I34" s="39" t="s">
        <v>276</v>
      </c>
      <c r="J34" s="39" t="s">
        <v>997</v>
      </c>
      <c r="K34" s="39" t="s">
        <v>919</v>
      </c>
      <c r="L34" s="39">
        <v>5</v>
      </c>
      <c r="M34" s="39" t="s">
        <v>920</v>
      </c>
      <c r="N34" s="39">
        <v>0</v>
      </c>
      <c r="O34" s="39">
        <v>2</v>
      </c>
      <c r="P34" s="39">
        <v>3</v>
      </c>
      <c r="Q34" s="39">
        <v>0</v>
      </c>
      <c r="R34" s="39">
        <v>2</v>
      </c>
      <c r="S34" s="39">
        <v>0</v>
      </c>
      <c r="T34" s="39">
        <v>0</v>
      </c>
      <c r="U34" s="39">
        <v>0</v>
      </c>
      <c r="V34" s="39">
        <v>3</v>
      </c>
      <c r="W34" s="39">
        <v>0</v>
      </c>
      <c r="X34" s="39">
        <v>1</v>
      </c>
      <c r="Z34" s="39">
        <v>418250234</v>
      </c>
      <c r="AA34" s="39" t="s">
        <v>1078</v>
      </c>
      <c r="AB34" s="39" t="s">
        <v>1079</v>
      </c>
      <c r="AE34" s="39" t="s">
        <v>923</v>
      </c>
      <c r="AG34" s="39" t="s">
        <v>924</v>
      </c>
      <c r="AI34" s="39">
        <v>33</v>
      </c>
    </row>
    <row r="35" spans="1:35" x14ac:dyDescent="0.3">
      <c r="A35" s="39" t="s">
        <v>1080</v>
      </c>
      <c r="B35" s="39" t="s">
        <v>1081</v>
      </c>
      <c r="C35" s="39" t="s">
        <v>1077</v>
      </c>
      <c r="D35" s="39" t="s">
        <v>994</v>
      </c>
      <c r="E35" s="39" t="s">
        <v>995</v>
      </c>
      <c r="F35" s="39" t="s">
        <v>996</v>
      </c>
      <c r="G35" s="39" t="s">
        <v>916</v>
      </c>
      <c r="H35" s="39" t="s">
        <v>917</v>
      </c>
      <c r="I35" s="39" t="s">
        <v>342</v>
      </c>
      <c r="J35" s="39" t="s">
        <v>997</v>
      </c>
      <c r="K35" s="39" t="s">
        <v>919</v>
      </c>
      <c r="L35" s="39">
        <v>5</v>
      </c>
      <c r="M35" s="39" t="s">
        <v>920</v>
      </c>
      <c r="N35" s="39">
        <v>0</v>
      </c>
      <c r="O35" s="39">
        <v>2</v>
      </c>
      <c r="P35" s="39">
        <v>2</v>
      </c>
      <c r="Q35" s="39">
        <v>1</v>
      </c>
      <c r="R35" s="39">
        <v>2</v>
      </c>
      <c r="S35" s="39">
        <v>0</v>
      </c>
      <c r="T35" s="39">
        <v>0</v>
      </c>
      <c r="U35" s="39">
        <v>0</v>
      </c>
      <c r="V35" s="39">
        <v>2</v>
      </c>
      <c r="W35" s="39">
        <v>2</v>
      </c>
      <c r="X35" s="39">
        <v>1</v>
      </c>
      <c r="Z35" s="39">
        <v>418250242</v>
      </c>
      <c r="AA35" s="39" t="s">
        <v>1082</v>
      </c>
      <c r="AB35" s="39" t="s">
        <v>1083</v>
      </c>
      <c r="AE35" s="39" t="s">
        <v>923</v>
      </c>
      <c r="AG35" s="39" t="s">
        <v>924</v>
      </c>
      <c r="AI35" s="39">
        <v>34</v>
      </c>
    </row>
    <row r="36" spans="1:35" x14ac:dyDescent="0.3">
      <c r="A36" s="39" t="s">
        <v>1084</v>
      </c>
      <c r="B36" s="39" t="s">
        <v>1085</v>
      </c>
      <c r="C36" s="39" t="s">
        <v>1086</v>
      </c>
      <c r="D36" s="39" t="s">
        <v>927</v>
      </c>
      <c r="E36" s="39" t="s">
        <v>928</v>
      </c>
      <c r="F36" s="39" t="s">
        <v>915</v>
      </c>
      <c r="G36" s="39" t="s">
        <v>916</v>
      </c>
      <c r="H36" s="39" t="s">
        <v>917</v>
      </c>
      <c r="I36" s="39" t="s">
        <v>279</v>
      </c>
      <c r="J36" s="39" t="s">
        <v>918</v>
      </c>
      <c r="K36" s="39" t="s">
        <v>919</v>
      </c>
      <c r="L36" s="39">
        <v>9</v>
      </c>
      <c r="M36" s="39" t="s">
        <v>920</v>
      </c>
      <c r="N36" s="39">
        <v>0</v>
      </c>
      <c r="O36" s="39">
        <v>7</v>
      </c>
      <c r="P36" s="39">
        <v>2</v>
      </c>
      <c r="Q36" s="39">
        <v>0</v>
      </c>
      <c r="R36" s="39">
        <v>2</v>
      </c>
      <c r="S36" s="39">
        <v>0</v>
      </c>
      <c r="T36" s="39">
        <v>0</v>
      </c>
      <c r="U36" s="39">
        <v>5</v>
      </c>
      <c r="V36" s="39">
        <v>8</v>
      </c>
      <c r="W36" s="39">
        <v>4</v>
      </c>
      <c r="X36" s="39">
        <v>0</v>
      </c>
      <c r="Z36" s="39">
        <v>418250250</v>
      </c>
      <c r="AA36" s="39" t="s">
        <v>1087</v>
      </c>
      <c r="AB36" s="39" t="s">
        <v>1088</v>
      </c>
      <c r="AE36" s="39" t="s">
        <v>923</v>
      </c>
      <c r="AG36" s="39" t="s">
        <v>924</v>
      </c>
      <c r="AI36" s="39">
        <v>35</v>
      </c>
    </row>
    <row r="37" spans="1:35" x14ac:dyDescent="0.3">
      <c r="A37" s="39" t="s">
        <v>1089</v>
      </c>
      <c r="B37" s="39" t="s">
        <v>1090</v>
      </c>
      <c r="C37" s="39" t="s">
        <v>1086</v>
      </c>
      <c r="D37" s="39" t="s">
        <v>913</v>
      </c>
      <c r="E37" s="39" t="s">
        <v>914</v>
      </c>
      <c r="F37" s="39" t="s">
        <v>915</v>
      </c>
      <c r="G37" s="39" t="s">
        <v>916</v>
      </c>
      <c r="H37" s="39" t="s">
        <v>917</v>
      </c>
      <c r="I37" s="39" t="s">
        <v>456</v>
      </c>
      <c r="J37" s="39" t="s">
        <v>918</v>
      </c>
      <c r="K37" s="39" t="s">
        <v>919</v>
      </c>
      <c r="L37" s="39">
        <v>8</v>
      </c>
      <c r="M37" s="39" t="s">
        <v>920</v>
      </c>
      <c r="N37" s="39">
        <v>1</v>
      </c>
      <c r="O37" s="39">
        <v>5</v>
      </c>
      <c r="P37" s="39">
        <v>2</v>
      </c>
      <c r="Q37" s="39">
        <v>0</v>
      </c>
      <c r="R37" s="39">
        <v>1</v>
      </c>
      <c r="S37" s="39">
        <v>1</v>
      </c>
      <c r="T37" s="39">
        <v>0</v>
      </c>
      <c r="U37" s="39">
        <v>2</v>
      </c>
      <c r="V37" s="39">
        <v>8</v>
      </c>
      <c r="W37" s="39">
        <v>4</v>
      </c>
      <c r="X37" s="39">
        <v>1</v>
      </c>
      <c r="Y37" s="39" t="s">
        <v>920</v>
      </c>
      <c r="Z37" s="39">
        <v>418250254</v>
      </c>
      <c r="AA37" s="39" t="s">
        <v>1091</v>
      </c>
      <c r="AB37" s="39" t="s">
        <v>1092</v>
      </c>
      <c r="AE37" s="39" t="s">
        <v>923</v>
      </c>
      <c r="AG37" s="39" t="s">
        <v>924</v>
      </c>
      <c r="AI37" s="39">
        <v>36</v>
      </c>
    </row>
    <row r="38" spans="1:35" x14ac:dyDescent="0.3">
      <c r="A38" s="39" t="s">
        <v>1093</v>
      </c>
      <c r="B38" s="39" t="s">
        <v>1094</v>
      </c>
      <c r="C38" s="39" t="s">
        <v>1086</v>
      </c>
      <c r="D38" s="39" t="s">
        <v>927</v>
      </c>
      <c r="E38" s="39" t="s">
        <v>928</v>
      </c>
      <c r="F38" s="39" t="s">
        <v>915</v>
      </c>
      <c r="G38" s="39" t="s">
        <v>916</v>
      </c>
      <c r="H38" s="39" t="s">
        <v>917</v>
      </c>
      <c r="I38" s="39" t="s">
        <v>232</v>
      </c>
      <c r="J38" s="39" t="s">
        <v>918</v>
      </c>
      <c r="K38" s="39" t="s">
        <v>943</v>
      </c>
      <c r="L38" s="39">
        <v>5</v>
      </c>
      <c r="M38" s="39" t="s">
        <v>920</v>
      </c>
      <c r="N38" s="39">
        <v>1</v>
      </c>
      <c r="O38" s="39">
        <v>2</v>
      </c>
      <c r="P38" s="39">
        <v>2</v>
      </c>
      <c r="Q38" s="39">
        <v>0</v>
      </c>
      <c r="R38" s="39">
        <v>2</v>
      </c>
      <c r="S38" s="39">
        <v>0</v>
      </c>
      <c r="T38" s="39">
        <v>0</v>
      </c>
      <c r="U38" s="39">
        <v>3</v>
      </c>
      <c r="V38" s="39">
        <v>4</v>
      </c>
      <c r="W38" s="39">
        <v>3</v>
      </c>
      <c r="X38" s="39">
        <v>1</v>
      </c>
      <c r="Y38" s="39" t="s">
        <v>920</v>
      </c>
      <c r="Z38" s="39">
        <v>418250262</v>
      </c>
      <c r="AA38" s="39" t="s">
        <v>1095</v>
      </c>
      <c r="AB38" s="39" t="s">
        <v>1096</v>
      </c>
      <c r="AE38" s="39" t="s">
        <v>923</v>
      </c>
      <c r="AG38" s="39" t="s">
        <v>924</v>
      </c>
      <c r="AI38" s="39">
        <v>37</v>
      </c>
    </row>
    <row r="39" spans="1:35" x14ac:dyDescent="0.3">
      <c r="A39" s="39" t="s">
        <v>1097</v>
      </c>
      <c r="B39" s="39" t="s">
        <v>1098</v>
      </c>
      <c r="C39" s="39" t="s">
        <v>1099</v>
      </c>
      <c r="D39" s="39" t="s">
        <v>949</v>
      </c>
      <c r="E39" s="39" t="s">
        <v>950</v>
      </c>
      <c r="F39" s="39" t="s">
        <v>951</v>
      </c>
      <c r="G39" s="39" t="s">
        <v>916</v>
      </c>
      <c r="H39" s="39" t="s">
        <v>917</v>
      </c>
      <c r="I39" s="39" t="s">
        <v>272</v>
      </c>
      <c r="J39" s="39" t="s">
        <v>976</v>
      </c>
      <c r="K39" s="39" t="s">
        <v>952</v>
      </c>
      <c r="L39" s="39">
        <v>7</v>
      </c>
      <c r="M39" s="39" t="s">
        <v>920</v>
      </c>
      <c r="N39" s="39">
        <v>0</v>
      </c>
      <c r="O39" s="39">
        <v>5</v>
      </c>
      <c r="P39" s="39">
        <v>2</v>
      </c>
      <c r="Q39" s="39">
        <v>0</v>
      </c>
      <c r="R39" s="39">
        <v>2</v>
      </c>
      <c r="S39" s="39">
        <v>0</v>
      </c>
      <c r="T39" s="39">
        <v>0</v>
      </c>
      <c r="U39" s="39">
        <v>10</v>
      </c>
      <c r="V39" s="39">
        <v>3</v>
      </c>
      <c r="W39" s="39">
        <v>4</v>
      </c>
      <c r="X39" s="39">
        <v>2</v>
      </c>
      <c r="Z39" s="39">
        <v>418250267</v>
      </c>
      <c r="AA39" s="39" t="s">
        <v>1100</v>
      </c>
      <c r="AB39" s="39" t="s">
        <v>1101</v>
      </c>
      <c r="AE39" s="39" t="s">
        <v>923</v>
      </c>
      <c r="AG39" s="39" t="s">
        <v>924</v>
      </c>
      <c r="AI39" s="39">
        <v>38</v>
      </c>
    </row>
    <row r="40" spans="1:35" x14ac:dyDescent="0.3">
      <c r="A40" s="39" t="s">
        <v>1102</v>
      </c>
      <c r="B40" s="39" t="s">
        <v>1103</v>
      </c>
      <c r="C40" s="39" t="s">
        <v>1099</v>
      </c>
      <c r="D40" s="39" t="s">
        <v>927</v>
      </c>
      <c r="E40" s="39" t="s">
        <v>928</v>
      </c>
      <c r="F40" s="39" t="s">
        <v>915</v>
      </c>
      <c r="G40" s="39" t="s">
        <v>916</v>
      </c>
      <c r="H40" s="39" t="s">
        <v>917</v>
      </c>
      <c r="I40" s="39" t="s">
        <v>295</v>
      </c>
      <c r="J40" s="39" t="s">
        <v>918</v>
      </c>
      <c r="K40" s="39" t="s">
        <v>919</v>
      </c>
      <c r="L40" s="39">
        <v>6</v>
      </c>
      <c r="M40" s="39" t="s">
        <v>920</v>
      </c>
      <c r="N40" s="39">
        <v>1</v>
      </c>
      <c r="O40" s="39">
        <v>3</v>
      </c>
      <c r="P40" s="39">
        <v>1</v>
      </c>
      <c r="Q40" s="39">
        <v>1</v>
      </c>
      <c r="R40" s="39">
        <v>1</v>
      </c>
      <c r="S40" s="39">
        <v>1</v>
      </c>
      <c r="T40" s="39">
        <v>0</v>
      </c>
      <c r="U40" s="39">
        <v>2</v>
      </c>
      <c r="V40" s="39">
        <v>3</v>
      </c>
      <c r="W40" s="39">
        <v>4</v>
      </c>
      <c r="X40" s="39">
        <v>0</v>
      </c>
      <c r="Y40" s="39" t="s">
        <v>920</v>
      </c>
      <c r="Z40" s="39">
        <v>418250274</v>
      </c>
      <c r="AA40" s="39" t="s">
        <v>1104</v>
      </c>
      <c r="AB40" s="39" t="s">
        <v>1105</v>
      </c>
      <c r="AE40" s="39" t="s">
        <v>923</v>
      </c>
      <c r="AG40" s="39" t="s">
        <v>924</v>
      </c>
      <c r="AI40" s="39">
        <v>39</v>
      </c>
    </row>
    <row r="41" spans="1:35" x14ac:dyDescent="0.3">
      <c r="A41" s="39" t="s">
        <v>1106</v>
      </c>
      <c r="B41" s="39" t="s">
        <v>1107</v>
      </c>
      <c r="C41" s="39" t="s">
        <v>1099</v>
      </c>
      <c r="D41" s="39" t="s">
        <v>949</v>
      </c>
      <c r="E41" s="39" t="s">
        <v>950</v>
      </c>
      <c r="F41" s="39" t="s">
        <v>951</v>
      </c>
      <c r="G41" s="39" t="s">
        <v>916</v>
      </c>
      <c r="H41" s="39" t="s">
        <v>917</v>
      </c>
      <c r="I41" s="39" t="s">
        <v>299</v>
      </c>
      <c r="J41" s="39" t="s">
        <v>976</v>
      </c>
      <c r="K41" s="39" t="s">
        <v>943</v>
      </c>
      <c r="L41" s="39">
        <v>7</v>
      </c>
      <c r="M41" s="39" t="s">
        <v>920</v>
      </c>
      <c r="N41" s="39">
        <v>0</v>
      </c>
      <c r="O41" s="39">
        <v>5</v>
      </c>
      <c r="P41" s="39">
        <v>2</v>
      </c>
      <c r="Q41" s="39">
        <v>0</v>
      </c>
      <c r="R41" s="39">
        <v>1</v>
      </c>
      <c r="S41" s="39">
        <v>0</v>
      </c>
      <c r="T41" s="39">
        <v>0</v>
      </c>
      <c r="U41" s="39">
        <v>5</v>
      </c>
      <c r="V41" s="39">
        <v>1</v>
      </c>
      <c r="W41" s="39">
        <v>5</v>
      </c>
      <c r="X41" s="39">
        <v>1</v>
      </c>
      <c r="Z41" s="39">
        <v>418250281</v>
      </c>
      <c r="AA41" s="39" t="s">
        <v>1108</v>
      </c>
      <c r="AB41" s="39" t="s">
        <v>1109</v>
      </c>
      <c r="AE41" s="39" t="s">
        <v>923</v>
      </c>
      <c r="AG41" s="39" t="s">
        <v>924</v>
      </c>
      <c r="AI41" s="39">
        <v>40</v>
      </c>
    </row>
    <row r="42" spans="1:35" x14ac:dyDescent="0.3">
      <c r="A42" s="39" t="s">
        <v>1110</v>
      </c>
      <c r="B42" s="39" t="s">
        <v>1111</v>
      </c>
      <c r="C42" s="39" t="s">
        <v>1112</v>
      </c>
      <c r="D42" s="39" t="s">
        <v>913</v>
      </c>
      <c r="E42" s="39" t="s">
        <v>914</v>
      </c>
      <c r="F42" s="39" t="s">
        <v>915</v>
      </c>
      <c r="G42" s="39" t="s">
        <v>916</v>
      </c>
      <c r="H42" s="39" t="s">
        <v>917</v>
      </c>
      <c r="I42" s="39" t="s">
        <v>243</v>
      </c>
      <c r="J42" s="39" t="s">
        <v>918</v>
      </c>
      <c r="K42" s="39" t="s">
        <v>943</v>
      </c>
      <c r="L42" s="39">
        <v>9</v>
      </c>
      <c r="M42" s="39" t="s">
        <v>917</v>
      </c>
      <c r="N42" s="39">
        <v>0</v>
      </c>
      <c r="O42" s="39">
        <v>8</v>
      </c>
      <c r="P42" s="39">
        <v>1</v>
      </c>
      <c r="Q42" s="39">
        <v>0</v>
      </c>
      <c r="R42" s="39">
        <v>2</v>
      </c>
      <c r="S42" s="39">
        <v>0</v>
      </c>
      <c r="T42" s="39">
        <v>0</v>
      </c>
      <c r="U42" s="39">
        <v>0</v>
      </c>
      <c r="V42" s="39">
        <v>1</v>
      </c>
      <c r="W42" s="39">
        <v>3</v>
      </c>
      <c r="X42" s="39">
        <v>0</v>
      </c>
      <c r="Z42" s="39">
        <v>418250288</v>
      </c>
      <c r="AA42" s="39" t="s">
        <v>1113</v>
      </c>
      <c r="AB42" s="39" t="s">
        <v>1114</v>
      </c>
      <c r="AE42" s="39" t="s">
        <v>923</v>
      </c>
      <c r="AG42" s="39" t="s">
        <v>924</v>
      </c>
      <c r="AI42" s="39">
        <v>41</v>
      </c>
    </row>
    <row r="43" spans="1:35" x14ac:dyDescent="0.3">
      <c r="A43" s="39" t="s">
        <v>1115</v>
      </c>
      <c r="B43" s="39" t="s">
        <v>1116</v>
      </c>
      <c r="C43" s="39" t="s">
        <v>1112</v>
      </c>
      <c r="D43" s="39" t="s">
        <v>927</v>
      </c>
      <c r="E43" s="39" t="s">
        <v>928</v>
      </c>
      <c r="F43" s="39" t="s">
        <v>915</v>
      </c>
      <c r="G43" s="39" t="s">
        <v>916</v>
      </c>
      <c r="H43" s="39" t="s">
        <v>917</v>
      </c>
      <c r="I43" s="39" t="s">
        <v>257</v>
      </c>
      <c r="J43" s="39" t="s">
        <v>918</v>
      </c>
      <c r="K43" s="39" t="s">
        <v>919</v>
      </c>
      <c r="L43" s="39">
        <v>8</v>
      </c>
      <c r="M43" s="39" t="s">
        <v>920</v>
      </c>
      <c r="N43" s="39">
        <v>1</v>
      </c>
      <c r="O43" s="39">
        <v>5</v>
      </c>
      <c r="P43" s="39">
        <v>2</v>
      </c>
      <c r="Q43" s="39">
        <v>0</v>
      </c>
      <c r="R43" s="39">
        <v>1</v>
      </c>
      <c r="S43" s="39">
        <v>1</v>
      </c>
      <c r="T43" s="39">
        <v>0</v>
      </c>
      <c r="U43" s="39">
        <v>3</v>
      </c>
      <c r="V43" s="39">
        <v>1</v>
      </c>
      <c r="W43" s="39">
        <v>2</v>
      </c>
      <c r="X43" s="39">
        <v>1</v>
      </c>
      <c r="Y43" s="39" t="s">
        <v>917</v>
      </c>
      <c r="Z43" s="39">
        <v>418250297</v>
      </c>
      <c r="AA43" s="39" t="s">
        <v>1117</v>
      </c>
      <c r="AB43" s="39" t="s">
        <v>1118</v>
      </c>
      <c r="AE43" s="39" t="s">
        <v>923</v>
      </c>
      <c r="AG43" s="39" t="s">
        <v>924</v>
      </c>
      <c r="AI43" s="39">
        <v>42</v>
      </c>
    </row>
    <row r="44" spans="1:35" x14ac:dyDescent="0.3">
      <c r="A44" s="39" t="s">
        <v>1119</v>
      </c>
      <c r="B44" s="39" t="s">
        <v>1120</v>
      </c>
      <c r="C44" s="39" t="s">
        <v>1112</v>
      </c>
      <c r="D44" s="39" t="s">
        <v>975</v>
      </c>
      <c r="E44" s="39" t="s">
        <v>950</v>
      </c>
      <c r="F44" s="39" t="s">
        <v>951</v>
      </c>
      <c r="G44" s="39" t="s">
        <v>916</v>
      </c>
      <c r="H44" s="39" t="s">
        <v>917</v>
      </c>
      <c r="I44" s="39" t="s">
        <v>265</v>
      </c>
      <c r="J44" s="39" t="s">
        <v>951</v>
      </c>
      <c r="K44" s="39" t="s">
        <v>919</v>
      </c>
      <c r="L44" s="39">
        <v>8</v>
      </c>
      <c r="M44" s="39" t="s">
        <v>920</v>
      </c>
      <c r="N44" s="39">
        <v>1</v>
      </c>
      <c r="O44" s="39">
        <v>4</v>
      </c>
      <c r="P44" s="39">
        <v>2</v>
      </c>
      <c r="Q44" s="39">
        <v>1</v>
      </c>
      <c r="R44" s="39">
        <v>1</v>
      </c>
      <c r="S44" s="39">
        <v>0</v>
      </c>
      <c r="T44" s="39">
        <v>0</v>
      </c>
      <c r="U44" s="39">
        <v>10</v>
      </c>
      <c r="V44" s="39">
        <v>0</v>
      </c>
      <c r="W44" s="39">
        <v>2</v>
      </c>
      <c r="X44" s="39">
        <v>2</v>
      </c>
      <c r="Y44" s="39" t="s">
        <v>920</v>
      </c>
      <c r="Z44" s="39">
        <v>418250302</v>
      </c>
      <c r="AA44" s="39" t="s">
        <v>1121</v>
      </c>
      <c r="AB44" s="39" t="s">
        <v>1122</v>
      </c>
      <c r="AE44" s="39" t="s">
        <v>923</v>
      </c>
      <c r="AG44" s="39" t="s">
        <v>924</v>
      </c>
      <c r="AI44" s="39">
        <v>43</v>
      </c>
    </row>
    <row r="45" spans="1:35" x14ac:dyDescent="0.3">
      <c r="A45" s="39" t="s">
        <v>1123</v>
      </c>
      <c r="B45" s="39" t="s">
        <v>1124</v>
      </c>
      <c r="C45" s="39" t="s">
        <v>1125</v>
      </c>
      <c r="D45" s="39" t="s">
        <v>994</v>
      </c>
      <c r="E45" s="39" t="s">
        <v>995</v>
      </c>
      <c r="F45" s="39" t="s">
        <v>996</v>
      </c>
      <c r="G45" s="39" t="s">
        <v>916</v>
      </c>
      <c r="H45" s="39" t="s">
        <v>917</v>
      </c>
      <c r="I45" s="39" t="s">
        <v>274</v>
      </c>
      <c r="J45" s="39" t="s">
        <v>997</v>
      </c>
      <c r="K45" s="39" t="s">
        <v>919</v>
      </c>
      <c r="L45" s="39">
        <v>6</v>
      </c>
      <c r="M45" s="39" t="s">
        <v>920</v>
      </c>
      <c r="N45" s="39">
        <v>1</v>
      </c>
      <c r="O45" s="39">
        <v>3</v>
      </c>
      <c r="P45" s="39">
        <v>2</v>
      </c>
      <c r="Q45" s="39">
        <v>0</v>
      </c>
      <c r="R45" s="39">
        <v>2</v>
      </c>
      <c r="S45" s="39">
        <v>1</v>
      </c>
      <c r="T45" s="39">
        <v>0</v>
      </c>
      <c r="U45" s="39">
        <v>4</v>
      </c>
      <c r="V45" s="39">
        <v>3</v>
      </c>
      <c r="W45" s="39">
        <v>3</v>
      </c>
      <c r="X45" s="39">
        <v>2</v>
      </c>
      <c r="Y45" s="39" t="s">
        <v>920</v>
      </c>
      <c r="Z45" s="39">
        <v>418250310</v>
      </c>
      <c r="AA45" s="39" t="s">
        <v>1126</v>
      </c>
      <c r="AB45" s="39" t="s">
        <v>1127</v>
      </c>
      <c r="AE45" s="39" t="s">
        <v>923</v>
      </c>
      <c r="AG45" s="39" t="s">
        <v>924</v>
      </c>
      <c r="AI45" s="39">
        <v>44</v>
      </c>
    </row>
    <row r="46" spans="1:35" x14ac:dyDescent="0.3">
      <c r="A46" s="39" t="s">
        <v>1128</v>
      </c>
      <c r="B46" s="39" t="s">
        <v>1129</v>
      </c>
      <c r="C46" s="39" t="s">
        <v>1125</v>
      </c>
      <c r="D46" s="39" t="s">
        <v>975</v>
      </c>
      <c r="E46" s="39" t="s">
        <v>950</v>
      </c>
      <c r="F46" s="39" t="s">
        <v>951</v>
      </c>
      <c r="G46" s="39" t="s">
        <v>916</v>
      </c>
      <c r="H46" s="39" t="s">
        <v>917</v>
      </c>
      <c r="I46" s="39" t="s">
        <v>376</v>
      </c>
      <c r="J46" s="39" t="s">
        <v>976</v>
      </c>
      <c r="K46" s="39" t="s">
        <v>943</v>
      </c>
      <c r="L46" s="39">
        <v>8</v>
      </c>
      <c r="M46" s="39" t="s">
        <v>917</v>
      </c>
      <c r="N46" s="39">
        <v>0</v>
      </c>
      <c r="O46" s="39">
        <v>6</v>
      </c>
      <c r="P46" s="39">
        <v>2</v>
      </c>
      <c r="Q46" s="39">
        <v>0</v>
      </c>
      <c r="R46" s="39">
        <v>3</v>
      </c>
      <c r="S46" s="39">
        <v>0</v>
      </c>
      <c r="T46" s="39">
        <v>0</v>
      </c>
      <c r="U46" s="39">
        <v>5</v>
      </c>
      <c r="V46" s="39">
        <v>4</v>
      </c>
      <c r="W46" s="39">
        <v>4</v>
      </c>
      <c r="X46" s="39">
        <v>1</v>
      </c>
      <c r="Z46" s="39">
        <v>418250317</v>
      </c>
      <c r="AA46" s="39" t="s">
        <v>1130</v>
      </c>
      <c r="AB46" s="39" t="s">
        <v>1131</v>
      </c>
      <c r="AE46" s="39" t="s">
        <v>923</v>
      </c>
      <c r="AG46" s="39" t="s">
        <v>924</v>
      </c>
      <c r="AI46" s="39">
        <v>45</v>
      </c>
    </row>
    <row r="47" spans="1:35" x14ac:dyDescent="0.3">
      <c r="A47" s="39" t="s">
        <v>1132</v>
      </c>
      <c r="B47" s="39" t="s">
        <v>1133</v>
      </c>
      <c r="C47" s="39" t="s">
        <v>1134</v>
      </c>
      <c r="D47" s="39" t="s">
        <v>975</v>
      </c>
      <c r="E47" s="39" t="s">
        <v>950</v>
      </c>
      <c r="F47" s="39" t="s">
        <v>951</v>
      </c>
      <c r="G47" s="39" t="s">
        <v>916</v>
      </c>
      <c r="H47" s="39" t="s">
        <v>917</v>
      </c>
      <c r="I47" s="39" t="s">
        <v>289</v>
      </c>
      <c r="J47" s="39" t="s">
        <v>951</v>
      </c>
      <c r="K47" s="39" t="s">
        <v>952</v>
      </c>
      <c r="L47" s="39">
        <v>5</v>
      </c>
      <c r="M47" s="39" t="s">
        <v>920</v>
      </c>
      <c r="N47" s="39">
        <v>0</v>
      </c>
      <c r="O47" s="39">
        <v>3</v>
      </c>
      <c r="P47" s="39">
        <v>2</v>
      </c>
      <c r="Q47" s="39">
        <v>0</v>
      </c>
      <c r="R47" s="39">
        <v>1</v>
      </c>
      <c r="S47" s="39">
        <v>1</v>
      </c>
      <c r="T47" s="39">
        <v>0</v>
      </c>
      <c r="U47" s="39">
        <v>6</v>
      </c>
      <c r="V47" s="39">
        <v>5</v>
      </c>
      <c r="W47" s="39">
        <v>1</v>
      </c>
      <c r="X47" s="39">
        <v>1</v>
      </c>
      <c r="Z47" s="39">
        <v>418250324</v>
      </c>
      <c r="AA47" s="39" t="s">
        <v>1135</v>
      </c>
      <c r="AB47" s="39" t="s">
        <v>1136</v>
      </c>
      <c r="AE47" s="39" t="s">
        <v>923</v>
      </c>
      <c r="AG47" s="39" t="s">
        <v>924</v>
      </c>
      <c r="AI47" s="39">
        <v>46</v>
      </c>
    </row>
    <row r="48" spans="1:35" x14ac:dyDescent="0.3">
      <c r="A48" s="39" t="s">
        <v>1137</v>
      </c>
      <c r="B48" s="39" t="s">
        <v>1138</v>
      </c>
      <c r="C48" s="39" t="s">
        <v>1134</v>
      </c>
      <c r="D48" s="39" t="s">
        <v>913</v>
      </c>
      <c r="E48" s="39" t="s">
        <v>914</v>
      </c>
      <c r="F48" s="39" t="s">
        <v>915</v>
      </c>
      <c r="G48" s="39" t="s">
        <v>916</v>
      </c>
      <c r="H48" s="39" t="s">
        <v>917</v>
      </c>
      <c r="I48" s="39" t="s">
        <v>285</v>
      </c>
      <c r="J48" s="39" t="s">
        <v>918</v>
      </c>
      <c r="K48" s="39" t="s">
        <v>919</v>
      </c>
      <c r="L48" s="39">
        <v>5</v>
      </c>
      <c r="M48" s="39" t="s">
        <v>917</v>
      </c>
      <c r="N48" s="39">
        <v>0</v>
      </c>
      <c r="O48" s="39">
        <v>3</v>
      </c>
      <c r="P48" s="39">
        <v>2</v>
      </c>
      <c r="Q48" s="39">
        <v>0</v>
      </c>
      <c r="R48" s="39">
        <v>3</v>
      </c>
      <c r="S48" s="39">
        <v>0</v>
      </c>
      <c r="T48" s="39">
        <v>0</v>
      </c>
      <c r="U48" s="39">
        <v>7</v>
      </c>
      <c r="V48" s="39">
        <v>3</v>
      </c>
      <c r="W48" s="39">
        <v>1</v>
      </c>
      <c r="X48" s="39">
        <v>1</v>
      </c>
      <c r="Z48" s="39">
        <v>418250330</v>
      </c>
      <c r="AA48" s="39" t="s">
        <v>1139</v>
      </c>
      <c r="AB48" s="39" t="s">
        <v>1140</v>
      </c>
      <c r="AE48" s="39" t="s">
        <v>923</v>
      </c>
      <c r="AG48" s="39" t="s">
        <v>924</v>
      </c>
      <c r="AI48" s="39">
        <v>47</v>
      </c>
    </row>
    <row r="49" spans="1:35" x14ac:dyDescent="0.3">
      <c r="A49" s="39" t="s">
        <v>1141</v>
      </c>
      <c r="B49" s="39" t="s">
        <v>1142</v>
      </c>
      <c r="C49" s="39" t="s">
        <v>1143</v>
      </c>
      <c r="D49" s="39" t="s">
        <v>927</v>
      </c>
      <c r="E49" s="39" t="s">
        <v>928</v>
      </c>
      <c r="F49" s="39" t="s">
        <v>915</v>
      </c>
      <c r="G49" s="39" t="s">
        <v>916</v>
      </c>
      <c r="H49" s="39" t="s">
        <v>917</v>
      </c>
      <c r="I49" s="39" t="s">
        <v>312</v>
      </c>
      <c r="J49" s="39" t="s">
        <v>918</v>
      </c>
      <c r="K49" s="39" t="s">
        <v>919</v>
      </c>
      <c r="L49" s="39">
        <v>4</v>
      </c>
      <c r="M49" s="39" t="s">
        <v>917</v>
      </c>
      <c r="N49" s="39">
        <v>1</v>
      </c>
      <c r="O49" s="39">
        <v>1</v>
      </c>
      <c r="P49" s="39">
        <v>2</v>
      </c>
      <c r="Q49" s="39">
        <v>0</v>
      </c>
      <c r="R49" s="39">
        <v>2</v>
      </c>
      <c r="S49" s="39">
        <v>1</v>
      </c>
      <c r="T49" s="39">
        <v>1</v>
      </c>
      <c r="U49" s="39">
        <v>4</v>
      </c>
      <c r="V49" s="39">
        <v>0</v>
      </c>
      <c r="W49" s="39">
        <v>1</v>
      </c>
      <c r="X49" s="39">
        <v>1</v>
      </c>
      <c r="Y49" s="39" t="s">
        <v>920</v>
      </c>
      <c r="Z49" s="39">
        <v>418250339</v>
      </c>
      <c r="AA49" s="39" t="s">
        <v>1144</v>
      </c>
      <c r="AB49" s="39" t="s">
        <v>1145</v>
      </c>
      <c r="AE49" s="39" t="s">
        <v>923</v>
      </c>
      <c r="AG49" s="39" t="s">
        <v>924</v>
      </c>
      <c r="AI49" s="39">
        <v>48</v>
      </c>
    </row>
    <row r="50" spans="1:35" x14ac:dyDescent="0.3">
      <c r="A50" s="39" t="s">
        <v>1146</v>
      </c>
      <c r="B50" s="39" t="s">
        <v>1147</v>
      </c>
      <c r="C50" s="39" t="s">
        <v>1143</v>
      </c>
      <c r="D50" s="39" t="s">
        <v>949</v>
      </c>
      <c r="E50" s="39" t="s">
        <v>950</v>
      </c>
      <c r="F50" s="39" t="s">
        <v>951</v>
      </c>
      <c r="G50" s="39" t="s">
        <v>916</v>
      </c>
      <c r="H50" s="39" t="s">
        <v>917</v>
      </c>
      <c r="I50" s="39" t="s">
        <v>412</v>
      </c>
      <c r="J50" s="39" t="s">
        <v>976</v>
      </c>
      <c r="K50" s="39" t="s">
        <v>943</v>
      </c>
      <c r="L50" s="39">
        <v>5</v>
      </c>
      <c r="M50" s="39" t="s">
        <v>920</v>
      </c>
      <c r="N50" s="39">
        <v>0</v>
      </c>
      <c r="O50" s="39">
        <v>3</v>
      </c>
      <c r="P50" s="39">
        <v>2</v>
      </c>
      <c r="Q50" s="39">
        <v>0</v>
      </c>
      <c r="R50" s="39">
        <v>1</v>
      </c>
      <c r="S50" s="39">
        <v>0</v>
      </c>
      <c r="T50" s="39">
        <v>1</v>
      </c>
      <c r="U50" s="39">
        <v>0</v>
      </c>
      <c r="V50" s="39">
        <v>4</v>
      </c>
      <c r="W50" s="39">
        <v>2</v>
      </c>
      <c r="X50" s="39">
        <v>2</v>
      </c>
      <c r="Z50" s="39">
        <v>418250345</v>
      </c>
      <c r="AA50" s="39" t="s">
        <v>1148</v>
      </c>
      <c r="AB50" s="39" t="s">
        <v>1149</v>
      </c>
      <c r="AE50" s="39" t="s">
        <v>923</v>
      </c>
      <c r="AG50" s="39" t="s">
        <v>924</v>
      </c>
      <c r="AI50" s="39">
        <v>49</v>
      </c>
    </row>
    <row r="51" spans="1:35" x14ac:dyDescent="0.3">
      <c r="A51" s="39" t="s">
        <v>1150</v>
      </c>
      <c r="B51" s="39" t="s">
        <v>1151</v>
      </c>
      <c r="C51" s="39" t="s">
        <v>1152</v>
      </c>
      <c r="D51" s="39" t="s">
        <v>994</v>
      </c>
      <c r="E51" s="39" t="s">
        <v>995</v>
      </c>
      <c r="F51" s="39" t="s">
        <v>996</v>
      </c>
      <c r="G51" s="39" t="s">
        <v>916</v>
      </c>
      <c r="H51" s="39" t="s">
        <v>917</v>
      </c>
      <c r="I51" s="39" t="s">
        <v>525</v>
      </c>
      <c r="J51" s="39" t="s">
        <v>997</v>
      </c>
      <c r="K51" s="39" t="s">
        <v>919</v>
      </c>
      <c r="L51" s="39">
        <v>10</v>
      </c>
      <c r="M51" s="39" t="s">
        <v>920</v>
      </c>
      <c r="N51" s="39">
        <v>1</v>
      </c>
      <c r="O51" s="39">
        <v>7</v>
      </c>
      <c r="P51" s="39">
        <v>2</v>
      </c>
      <c r="Q51" s="39">
        <v>0</v>
      </c>
      <c r="R51" s="39">
        <v>1</v>
      </c>
      <c r="S51" s="39">
        <v>1</v>
      </c>
      <c r="T51" s="39">
        <v>1</v>
      </c>
      <c r="U51" s="39">
        <v>17</v>
      </c>
      <c r="V51" s="39">
        <v>10</v>
      </c>
      <c r="W51" s="39">
        <v>7</v>
      </c>
      <c r="X51" s="39">
        <v>0</v>
      </c>
      <c r="Y51" s="39" t="s">
        <v>917</v>
      </c>
      <c r="Z51" s="39">
        <v>418250353</v>
      </c>
      <c r="AA51" s="39" t="s">
        <v>1153</v>
      </c>
      <c r="AB51" s="39" t="s">
        <v>1154</v>
      </c>
      <c r="AE51" s="39" t="s">
        <v>923</v>
      </c>
      <c r="AG51" s="39" t="s">
        <v>924</v>
      </c>
      <c r="AI51" s="39">
        <v>50</v>
      </c>
    </row>
    <row r="52" spans="1:35" x14ac:dyDescent="0.3">
      <c r="A52" s="39" t="s">
        <v>1155</v>
      </c>
      <c r="B52" s="39" t="s">
        <v>1156</v>
      </c>
      <c r="C52" s="39" t="s">
        <v>1152</v>
      </c>
      <c r="D52" s="39" t="s">
        <v>913</v>
      </c>
      <c r="E52" s="39" t="s">
        <v>914</v>
      </c>
      <c r="F52" s="39" t="s">
        <v>915</v>
      </c>
      <c r="G52" s="39" t="s">
        <v>916</v>
      </c>
      <c r="H52" s="39" t="s">
        <v>917</v>
      </c>
      <c r="I52" s="39" t="s">
        <v>421</v>
      </c>
      <c r="J52" s="39" t="s">
        <v>918</v>
      </c>
      <c r="K52" s="39" t="s">
        <v>919</v>
      </c>
      <c r="L52" s="39">
        <v>8</v>
      </c>
      <c r="M52" s="39" t="s">
        <v>917</v>
      </c>
      <c r="N52" s="39">
        <v>0</v>
      </c>
      <c r="O52" s="39">
        <v>6</v>
      </c>
      <c r="P52" s="39">
        <v>2</v>
      </c>
      <c r="Q52" s="39">
        <v>0</v>
      </c>
      <c r="R52" s="39">
        <v>3</v>
      </c>
      <c r="S52" s="39">
        <v>0</v>
      </c>
      <c r="T52" s="39">
        <v>0</v>
      </c>
      <c r="U52" s="39">
        <v>2</v>
      </c>
      <c r="V52" s="39">
        <v>7</v>
      </c>
      <c r="W52" s="39">
        <v>1</v>
      </c>
      <c r="X52" s="39">
        <v>2</v>
      </c>
      <c r="Z52" s="39">
        <v>418250360</v>
      </c>
      <c r="AA52" s="39" t="s">
        <v>1157</v>
      </c>
      <c r="AB52" s="39" t="s">
        <v>1158</v>
      </c>
      <c r="AE52" s="39" t="s">
        <v>923</v>
      </c>
      <c r="AG52" s="39" t="s">
        <v>924</v>
      </c>
      <c r="AI52" s="39">
        <v>51</v>
      </c>
    </row>
    <row r="53" spans="1:35" x14ac:dyDescent="0.3">
      <c r="A53" s="39" t="s">
        <v>1159</v>
      </c>
      <c r="B53" s="39" t="s">
        <v>1160</v>
      </c>
      <c r="C53" s="39" t="s">
        <v>1152</v>
      </c>
      <c r="D53" s="39" t="s">
        <v>927</v>
      </c>
      <c r="E53" s="39" t="s">
        <v>928</v>
      </c>
      <c r="F53" s="39" t="s">
        <v>915</v>
      </c>
      <c r="G53" s="39" t="s">
        <v>916</v>
      </c>
      <c r="H53" s="39" t="s">
        <v>917</v>
      </c>
      <c r="I53" s="39" t="s">
        <v>282</v>
      </c>
      <c r="J53" s="39" t="s">
        <v>918</v>
      </c>
      <c r="K53" s="39" t="s">
        <v>919</v>
      </c>
      <c r="L53" s="39">
        <v>8</v>
      </c>
      <c r="M53" s="39" t="s">
        <v>920</v>
      </c>
      <c r="N53" s="39">
        <v>0</v>
      </c>
      <c r="O53" s="39">
        <v>6</v>
      </c>
      <c r="P53" s="39">
        <v>2</v>
      </c>
      <c r="Q53" s="39">
        <v>0</v>
      </c>
      <c r="R53" s="39">
        <v>1</v>
      </c>
      <c r="S53" s="39">
        <v>0</v>
      </c>
      <c r="T53" s="39">
        <v>0</v>
      </c>
      <c r="U53" s="39">
        <v>8</v>
      </c>
      <c r="V53" s="39">
        <v>0</v>
      </c>
      <c r="W53" s="39">
        <v>5</v>
      </c>
      <c r="X53" s="39">
        <v>2</v>
      </c>
      <c r="Z53" s="39">
        <v>418250368</v>
      </c>
      <c r="AA53" s="39" t="s">
        <v>1161</v>
      </c>
      <c r="AB53" s="39" t="s">
        <v>1162</v>
      </c>
      <c r="AE53" s="39" t="s">
        <v>923</v>
      </c>
      <c r="AG53" s="39" t="s">
        <v>924</v>
      </c>
      <c r="AI53" s="39">
        <v>52</v>
      </c>
    </row>
    <row r="54" spans="1:35" x14ac:dyDescent="0.3">
      <c r="A54" s="39" t="s">
        <v>1163</v>
      </c>
      <c r="B54" s="39" t="s">
        <v>1164</v>
      </c>
      <c r="C54" s="39" t="s">
        <v>1152</v>
      </c>
      <c r="D54" s="39" t="s">
        <v>927</v>
      </c>
      <c r="E54" s="39" t="s">
        <v>928</v>
      </c>
      <c r="F54" s="39" t="s">
        <v>915</v>
      </c>
      <c r="G54" s="39" t="s">
        <v>916</v>
      </c>
      <c r="H54" s="39" t="s">
        <v>917</v>
      </c>
      <c r="I54" s="39" t="s">
        <v>335</v>
      </c>
      <c r="J54" s="39" t="s">
        <v>918</v>
      </c>
      <c r="K54" s="39" t="s">
        <v>919</v>
      </c>
      <c r="L54" s="39">
        <v>9</v>
      </c>
      <c r="M54" s="39" t="s">
        <v>920</v>
      </c>
      <c r="N54" s="39">
        <v>1</v>
      </c>
      <c r="O54" s="39">
        <v>5</v>
      </c>
      <c r="P54" s="39">
        <v>2</v>
      </c>
      <c r="Q54" s="39">
        <v>1</v>
      </c>
      <c r="R54" s="39">
        <v>2</v>
      </c>
      <c r="S54" s="39">
        <v>1</v>
      </c>
      <c r="T54" s="39">
        <v>0</v>
      </c>
      <c r="U54" s="39">
        <v>6</v>
      </c>
      <c r="V54" s="39">
        <v>7</v>
      </c>
      <c r="W54" s="39">
        <v>1</v>
      </c>
      <c r="X54" s="39">
        <v>2</v>
      </c>
      <c r="Y54" s="39" t="s">
        <v>920</v>
      </c>
      <c r="Z54" s="39">
        <v>418250375</v>
      </c>
      <c r="AA54" s="39" t="s">
        <v>1165</v>
      </c>
      <c r="AB54" s="39" t="s">
        <v>1166</v>
      </c>
      <c r="AE54" s="39" t="s">
        <v>923</v>
      </c>
      <c r="AG54" s="39" t="s">
        <v>924</v>
      </c>
      <c r="AI54" s="39">
        <v>53</v>
      </c>
    </row>
    <row r="55" spans="1:35" x14ac:dyDescent="0.3">
      <c r="A55" s="39" t="s">
        <v>1167</v>
      </c>
      <c r="B55" s="39" t="s">
        <v>1168</v>
      </c>
      <c r="C55" s="39" t="s">
        <v>1169</v>
      </c>
      <c r="D55" s="39" t="s">
        <v>913</v>
      </c>
      <c r="E55" s="39" t="s">
        <v>914</v>
      </c>
      <c r="F55" s="39" t="s">
        <v>915</v>
      </c>
      <c r="G55" s="39" t="s">
        <v>916</v>
      </c>
      <c r="H55" s="39" t="s">
        <v>917</v>
      </c>
      <c r="I55" s="39" t="s">
        <v>348</v>
      </c>
      <c r="J55" s="39" t="s">
        <v>918</v>
      </c>
      <c r="K55" s="39" t="s">
        <v>919</v>
      </c>
      <c r="L55" s="39">
        <v>6</v>
      </c>
      <c r="M55" s="39" t="s">
        <v>920</v>
      </c>
      <c r="N55" s="39">
        <v>0</v>
      </c>
      <c r="O55" s="39">
        <v>3</v>
      </c>
      <c r="P55" s="39">
        <v>2</v>
      </c>
      <c r="Q55" s="39">
        <v>1</v>
      </c>
      <c r="R55" s="39">
        <v>1</v>
      </c>
      <c r="S55" s="39">
        <v>0</v>
      </c>
      <c r="T55" s="39">
        <v>0</v>
      </c>
      <c r="U55" s="39">
        <v>0</v>
      </c>
      <c r="V55" s="39">
        <v>6</v>
      </c>
      <c r="W55" s="39">
        <v>3</v>
      </c>
      <c r="X55" s="39">
        <v>2</v>
      </c>
      <c r="Z55" s="39">
        <v>418250379</v>
      </c>
      <c r="AA55" s="39" t="s">
        <v>1170</v>
      </c>
      <c r="AB55" s="39" t="s">
        <v>1171</v>
      </c>
      <c r="AE55" s="39" t="s">
        <v>923</v>
      </c>
      <c r="AG55" s="39" t="s">
        <v>924</v>
      </c>
      <c r="AI55" s="39">
        <v>54</v>
      </c>
    </row>
    <row r="56" spans="1:35" x14ac:dyDescent="0.3">
      <c r="A56" s="39" t="s">
        <v>1172</v>
      </c>
      <c r="B56" s="39" t="s">
        <v>1173</v>
      </c>
      <c r="C56" s="39" t="s">
        <v>1169</v>
      </c>
      <c r="D56" s="39" t="s">
        <v>994</v>
      </c>
      <c r="E56" s="39" t="s">
        <v>995</v>
      </c>
      <c r="F56" s="39" t="s">
        <v>996</v>
      </c>
      <c r="G56" s="39" t="s">
        <v>916</v>
      </c>
      <c r="H56" s="39" t="s">
        <v>917</v>
      </c>
      <c r="I56" s="39" t="s">
        <v>354</v>
      </c>
      <c r="J56" s="39" t="s">
        <v>997</v>
      </c>
      <c r="K56" s="39" t="s">
        <v>919</v>
      </c>
      <c r="L56" s="39">
        <v>8</v>
      </c>
      <c r="M56" s="39" t="s">
        <v>917</v>
      </c>
      <c r="N56" s="39">
        <v>1</v>
      </c>
      <c r="O56" s="39">
        <v>5</v>
      </c>
      <c r="P56" s="39">
        <v>1</v>
      </c>
      <c r="Q56" s="39">
        <v>1</v>
      </c>
      <c r="R56" s="39">
        <v>2</v>
      </c>
      <c r="S56" s="39">
        <v>1</v>
      </c>
      <c r="T56" s="39">
        <v>1</v>
      </c>
      <c r="U56" s="39">
        <v>3</v>
      </c>
      <c r="V56" s="39">
        <v>2</v>
      </c>
      <c r="W56" s="39">
        <v>3</v>
      </c>
      <c r="X56" s="39">
        <v>1</v>
      </c>
      <c r="Y56" s="39" t="s">
        <v>920</v>
      </c>
      <c r="Z56" s="39">
        <v>418250390</v>
      </c>
      <c r="AA56" s="39" t="s">
        <v>1174</v>
      </c>
      <c r="AB56" s="39" t="s">
        <v>1175</v>
      </c>
      <c r="AE56" s="39" t="s">
        <v>923</v>
      </c>
      <c r="AG56" s="39" t="s">
        <v>924</v>
      </c>
      <c r="AI56" s="39">
        <v>55</v>
      </c>
    </row>
    <row r="57" spans="1:35" x14ac:dyDescent="0.3">
      <c r="A57" s="39" t="s">
        <v>1176</v>
      </c>
      <c r="B57" s="39" t="s">
        <v>1177</v>
      </c>
      <c r="C57" s="39" t="s">
        <v>1178</v>
      </c>
      <c r="D57" s="39" t="s">
        <v>994</v>
      </c>
      <c r="E57" s="39" t="s">
        <v>995</v>
      </c>
      <c r="F57" s="39" t="s">
        <v>996</v>
      </c>
      <c r="G57" s="39" t="s">
        <v>916</v>
      </c>
      <c r="H57" s="39" t="s">
        <v>917</v>
      </c>
      <c r="I57" s="39" t="s">
        <v>442</v>
      </c>
      <c r="J57" s="39" t="s">
        <v>997</v>
      </c>
      <c r="K57" s="39" t="s">
        <v>943</v>
      </c>
      <c r="L57" s="39">
        <v>6</v>
      </c>
      <c r="M57" s="39" t="s">
        <v>920</v>
      </c>
      <c r="N57" s="39">
        <v>1</v>
      </c>
      <c r="O57" s="39">
        <v>1</v>
      </c>
      <c r="P57" s="39">
        <v>3</v>
      </c>
      <c r="Q57" s="39">
        <v>1</v>
      </c>
      <c r="R57" s="39">
        <v>2</v>
      </c>
      <c r="S57" s="39">
        <v>0</v>
      </c>
      <c r="T57" s="39">
        <v>1</v>
      </c>
      <c r="U57" s="39">
        <v>0</v>
      </c>
      <c r="V57" s="39">
        <v>6</v>
      </c>
      <c r="W57" s="39">
        <v>2</v>
      </c>
      <c r="X57" s="39">
        <v>2</v>
      </c>
      <c r="Y57" s="39" t="s">
        <v>917</v>
      </c>
      <c r="Z57" s="39">
        <v>418250394</v>
      </c>
      <c r="AA57" s="39" t="s">
        <v>1179</v>
      </c>
      <c r="AB57" s="39" t="s">
        <v>1180</v>
      </c>
      <c r="AE57" s="39" t="s">
        <v>923</v>
      </c>
      <c r="AG57" s="39" t="s">
        <v>924</v>
      </c>
      <c r="AI57" s="39">
        <v>56</v>
      </c>
    </row>
    <row r="58" spans="1:35" x14ac:dyDescent="0.3">
      <c r="A58" s="39" t="s">
        <v>1181</v>
      </c>
      <c r="B58" s="39" t="s">
        <v>1182</v>
      </c>
      <c r="C58" s="39" t="s">
        <v>1183</v>
      </c>
      <c r="D58" s="39" t="s">
        <v>949</v>
      </c>
      <c r="E58" s="39" t="s">
        <v>950</v>
      </c>
      <c r="F58" s="39" t="s">
        <v>951</v>
      </c>
      <c r="G58" s="39" t="s">
        <v>916</v>
      </c>
      <c r="H58" s="39" t="s">
        <v>917</v>
      </c>
      <c r="I58" s="39" t="s">
        <v>319</v>
      </c>
      <c r="J58" s="39" t="s">
        <v>951</v>
      </c>
      <c r="K58" s="39" t="s">
        <v>943</v>
      </c>
      <c r="L58" s="39">
        <v>9</v>
      </c>
      <c r="M58" s="39" t="s">
        <v>920</v>
      </c>
      <c r="N58" s="39">
        <v>1</v>
      </c>
      <c r="O58" s="39">
        <v>5</v>
      </c>
      <c r="P58" s="39">
        <v>3</v>
      </c>
      <c r="Q58" s="39">
        <v>0</v>
      </c>
      <c r="R58" s="39">
        <v>2</v>
      </c>
      <c r="S58" s="39">
        <v>0</v>
      </c>
      <c r="T58" s="39">
        <v>0</v>
      </c>
      <c r="U58" s="39">
        <v>12</v>
      </c>
      <c r="V58" s="39">
        <v>4</v>
      </c>
      <c r="W58" s="39">
        <v>5</v>
      </c>
      <c r="X58" s="39">
        <v>2</v>
      </c>
      <c r="Y58" s="39" t="s">
        <v>920</v>
      </c>
      <c r="Z58" s="39">
        <v>418250403</v>
      </c>
      <c r="AA58" s="39" t="s">
        <v>1184</v>
      </c>
      <c r="AB58" s="39" t="s">
        <v>1185</v>
      </c>
      <c r="AE58" s="39" t="s">
        <v>923</v>
      </c>
      <c r="AG58" s="39" t="s">
        <v>924</v>
      </c>
      <c r="AI58" s="39">
        <v>57</v>
      </c>
    </row>
    <row r="59" spans="1:35" x14ac:dyDescent="0.3">
      <c r="A59" s="39" t="s">
        <v>1186</v>
      </c>
      <c r="B59" s="39" t="s">
        <v>1187</v>
      </c>
      <c r="C59" s="39" t="s">
        <v>1183</v>
      </c>
      <c r="D59" s="39" t="s">
        <v>938</v>
      </c>
      <c r="E59" s="39" t="s">
        <v>928</v>
      </c>
      <c r="F59" s="39" t="s">
        <v>915</v>
      </c>
      <c r="G59" s="39" t="s">
        <v>916</v>
      </c>
      <c r="H59" s="39" t="s">
        <v>917</v>
      </c>
      <c r="I59" s="39" t="s">
        <v>293</v>
      </c>
      <c r="J59" s="39" t="s">
        <v>918</v>
      </c>
      <c r="K59" s="39" t="s">
        <v>919</v>
      </c>
      <c r="L59" s="39">
        <v>8</v>
      </c>
      <c r="M59" s="39" t="s">
        <v>920</v>
      </c>
      <c r="N59" s="39">
        <v>0</v>
      </c>
      <c r="O59" s="39">
        <v>6</v>
      </c>
      <c r="P59" s="39">
        <v>2</v>
      </c>
      <c r="Q59" s="39">
        <v>0</v>
      </c>
      <c r="R59" s="39">
        <v>1</v>
      </c>
      <c r="S59" s="39">
        <v>0</v>
      </c>
      <c r="T59" s="39">
        <v>0</v>
      </c>
      <c r="U59" s="39">
        <v>9</v>
      </c>
      <c r="V59" s="39">
        <v>2</v>
      </c>
      <c r="W59" s="39">
        <v>1</v>
      </c>
      <c r="X59" s="39">
        <v>0</v>
      </c>
      <c r="Z59" s="39">
        <v>418250409</v>
      </c>
      <c r="AA59" s="39" t="s">
        <v>1188</v>
      </c>
      <c r="AB59" s="39" t="s">
        <v>1189</v>
      </c>
      <c r="AE59" s="39" t="s">
        <v>923</v>
      </c>
      <c r="AG59" s="39" t="s">
        <v>924</v>
      </c>
      <c r="AI59" s="39">
        <v>58</v>
      </c>
    </row>
    <row r="60" spans="1:35" x14ac:dyDescent="0.3">
      <c r="A60" s="39" t="s">
        <v>1190</v>
      </c>
      <c r="B60" s="39" t="s">
        <v>1191</v>
      </c>
      <c r="C60" s="39" t="s">
        <v>1192</v>
      </c>
      <c r="D60" s="39" t="s">
        <v>913</v>
      </c>
      <c r="E60" s="39" t="s">
        <v>914</v>
      </c>
      <c r="F60" s="39" t="s">
        <v>915</v>
      </c>
      <c r="G60" s="39" t="s">
        <v>916</v>
      </c>
      <c r="H60" s="39" t="s">
        <v>917</v>
      </c>
      <c r="I60" s="39" t="s">
        <v>326</v>
      </c>
      <c r="J60" s="39" t="s">
        <v>918</v>
      </c>
      <c r="K60" s="39" t="s">
        <v>943</v>
      </c>
      <c r="L60" s="39">
        <v>7</v>
      </c>
      <c r="M60" s="39" t="s">
        <v>920</v>
      </c>
      <c r="N60" s="39">
        <v>0</v>
      </c>
      <c r="O60" s="39">
        <v>5</v>
      </c>
      <c r="P60" s="39">
        <v>2</v>
      </c>
      <c r="Q60" s="39">
        <v>0</v>
      </c>
      <c r="R60" s="39">
        <v>1</v>
      </c>
      <c r="S60" s="39">
        <v>0</v>
      </c>
      <c r="T60" s="39">
        <v>1</v>
      </c>
      <c r="U60" s="39">
        <v>10</v>
      </c>
      <c r="V60" s="39">
        <v>6</v>
      </c>
      <c r="W60" s="39">
        <v>2</v>
      </c>
      <c r="X60" s="39">
        <v>0</v>
      </c>
      <c r="Z60" s="39">
        <v>418250415</v>
      </c>
      <c r="AA60" s="39" t="s">
        <v>1193</v>
      </c>
      <c r="AB60" s="39" t="s">
        <v>1194</v>
      </c>
      <c r="AE60" s="39" t="s">
        <v>923</v>
      </c>
      <c r="AG60" s="39" t="s">
        <v>924</v>
      </c>
      <c r="AI60" s="39">
        <v>59</v>
      </c>
    </row>
    <row r="61" spans="1:35" x14ac:dyDescent="0.3">
      <c r="A61" s="39" t="s">
        <v>1195</v>
      </c>
      <c r="B61" s="39" t="s">
        <v>1196</v>
      </c>
      <c r="C61" s="39" t="s">
        <v>1192</v>
      </c>
      <c r="D61" s="39" t="s">
        <v>913</v>
      </c>
      <c r="E61" s="39" t="s">
        <v>914</v>
      </c>
      <c r="F61" s="39" t="s">
        <v>915</v>
      </c>
      <c r="G61" s="39" t="s">
        <v>916</v>
      </c>
      <c r="H61" s="39" t="s">
        <v>917</v>
      </c>
      <c r="I61" s="39" t="s">
        <v>314</v>
      </c>
      <c r="J61" s="39" t="s">
        <v>918</v>
      </c>
      <c r="K61" s="39" t="s">
        <v>919</v>
      </c>
      <c r="L61" s="39">
        <v>10</v>
      </c>
      <c r="M61" s="39" t="s">
        <v>920</v>
      </c>
      <c r="N61" s="39">
        <v>1</v>
      </c>
      <c r="O61" s="39">
        <v>6</v>
      </c>
      <c r="P61" s="39">
        <v>3</v>
      </c>
      <c r="Q61" s="39">
        <v>0</v>
      </c>
      <c r="R61" s="39">
        <v>2</v>
      </c>
      <c r="S61" s="39">
        <v>1</v>
      </c>
      <c r="T61" s="39">
        <v>0</v>
      </c>
      <c r="U61" s="39">
        <v>11</v>
      </c>
      <c r="V61" s="39">
        <v>4</v>
      </c>
      <c r="W61" s="39">
        <v>6</v>
      </c>
      <c r="X61" s="39">
        <v>0</v>
      </c>
      <c r="Y61" s="39" t="s">
        <v>920</v>
      </c>
      <c r="Z61" s="39">
        <v>418250423</v>
      </c>
      <c r="AA61" s="39" t="s">
        <v>1197</v>
      </c>
      <c r="AB61" s="39" t="s">
        <v>1198</v>
      </c>
      <c r="AE61" s="39" t="s">
        <v>923</v>
      </c>
      <c r="AG61" s="39" t="s">
        <v>924</v>
      </c>
      <c r="AI61" s="39">
        <v>60</v>
      </c>
    </row>
    <row r="62" spans="1:35" x14ac:dyDescent="0.3">
      <c r="A62" s="39" t="s">
        <v>1199</v>
      </c>
      <c r="B62" s="39" t="s">
        <v>1200</v>
      </c>
      <c r="C62" s="39" t="s">
        <v>1192</v>
      </c>
      <c r="D62" s="39" t="s">
        <v>949</v>
      </c>
      <c r="E62" s="39" t="s">
        <v>950</v>
      </c>
      <c r="F62" s="39" t="s">
        <v>951</v>
      </c>
      <c r="G62" s="39" t="s">
        <v>916</v>
      </c>
      <c r="H62" s="39" t="s">
        <v>917</v>
      </c>
      <c r="I62" s="39" t="s">
        <v>340</v>
      </c>
      <c r="J62" s="39" t="s">
        <v>951</v>
      </c>
      <c r="K62" s="39" t="s">
        <v>943</v>
      </c>
      <c r="L62" s="39">
        <v>3</v>
      </c>
      <c r="M62" s="39" t="s">
        <v>920</v>
      </c>
      <c r="N62" s="39">
        <v>0</v>
      </c>
      <c r="O62" s="39">
        <v>1</v>
      </c>
      <c r="P62" s="39">
        <v>2</v>
      </c>
      <c r="Q62" s="39">
        <v>0</v>
      </c>
      <c r="R62" s="39">
        <v>1</v>
      </c>
      <c r="S62" s="39">
        <v>0</v>
      </c>
      <c r="T62" s="39">
        <v>0</v>
      </c>
      <c r="U62" s="39">
        <v>2</v>
      </c>
      <c r="V62" s="39">
        <v>1</v>
      </c>
      <c r="W62" s="39">
        <v>1</v>
      </c>
      <c r="X62" s="39">
        <v>1</v>
      </c>
      <c r="Z62" s="39">
        <v>418250432</v>
      </c>
      <c r="AA62" s="39" t="s">
        <v>1201</v>
      </c>
      <c r="AB62" s="39" t="s">
        <v>1202</v>
      </c>
      <c r="AE62" s="39" t="s">
        <v>923</v>
      </c>
      <c r="AG62" s="39" t="s">
        <v>924</v>
      </c>
      <c r="AI62" s="39">
        <v>61</v>
      </c>
    </row>
    <row r="63" spans="1:35" x14ac:dyDescent="0.3">
      <c r="A63" s="39" t="s">
        <v>1203</v>
      </c>
      <c r="B63" s="39" t="s">
        <v>1204</v>
      </c>
      <c r="C63" s="39" t="s">
        <v>1192</v>
      </c>
      <c r="D63" s="39" t="s">
        <v>975</v>
      </c>
      <c r="E63" s="39" t="s">
        <v>950</v>
      </c>
      <c r="F63" s="39" t="s">
        <v>951</v>
      </c>
      <c r="G63" s="39" t="s">
        <v>916</v>
      </c>
      <c r="H63" s="39" t="s">
        <v>920</v>
      </c>
      <c r="Z63" s="39">
        <v>418250436</v>
      </c>
      <c r="AA63" s="39" t="s">
        <v>1205</v>
      </c>
      <c r="AB63" s="39" t="s">
        <v>1206</v>
      </c>
      <c r="AE63" s="39" t="s">
        <v>923</v>
      </c>
      <c r="AG63" s="39" t="s">
        <v>924</v>
      </c>
      <c r="AI63" s="39">
        <v>62</v>
      </c>
    </row>
    <row r="64" spans="1:35" x14ac:dyDescent="0.3">
      <c r="A64" s="39" t="s">
        <v>1207</v>
      </c>
      <c r="B64" s="39" t="s">
        <v>1208</v>
      </c>
      <c r="C64" s="39" t="s">
        <v>1192</v>
      </c>
      <c r="D64" s="39" t="s">
        <v>938</v>
      </c>
      <c r="E64" s="39" t="s">
        <v>928</v>
      </c>
      <c r="F64" s="39" t="s">
        <v>915</v>
      </c>
      <c r="G64" s="39" t="s">
        <v>916</v>
      </c>
      <c r="H64" s="39" t="s">
        <v>917</v>
      </c>
      <c r="I64" s="39" t="s">
        <v>387</v>
      </c>
      <c r="J64" s="39" t="s">
        <v>918</v>
      </c>
      <c r="K64" s="39" t="s">
        <v>919</v>
      </c>
      <c r="L64" s="39">
        <v>4</v>
      </c>
      <c r="M64" s="39" t="s">
        <v>920</v>
      </c>
      <c r="N64" s="39">
        <v>0</v>
      </c>
      <c r="O64" s="39">
        <v>2</v>
      </c>
      <c r="P64" s="39">
        <v>2</v>
      </c>
      <c r="Q64" s="39">
        <v>0</v>
      </c>
      <c r="R64" s="39">
        <v>1</v>
      </c>
      <c r="S64" s="39">
        <v>0</v>
      </c>
      <c r="T64" s="39">
        <v>0</v>
      </c>
      <c r="U64" s="39">
        <v>5</v>
      </c>
      <c r="V64" s="39">
        <v>0</v>
      </c>
      <c r="W64" s="39">
        <v>0</v>
      </c>
      <c r="X64" s="39">
        <v>1</v>
      </c>
      <c r="Z64" s="39">
        <v>418250445</v>
      </c>
      <c r="AA64" s="39" t="s">
        <v>1209</v>
      </c>
      <c r="AB64" s="39" t="s">
        <v>1210</v>
      </c>
      <c r="AE64" s="39" t="s">
        <v>923</v>
      </c>
      <c r="AG64" s="39" t="s">
        <v>924</v>
      </c>
      <c r="AI64" s="39">
        <v>63</v>
      </c>
    </row>
    <row r="65" spans="1:35" x14ac:dyDescent="0.3">
      <c r="A65" s="39" t="s">
        <v>1211</v>
      </c>
      <c r="B65" s="39" t="s">
        <v>1212</v>
      </c>
      <c r="C65" s="39" t="s">
        <v>1192</v>
      </c>
      <c r="D65" s="39" t="s">
        <v>949</v>
      </c>
      <c r="E65" s="39" t="s">
        <v>950</v>
      </c>
      <c r="F65" s="39" t="s">
        <v>951</v>
      </c>
      <c r="G65" s="39" t="s">
        <v>916</v>
      </c>
      <c r="H65" s="39" t="s">
        <v>917</v>
      </c>
      <c r="I65" s="39" t="s">
        <v>700</v>
      </c>
      <c r="J65" s="39" t="s">
        <v>951</v>
      </c>
      <c r="K65" s="39" t="s">
        <v>952</v>
      </c>
      <c r="L65" s="39">
        <v>11</v>
      </c>
      <c r="M65" s="39" t="s">
        <v>920</v>
      </c>
      <c r="N65" s="39">
        <v>0</v>
      </c>
      <c r="O65" s="39">
        <v>9</v>
      </c>
      <c r="P65" s="39">
        <v>2</v>
      </c>
      <c r="Q65" s="39">
        <v>0</v>
      </c>
      <c r="R65" s="39">
        <v>2</v>
      </c>
      <c r="S65" s="39">
        <v>0</v>
      </c>
      <c r="T65" s="39">
        <v>0</v>
      </c>
      <c r="U65" s="39">
        <v>14</v>
      </c>
      <c r="V65" s="39">
        <v>8</v>
      </c>
      <c r="W65" s="39">
        <v>6</v>
      </c>
      <c r="X65" s="39">
        <v>2</v>
      </c>
      <c r="Z65" s="39">
        <v>418250450</v>
      </c>
      <c r="AA65" s="39" t="s">
        <v>1213</v>
      </c>
      <c r="AB65" s="39" t="s">
        <v>1214</v>
      </c>
      <c r="AE65" s="39" t="s">
        <v>923</v>
      </c>
      <c r="AG65" s="39" t="s">
        <v>924</v>
      </c>
      <c r="AI65" s="39">
        <v>64</v>
      </c>
    </row>
    <row r="66" spans="1:35" x14ac:dyDescent="0.3">
      <c r="A66" s="39" t="s">
        <v>1215</v>
      </c>
      <c r="B66" s="39" t="s">
        <v>1216</v>
      </c>
      <c r="C66" s="39" t="s">
        <v>1192</v>
      </c>
      <c r="D66" s="39" t="s">
        <v>949</v>
      </c>
      <c r="E66" s="39" t="s">
        <v>950</v>
      </c>
      <c r="F66" s="39" t="s">
        <v>951</v>
      </c>
      <c r="G66" s="39" t="s">
        <v>916</v>
      </c>
      <c r="H66" s="39" t="s">
        <v>917</v>
      </c>
      <c r="I66" s="39" t="s">
        <v>301</v>
      </c>
      <c r="J66" s="39" t="s">
        <v>976</v>
      </c>
      <c r="K66" s="39" t="s">
        <v>919</v>
      </c>
      <c r="L66" s="39">
        <v>8</v>
      </c>
      <c r="M66" s="39" t="s">
        <v>920</v>
      </c>
      <c r="N66" s="39">
        <v>0</v>
      </c>
      <c r="O66" s="39">
        <v>5</v>
      </c>
      <c r="P66" s="39">
        <v>2</v>
      </c>
      <c r="Q66" s="39">
        <v>1</v>
      </c>
      <c r="R66" s="39">
        <v>1</v>
      </c>
      <c r="S66" s="39">
        <v>0</v>
      </c>
      <c r="T66" s="39">
        <v>0</v>
      </c>
      <c r="U66" s="39">
        <v>4</v>
      </c>
      <c r="V66" s="39">
        <v>0</v>
      </c>
      <c r="W66" s="39">
        <v>1</v>
      </c>
      <c r="X66" s="39">
        <v>3</v>
      </c>
      <c r="Z66" s="39">
        <v>418250455</v>
      </c>
      <c r="AA66" s="39" t="s">
        <v>1217</v>
      </c>
      <c r="AB66" s="39" t="s">
        <v>1218</v>
      </c>
      <c r="AE66" s="39" t="s">
        <v>923</v>
      </c>
      <c r="AG66" s="39" t="s">
        <v>924</v>
      </c>
      <c r="AI66" s="39">
        <v>65</v>
      </c>
    </row>
    <row r="67" spans="1:35" x14ac:dyDescent="0.3">
      <c r="A67" s="39" t="s">
        <v>1219</v>
      </c>
      <c r="B67" s="39" t="s">
        <v>1220</v>
      </c>
      <c r="C67" s="39" t="s">
        <v>1192</v>
      </c>
      <c r="D67" s="39" t="s">
        <v>975</v>
      </c>
      <c r="E67" s="39" t="s">
        <v>950</v>
      </c>
      <c r="F67" s="39" t="s">
        <v>951</v>
      </c>
      <c r="G67" s="39" t="s">
        <v>916</v>
      </c>
      <c r="H67" s="39" t="s">
        <v>917</v>
      </c>
      <c r="I67" s="39" t="s">
        <v>303</v>
      </c>
      <c r="J67" s="39" t="s">
        <v>976</v>
      </c>
      <c r="K67" s="39" t="s">
        <v>919</v>
      </c>
      <c r="L67" s="39">
        <v>9</v>
      </c>
      <c r="M67" s="39" t="s">
        <v>920</v>
      </c>
      <c r="N67" s="39">
        <v>1</v>
      </c>
      <c r="O67" s="39">
        <v>6</v>
      </c>
      <c r="P67" s="39">
        <v>2</v>
      </c>
      <c r="Q67" s="39">
        <v>0</v>
      </c>
      <c r="R67" s="39">
        <v>2</v>
      </c>
      <c r="S67" s="39">
        <v>0</v>
      </c>
      <c r="T67" s="39">
        <v>0</v>
      </c>
      <c r="U67" s="39">
        <v>2</v>
      </c>
      <c r="V67" s="39">
        <v>7</v>
      </c>
      <c r="W67" s="39">
        <v>6</v>
      </c>
      <c r="X67" s="39">
        <v>1</v>
      </c>
      <c r="Y67" s="39" t="s">
        <v>917</v>
      </c>
      <c r="Z67" s="39">
        <v>418250466</v>
      </c>
      <c r="AA67" s="39" t="s">
        <v>1221</v>
      </c>
      <c r="AB67" s="39" t="s">
        <v>1222</v>
      </c>
      <c r="AE67" s="39" t="s">
        <v>923</v>
      </c>
      <c r="AG67" s="39" t="s">
        <v>924</v>
      </c>
      <c r="AI67" s="39">
        <v>66</v>
      </c>
    </row>
    <row r="68" spans="1:35" x14ac:dyDescent="0.3">
      <c r="A68" s="39" t="s">
        <v>1223</v>
      </c>
      <c r="B68" s="39" t="s">
        <v>1224</v>
      </c>
      <c r="C68" s="39" t="s">
        <v>1225</v>
      </c>
      <c r="D68" s="39" t="s">
        <v>949</v>
      </c>
      <c r="E68" s="39" t="s">
        <v>950</v>
      </c>
      <c r="F68" s="39" t="s">
        <v>951</v>
      </c>
      <c r="G68" s="39" t="s">
        <v>916</v>
      </c>
      <c r="H68" s="39" t="s">
        <v>917</v>
      </c>
      <c r="I68" s="39" t="s">
        <v>369</v>
      </c>
      <c r="J68" s="39" t="s">
        <v>976</v>
      </c>
      <c r="K68" s="39" t="s">
        <v>943</v>
      </c>
      <c r="L68" s="39">
        <v>8</v>
      </c>
      <c r="M68" s="39" t="s">
        <v>920</v>
      </c>
      <c r="N68" s="39">
        <v>0</v>
      </c>
      <c r="O68" s="39">
        <v>5</v>
      </c>
      <c r="P68" s="39">
        <v>3</v>
      </c>
      <c r="Q68" s="39">
        <v>0</v>
      </c>
      <c r="R68" s="39">
        <v>2</v>
      </c>
      <c r="S68" s="39">
        <v>0</v>
      </c>
      <c r="T68" s="39">
        <v>0</v>
      </c>
      <c r="U68" s="39">
        <v>11</v>
      </c>
      <c r="V68" s="39">
        <v>7</v>
      </c>
      <c r="W68" s="39">
        <v>1</v>
      </c>
      <c r="X68" s="39">
        <v>3</v>
      </c>
      <c r="Z68" s="39">
        <v>418250473</v>
      </c>
      <c r="AA68" s="39" t="s">
        <v>1226</v>
      </c>
      <c r="AB68" s="39" t="s">
        <v>1227</v>
      </c>
      <c r="AE68" s="39" t="s">
        <v>923</v>
      </c>
      <c r="AG68" s="39" t="s">
        <v>924</v>
      </c>
      <c r="AI68" s="39">
        <v>67</v>
      </c>
    </row>
    <row r="69" spans="1:35" x14ac:dyDescent="0.3">
      <c r="A69" s="39" t="s">
        <v>1228</v>
      </c>
      <c r="B69" s="39" t="s">
        <v>1229</v>
      </c>
      <c r="C69" s="39" t="s">
        <v>1225</v>
      </c>
      <c r="D69" s="39" t="s">
        <v>913</v>
      </c>
      <c r="E69" s="39" t="s">
        <v>914</v>
      </c>
      <c r="F69" s="39" t="s">
        <v>915</v>
      </c>
      <c r="G69" s="39" t="s">
        <v>916</v>
      </c>
      <c r="H69" s="39" t="s">
        <v>917</v>
      </c>
      <c r="I69" s="39" t="s">
        <v>373</v>
      </c>
      <c r="J69" s="39" t="s">
        <v>918</v>
      </c>
      <c r="K69" s="39" t="s">
        <v>919</v>
      </c>
      <c r="L69" s="39">
        <v>11</v>
      </c>
      <c r="M69" s="39" t="s">
        <v>920</v>
      </c>
      <c r="N69" s="39">
        <v>2</v>
      </c>
      <c r="O69" s="39">
        <v>7</v>
      </c>
      <c r="P69" s="39">
        <v>2</v>
      </c>
      <c r="Q69" s="39">
        <v>0</v>
      </c>
      <c r="R69" s="39">
        <v>1</v>
      </c>
      <c r="S69" s="39">
        <v>1</v>
      </c>
      <c r="T69" s="39">
        <v>0</v>
      </c>
      <c r="U69" s="39">
        <v>16</v>
      </c>
      <c r="V69" s="39">
        <v>1</v>
      </c>
      <c r="W69" s="39">
        <v>8</v>
      </c>
      <c r="X69" s="39">
        <v>2</v>
      </c>
      <c r="Y69" s="39" t="s">
        <v>920</v>
      </c>
      <c r="Z69" s="39">
        <v>418250481</v>
      </c>
      <c r="AA69" s="39" t="s">
        <v>1230</v>
      </c>
      <c r="AB69" s="39" t="s">
        <v>1231</v>
      </c>
      <c r="AE69" s="39" t="s">
        <v>923</v>
      </c>
      <c r="AG69" s="39" t="s">
        <v>924</v>
      </c>
      <c r="AI69" s="39">
        <v>68</v>
      </c>
    </row>
    <row r="70" spans="1:35" x14ac:dyDescent="0.3">
      <c r="A70" s="39" t="s">
        <v>1232</v>
      </c>
      <c r="B70" s="39" t="s">
        <v>1233</v>
      </c>
      <c r="C70" s="39" t="s">
        <v>1225</v>
      </c>
      <c r="D70" s="39" t="s">
        <v>994</v>
      </c>
      <c r="E70" s="39" t="s">
        <v>995</v>
      </c>
      <c r="F70" s="39" t="s">
        <v>996</v>
      </c>
      <c r="G70" s="39" t="s">
        <v>916</v>
      </c>
      <c r="H70" s="39" t="s">
        <v>917</v>
      </c>
      <c r="I70" s="39" t="s">
        <v>322</v>
      </c>
      <c r="J70" s="39" t="s">
        <v>997</v>
      </c>
      <c r="K70" s="39" t="s">
        <v>919</v>
      </c>
      <c r="L70" s="39">
        <v>5</v>
      </c>
      <c r="M70" s="39" t="s">
        <v>920</v>
      </c>
      <c r="N70" s="39">
        <v>1</v>
      </c>
      <c r="O70" s="39">
        <v>1</v>
      </c>
      <c r="P70" s="39">
        <v>2</v>
      </c>
      <c r="Q70" s="39">
        <v>1</v>
      </c>
      <c r="R70" s="39">
        <v>1</v>
      </c>
      <c r="S70" s="39">
        <v>1</v>
      </c>
      <c r="T70" s="39">
        <v>1</v>
      </c>
      <c r="U70" s="39">
        <v>4</v>
      </c>
      <c r="V70" s="39">
        <v>3</v>
      </c>
      <c r="W70" s="39">
        <v>2</v>
      </c>
      <c r="X70" s="39">
        <v>1</v>
      </c>
      <c r="Y70" s="39" t="s">
        <v>920</v>
      </c>
      <c r="Z70" s="39">
        <v>418250487</v>
      </c>
      <c r="AA70" s="39" t="s">
        <v>1234</v>
      </c>
      <c r="AB70" s="39" t="s">
        <v>1235</v>
      </c>
      <c r="AE70" s="39" t="s">
        <v>923</v>
      </c>
      <c r="AG70" s="39" t="s">
        <v>924</v>
      </c>
      <c r="AI70" s="39">
        <v>69</v>
      </c>
    </row>
    <row r="71" spans="1:35" x14ac:dyDescent="0.3">
      <c r="A71" s="39" t="s">
        <v>1236</v>
      </c>
      <c r="B71" s="39" t="s">
        <v>1237</v>
      </c>
      <c r="C71" s="39" t="s">
        <v>1238</v>
      </c>
      <c r="D71" s="39" t="s">
        <v>927</v>
      </c>
      <c r="E71" s="39" t="s">
        <v>928</v>
      </c>
      <c r="F71" s="39" t="s">
        <v>915</v>
      </c>
      <c r="G71" s="39" t="s">
        <v>916</v>
      </c>
      <c r="H71" s="39" t="s">
        <v>917</v>
      </c>
      <c r="I71" s="39" t="s">
        <v>385</v>
      </c>
      <c r="J71" s="39" t="s">
        <v>918</v>
      </c>
      <c r="K71" s="39" t="s">
        <v>919</v>
      </c>
      <c r="L71" s="39">
        <v>6</v>
      </c>
      <c r="M71" s="39" t="s">
        <v>920</v>
      </c>
      <c r="N71" s="39">
        <v>1</v>
      </c>
      <c r="O71" s="39">
        <v>3</v>
      </c>
      <c r="P71" s="39">
        <v>2</v>
      </c>
      <c r="Q71" s="39">
        <v>0</v>
      </c>
      <c r="R71" s="39">
        <v>1</v>
      </c>
      <c r="S71" s="39">
        <v>1</v>
      </c>
      <c r="T71" s="39">
        <v>1</v>
      </c>
      <c r="U71" s="39">
        <v>5</v>
      </c>
      <c r="V71" s="39">
        <v>0</v>
      </c>
      <c r="W71" s="39">
        <v>4</v>
      </c>
      <c r="X71" s="39">
        <v>1</v>
      </c>
      <c r="Y71" s="39" t="s">
        <v>920</v>
      </c>
      <c r="Z71" s="39">
        <v>418250491</v>
      </c>
      <c r="AA71" s="39" t="s">
        <v>1239</v>
      </c>
      <c r="AB71" s="39" t="s">
        <v>1240</v>
      </c>
      <c r="AE71" s="39" t="s">
        <v>923</v>
      </c>
      <c r="AG71" s="39" t="s">
        <v>924</v>
      </c>
      <c r="AI71" s="39">
        <v>70</v>
      </c>
    </row>
    <row r="72" spans="1:35" x14ac:dyDescent="0.3">
      <c r="A72" s="39" t="s">
        <v>1241</v>
      </c>
      <c r="B72" s="39" t="s">
        <v>1242</v>
      </c>
      <c r="C72" s="39" t="s">
        <v>1238</v>
      </c>
      <c r="D72" s="39" t="s">
        <v>949</v>
      </c>
      <c r="E72" s="39" t="s">
        <v>950</v>
      </c>
      <c r="F72" s="39" t="s">
        <v>951</v>
      </c>
      <c r="G72" s="39" t="s">
        <v>916</v>
      </c>
      <c r="H72" s="39" t="s">
        <v>917</v>
      </c>
      <c r="I72" s="39" t="s">
        <v>424</v>
      </c>
      <c r="J72" s="39" t="s">
        <v>951</v>
      </c>
      <c r="K72" s="39" t="s">
        <v>943</v>
      </c>
      <c r="L72" s="39">
        <v>6</v>
      </c>
      <c r="M72" s="39" t="s">
        <v>920</v>
      </c>
      <c r="N72" s="39">
        <v>0</v>
      </c>
      <c r="O72" s="39">
        <v>3</v>
      </c>
      <c r="P72" s="39">
        <v>3</v>
      </c>
      <c r="Q72" s="39">
        <v>0</v>
      </c>
      <c r="R72" s="39">
        <v>2</v>
      </c>
      <c r="S72" s="39">
        <v>0</v>
      </c>
      <c r="T72" s="39">
        <v>0</v>
      </c>
      <c r="U72" s="39">
        <v>8</v>
      </c>
      <c r="V72" s="39">
        <v>5</v>
      </c>
      <c r="W72" s="39">
        <v>1</v>
      </c>
      <c r="X72" s="39">
        <v>0</v>
      </c>
      <c r="Z72" s="39">
        <v>418250499</v>
      </c>
      <c r="AA72" s="39" t="s">
        <v>1243</v>
      </c>
      <c r="AB72" s="39" t="s">
        <v>1244</v>
      </c>
      <c r="AE72" s="39" t="s">
        <v>923</v>
      </c>
      <c r="AG72" s="39" t="s">
        <v>924</v>
      </c>
      <c r="AI72" s="39">
        <v>71</v>
      </c>
    </row>
    <row r="73" spans="1:35" x14ac:dyDescent="0.3">
      <c r="A73" s="39" t="s">
        <v>1245</v>
      </c>
      <c r="B73" s="39" t="s">
        <v>1246</v>
      </c>
      <c r="C73" s="39" t="s">
        <v>1247</v>
      </c>
      <c r="D73" s="39" t="s">
        <v>975</v>
      </c>
      <c r="E73" s="39" t="s">
        <v>950</v>
      </c>
      <c r="F73" s="39" t="s">
        <v>951</v>
      </c>
      <c r="G73" s="39" t="s">
        <v>916</v>
      </c>
      <c r="H73" s="39" t="s">
        <v>917</v>
      </c>
      <c r="I73" s="39" t="s">
        <v>473</v>
      </c>
      <c r="J73" s="39" t="s">
        <v>951</v>
      </c>
      <c r="K73" s="39" t="s">
        <v>919</v>
      </c>
      <c r="L73" s="39">
        <v>7</v>
      </c>
      <c r="M73" s="39" t="s">
        <v>920</v>
      </c>
      <c r="N73" s="39">
        <v>1</v>
      </c>
      <c r="O73" s="39">
        <v>4</v>
      </c>
      <c r="P73" s="39">
        <v>2</v>
      </c>
      <c r="Q73" s="39">
        <v>0</v>
      </c>
      <c r="R73" s="39">
        <v>2</v>
      </c>
      <c r="S73" s="39">
        <v>1</v>
      </c>
      <c r="T73" s="39">
        <v>0</v>
      </c>
      <c r="U73" s="39">
        <v>8</v>
      </c>
      <c r="V73" s="39">
        <v>6</v>
      </c>
      <c r="W73" s="39">
        <v>5</v>
      </c>
      <c r="X73" s="39">
        <v>1</v>
      </c>
      <c r="Y73" s="39" t="s">
        <v>920</v>
      </c>
      <c r="Z73" s="39">
        <v>418250508</v>
      </c>
      <c r="AA73" s="39" t="s">
        <v>1248</v>
      </c>
      <c r="AB73" s="39" t="s">
        <v>1249</v>
      </c>
      <c r="AE73" s="39" t="s">
        <v>923</v>
      </c>
      <c r="AG73" s="39" t="s">
        <v>924</v>
      </c>
      <c r="AI73" s="39">
        <v>72</v>
      </c>
    </row>
    <row r="74" spans="1:35" x14ac:dyDescent="0.3">
      <c r="A74" s="39" t="s">
        <v>1250</v>
      </c>
      <c r="B74" s="39" t="s">
        <v>1251</v>
      </c>
      <c r="C74" s="39" t="s">
        <v>1247</v>
      </c>
      <c r="D74" s="39" t="s">
        <v>913</v>
      </c>
      <c r="E74" s="39" t="s">
        <v>914</v>
      </c>
      <c r="F74" s="39" t="s">
        <v>915</v>
      </c>
      <c r="G74" s="39" t="s">
        <v>1252</v>
      </c>
      <c r="H74" s="39" t="s">
        <v>917</v>
      </c>
      <c r="I74" s="39" t="s">
        <v>240</v>
      </c>
      <c r="J74" s="39" t="s">
        <v>918</v>
      </c>
      <c r="K74" s="39" t="s">
        <v>919</v>
      </c>
      <c r="L74" s="39">
        <v>8</v>
      </c>
      <c r="M74" s="39" t="s">
        <v>920</v>
      </c>
      <c r="N74" s="39">
        <v>0</v>
      </c>
      <c r="O74" s="39">
        <v>5</v>
      </c>
      <c r="P74" s="39">
        <v>3</v>
      </c>
      <c r="Q74" s="39">
        <v>0</v>
      </c>
      <c r="R74" s="39">
        <v>2</v>
      </c>
      <c r="S74" s="39">
        <v>0</v>
      </c>
      <c r="T74" s="39">
        <v>1</v>
      </c>
      <c r="U74" s="39">
        <v>11</v>
      </c>
      <c r="V74" s="39">
        <v>8</v>
      </c>
      <c r="W74" s="39">
        <v>3</v>
      </c>
      <c r="X74" s="39">
        <v>2</v>
      </c>
      <c r="Z74" s="39">
        <v>418250516</v>
      </c>
      <c r="AA74" s="39" t="s">
        <v>1253</v>
      </c>
      <c r="AB74" s="39" t="s">
        <v>1254</v>
      </c>
      <c r="AE74" s="39" t="s">
        <v>923</v>
      </c>
      <c r="AG74" s="39" t="s">
        <v>924</v>
      </c>
      <c r="AI74" s="39">
        <v>73</v>
      </c>
    </row>
    <row r="75" spans="1:35" x14ac:dyDescent="0.3">
      <c r="A75" s="39" t="s">
        <v>1255</v>
      </c>
      <c r="B75" s="39" t="s">
        <v>1256</v>
      </c>
      <c r="C75" s="39" t="s">
        <v>1247</v>
      </c>
      <c r="D75" s="39" t="s">
        <v>938</v>
      </c>
      <c r="E75" s="39" t="s">
        <v>928</v>
      </c>
      <c r="F75" s="39" t="s">
        <v>915</v>
      </c>
      <c r="G75" s="39" t="s">
        <v>916</v>
      </c>
      <c r="H75" s="39" t="s">
        <v>917</v>
      </c>
      <c r="I75" s="39" t="s">
        <v>359</v>
      </c>
      <c r="J75" s="39" t="s">
        <v>918</v>
      </c>
      <c r="K75" s="39" t="s">
        <v>919</v>
      </c>
      <c r="L75" s="39">
        <v>7</v>
      </c>
      <c r="M75" s="39" t="s">
        <v>920</v>
      </c>
      <c r="N75" s="39">
        <v>1</v>
      </c>
      <c r="O75" s="39">
        <v>3</v>
      </c>
      <c r="P75" s="39">
        <v>2</v>
      </c>
      <c r="Q75" s="39">
        <v>1</v>
      </c>
      <c r="R75" s="39">
        <v>2</v>
      </c>
      <c r="S75" s="39">
        <v>0</v>
      </c>
      <c r="T75" s="39">
        <v>0</v>
      </c>
      <c r="U75" s="39">
        <v>1</v>
      </c>
      <c r="V75" s="39">
        <v>5</v>
      </c>
      <c r="W75" s="39">
        <v>3</v>
      </c>
      <c r="X75" s="39">
        <v>3</v>
      </c>
      <c r="Y75" s="39" t="s">
        <v>920</v>
      </c>
      <c r="Z75" s="39">
        <v>418250518</v>
      </c>
      <c r="AA75" s="39" t="s">
        <v>1257</v>
      </c>
      <c r="AB75" s="39" t="s">
        <v>1258</v>
      </c>
      <c r="AE75" s="39" t="s">
        <v>923</v>
      </c>
      <c r="AG75" s="39" t="s">
        <v>924</v>
      </c>
      <c r="AI75" s="39">
        <v>74</v>
      </c>
    </row>
    <row r="76" spans="1:35" x14ac:dyDescent="0.3">
      <c r="A76" s="39" t="s">
        <v>1259</v>
      </c>
      <c r="B76" s="39" t="s">
        <v>1260</v>
      </c>
      <c r="C76" s="39" t="s">
        <v>1247</v>
      </c>
      <c r="D76" s="39" t="s">
        <v>938</v>
      </c>
      <c r="E76" s="39" t="s">
        <v>928</v>
      </c>
      <c r="F76" s="39" t="s">
        <v>915</v>
      </c>
      <c r="G76" s="39" t="s">
        <v>916</v>
      </c>
      <c r="H76" s="39" t="s">
        <v>917</v>
      </c>
      <c r="I76" s="39" t="s">
        <v>396</v>
      </c>
      <c r="J76" s="39" t="s">
        <v>918</v>
      </c>
      <c r="K76" s="39" t="s">
        <v>919</v>
      </c>
      <c r="L76" s="39">
        <v>5</v>
      </c>
      <c r="M76" s="39" t="s">
        <v>917</v>
      </c>
      <c r="N76" s="39">
        <v>0</v>
      </c>
      <c r="O76" s="39">
        <v>3</v>
      </c>
      <c r="P76" s="39">
        <v>2</v>
      </c>
      <c r="Q76" s="39">
        <v>0</v>
      </c>
      <c r="R76" s="39">
        <v>3</v>
      </c>
      <c r="S76" s="39">
        <v>1</v>
      </c>
      <c r="T76" s="39">
        <v>0</v>
      </c>
      <c r="U76" s="39">
        <v>6</v>
      </c>
      <c r="V76" s="39">
        <v>0</v>
      </c>
      <c r="W76" s="39">
        <v>2</v>
      </c>
      <c r="X76" s="39">
        <v>0</v>
      </c>
      <c r="Z76" s="39">
        <v>418250530</v>
      </c>
      <c r="AA76" s="39" t="s">
        <v>1261</v>
      </c>
      <c r="AB76" s="39" t="s">
        <v>1262</v>
      </c>
      <c r="AE76" s="39" t="s">
        <v>923</v>
      </c>
      <c r="AG76" s="39" t="s">
        <v>924</v>
      </c>
      <c r="AI76" s="39">
        <v>75</v>
      </c>
    </row>
    <row r="77" spans="1:35" x14ac:dyDescent="0.3">
      <c r="A77" s="39" t="s">
        <v>1263</v>
      </c>
      <c r="B77" s="39" t="s">
        <v>1264</v>
      </c>
      <c r="C77" s="39" t="s">
        <v>1247</v>
      </c>
      <c r="D77" s="39" t="s">
        <v>938</v>
      </c>
      <c r="E77" s="39" t="s">
        <v>928</v>
      </c>
      <c r="F77" s="39" t="s">
        <v>915</v>
      </c>
      <c r="G77" s="39" t="s">
        <v>1252</v>
      </c>
      <c r="H77" s="39" t="s">
        <v>917</v>
      </c>
      <c r="I77" s="39" t="s">
        <v>295</v>
      </c>
      <c r="J77" s="39" t="s">
        <v>918</v>
      </c>
      <c r="K77" s="39" t="s">
        <v>919</v>
      </c>
      <c r="L77" s="39">
        <v>7</v>
      </c>
      <c r="M77" s="39" t="s">
        <v>920</v>
      </c>
      <c r="N77" s="39">
        <v>2</v>
      </c>
      <c r="O77" s="39">
        <v>3</v>
      </c>
      <c r="P77" s="39">
        <v>1</v>
      </c>
      <c r="Q77" s="39">
        <v>1</v>
      </c>
      <c r="R77" s="39">
        <v>1</v>
      </c>
      <c r="S77" s="39">
        <v>1</v>
      </c>
      <c r="T77" s="39">
        <v>0</v>
      </c>
      <c r="U77" s="39">
        <v>2</v>
      </c>
      <c r="V77" s="39">
        <v>3</v>
      </c>
      <c r="W77" s="39">
        <v>5</v>
      </c>
      <c r="X77" s="39">
        <v>0</v>
      </c>
      <c r="Y77" s="39" t="s">
        <v>920</v>
      </c>
      <c r="Z77" s="39">
        <v>418250535</v>
      </c>
      <c r="AA77" s="39" t="s">
        <v>1265</v>
      </c>
      <c r="AB77" s="39" t="s">
        <v>1266</v>
      </c>
      <c r="AE77" s="39" t="s">
        <v>923</v>
      </c>
      <c r="AG77" s="39" t="s">
        <v>924</v>
      </c>
      <c r="AI77" s="39">
        <v>76</v>
      </c>
    </row>
    <row r="78" spans="1:35" x14ac:dyDescent="0.3">
      <c r="A78" s="39" t="s">
        <v>1267</v>
      </c>
      <c r="B78" s="39" t="s">
        <v>1268</v>
      </c>
      <c r="C78" s="39" t="s">
        <v>1269</v>
      </c>
      <c r="D78" s="39" t="s">
        <v>938</v>
      </c>
      <c r="E78" s="39" t="s">
        <v>928</v>
      </c>
      <c r="F78" s="39" t="s">
        <v>915</v>
      </c>
      <c r="G78" s="39" t="s">
        <v>1252</v>
      </c>
      <c r="H78" s="39" t="s">
        <v>917</v>
      </c>
      <c r="I78" s="39" t="s">
        <v>180</v>
      </c>
      <c r="J78" s="39" t="s">
        <v>918</v>
      </c>
      <c r="K78" s="39" t="s">
        <v>919</v>
      </c>
      <c r="L78" s="39">
        <v>6</v>
      </c>
      <c r="M78" s="39" t="s">
        <v>920</v>
      </c>
      <c r="N78" s="39">
        <v>1</v>
      </c>
      <c r="O78" s="39">
        <v>3</v>
      </c>
      <c r="P78" s="39">
        <v>2</v>
      </c>
      <c r="Q78" s="39">
        <v>0</v>
      </c>
      <c r="R78" s="39">
        <v>1</v>
      </c>
      <c r="S78" s="39">
        <v>1</v>
      </c>
      <c r="T78" s="39">
        <v>0</v>
      </c>
      <c r="U78" s="39">
        <v>4</v>
      </c>
      <c r="V78" s="39">
        <v>3</v>
      </c>
      <c r="W78" s="39">
        <v>4</v>
      </c>
      <c r="X78" s="39">
        <v>0</v>
      </c>
      <c r="Y78" s="39" t="s">
        <v>917</v>
      </c>
      <c r="Z78" s="39">
        <v>418250544</v>
      </c>
      <c r="AA78" s="39" t="s">
        <v>1270</v>
      </c>
      <c r="AB78" s="39" t="s">
        <v>1271</v>
      </c>
      <c r="AE78" s="39" t="s">
        <v>923</v>
      </c>
      <c r="AG78" s="39" t="s">
        <v>924</v>
      </c>
      <c r="AI78" s="39">
        <v>77</v>
      </c>
    </row>
    <row r="79" spans="1:35" x14ac:dyDescent="0.3">
      <c r="A79" s="39" t="s">
        <v>1272</v>
      </c>
      <c r="B79" s="39" t="s">
        <v>1273</v>
      </c>
      <c r="C79" s="39" t="s">
        <v>1269</v>
      </c>
      <c r="D79" s="39" t="s">
        <v>994</v>
      </c>
      <c r="E79" s="39" t="s">
        <v>995</v>
      </c>
      <c r="F79" s="39" t="s">
        <v>996</v>
      </c>
      <c r="G79" s="39" t="s">
        <v>916</v>
      </c>
      <c r="H79" s="39" t="s">
        <v>917</v>
      </c>
      <c r="I79" s="39" t="s">
        <v>460</v>
      </c>
      <c r="J79" s="39" t="s">
        <v>997</v>
      </c>
      <c r="K79" s="39" t="s">
        <v>943</v>
      </c>
      <c r="L79" s="39">
        <v>7</v>
      </c>
      <c r="M79" s="39" t="s">
        <v>917</v>
      </c>
      <c r="N79" s="39">
        <v>0</v>
      </c>
      <c r="O79" s="39">
        <v>6</v>
      </c>
      <c r="P79" s="39">
        <v>1</v>
      </c>
      <c r="Q79" s="39">
        <v>0</v>
      </c>
      <c r="R79" s="39">
        <v>2</v>
      </c>
      <c r="S79" s="39">
        <v>0</v>
      </c>
      <c r="T79" s="39">
        <v>0</v>
      </c>
      <c r="U79" s="39">
        <v>10</v>
      </c>
      <c r="V79" s="39">
        <v>1</v>
      </c>
      <c r="W79" s="39">
        <v>4</v>
      </c>
      <c r="X79" s="39">
        <v>0</v>
      </c>
      <c r="Z79" s="39">
        <v>418250548</v>
      </c>
      <c r="AA79" s="39" t="s">
        <v>1274</v>
      </c>
      <c r="AB79" s="39" t="s">
        <v>1275</v>
      </c>
      <c r="AE79" s="39" t="s">
        <v>923</v>
      </c>
      <c r="AG79" s="39" t="s">
        <v>924</v>
      </c>
      <c r="AI79" s="39">
        <v>78</v>
      </c>
    </row>
    <row r="80" spans="1:35" x14ac:dyDescent="0.3">
      <c r="A80" s="39" t="s">
        <v>1276</v>
      </c>
      <c r="B80" s="39" t="s">
        <v>1277</v>
      </c>
      <c r="C80" s="39" t="s">
        <v>1269</v>
      </c>
      <c r="D80" s="39" t="s">
        <v>927</v>
      </c>
      <c r="E80" s="39" t="s">
        <v>928</v>
      </c>
      <c r="F80" s="39" t="s">
        <v>915</v>
      </c>
      <c r="G80" s="39" t="s">
        <v>916</v>
      </c>
      <c r="H80" s="39" t="s">
        <v>917</v>
      </c>
      <c r="I80" s="39" t="s">
        <v>333</v>
      </c>
      <c r="J80" s="39" t="s">
        <v>918</v>
      </c>
      <c r="K80" s="39" t="s">
        <v>943</v>
      </c>
      <c r="L80" s="39">
        <v>8</v>
      </c>
      <c r="M80" s="39" t="s">
        <v>920</v>
      </c>
      <c r="N80" s="39">
        <v>0</v>
      </c>
      <c r="O80" s="39">
        <v>6</v>
      </c>
      <c r="P80" s="39">
        <v>2</v>
      </c>
      <c r="Q80" s="39">
        <v>0</v>
      </c>
      <c r="R80" s="39">
        <v>1</v>
      </c>
      <c r="S80" s="39">
        <v>0</v>
      </c>
      <c r="T80" s="39">
        <v>0</v>
      </c>
      <c r="U80" s="39">
        <v>6</v>
      </c>
      <c r="V80" s="39">
        <v>3</v>
      </c>
      <c r="W80" s="39">
        <v>6</v>
      </c>
      <c r="X80" s="39">
        <v>1</v>
      </c>
      <c r="Z80" s="39">
        <v>418250556</v>
      </c>
      <c r="AA80" s="39" t="s">
        <v>1278</v>
      </c>
      <c r="AB80" s="39" t="s">
        <v>1279</v>
      </c>
      <c r="AE80" s="39" t="s">
        <v>923</v>
      </c>
      <c r="AG80" s="39" t="s">
        <v>924</v>
      </c>
      <c r="AI80" s="39">
        <v>79</v>
      </c>
    </row>
    <row r="81" spans="1:35" x14ac:dyDescent="0.3">
      <c r="A81" s="39" t="s">
        <v>1280</v>
      </c>
      <c r="B81" s="39" t="s">
        <v>1281</v>
      </c>
      <c r="C81" s="39" t="s">
        <v>1282</v>
      </c>
      <c r="D81" s="39" t="s">
        <v>913</v>
      </c>
      <c r="E81" s="39" t="s">
        <v>914</v>
      </c>
      <c r="F81" s="39" t="s">
        <v>915</v>
      </c>
      <c r="G81" s="39" t="s">
        <v>916</v>
      </c>
      <c r="H81" s="39" t="s">
        <v>917</v>
      </c>
      <c r="I81" s="39" t="s">
        <v>399</v>
      </c>
      <c r="J81" s="39" t="s">
        <v>918</v>
      </c>
      <c r="K81" s="39" t="s">
        <v>919</v>
      </c>
      <c r="L81" s="39">
        <v>5</v>
      </c>
      <c r="M81" s="39" t="s">
        <v>920</v>
      </c>
      <c r="N81" s="39">
        <v>1</v>
      </c>
      <c r="O81" s="39">
        <v>2</v>
      </c>
      <c r="P81" s="39">
        <v>2</v>
      </c>
      <c r="Q81" s="39">
        <v>0</v>
      </c>
      <c r="R81" s="39">
        <v>2</v>
      </c>
      <c r="S81" s="39">
        <v>1</v>
      </c>
      <c r="T81" s="39">
        <v>0</v>
      </c>
      <c r="U81" s="39">
        <v>5</v>
      </c>
      <c r="V81" s="39">
        <v>4</v>
      </c>
      <c r="W81" s="39">
        <v>2</v>
      </c>
      <c r="X81" s="39">
        <v>1</v>
      </c>
      <c r="Y81" s="39" t="s">
        <v>920</v>
      </c>
      <c r="Z81" s="39">
        <v>418250560</v>
      </c>
      <c r="AA81" s="39" t="s">
        <v>1283</v>
      </c>
      <c r="AB81" s="39" t="s">
        <v>1284</v>
      </c>
      <c r="AE81" s="39" t="s">
        <v>923</v>
      </c>
      <c r="AG81" s="39" t="s">
        <v>924</v>
      </c>
      <c r="AI81" s="39">
        <v>80</v>
      </c>
    </row>
    <row r="82" spans="1:35" x14ac:dyDescent="0.3">
      <c r="A82" s="39" t="s">
        <v>1285</v>
      </c>
      <c r="B82" s="39" t="s">
        <v>1286</v>
      </c>
      <c r="C82" s="39" t="s">
        <v>1282</v>
      </c>
      <c r="D82" s="39" t="s">
        <v>975</v>
      </c>
      <c r="E82" s="39" t="s">
        <v>950</v>
      </c>
      <c r="F82" s="39" t="s">
        <v>951</v>
      </c>
      <c r="G82" s="39" t="s">
        <v>916</v>
      </c>
      <c r="H82" s="39" t="s">
        <v>917</v>
      </c>
      <c r="I82" s="39" t="s">
        <v>405</v>
      </c>
      <c r="J82" s="39" t="s">
        <v>951</v>
      </c>
      <c r="K82" s="39" t="s">
        <v>919</v>
      </c>
      <c r="L82" s="39">
        <v>8</v>
      </c>
      <c r="M82" s="39" t="s">
        <v>920</v>
      </c>
      <c r="N82" s="39">
        <v>0</v>
      </c>
      <c r="O82" s="39">
        <v>5</v>
      </c>
      <c r="P82" s="39">
        <v>2</v>
      </c>
      <c r="Q82" s="39">
        <v>1</v>
      </c>
      <c r="R82" s="39">
        <v>2</v>
      </c>
      <c r="S82" s="39">
        <v>0</v>
      </c>
      <c r="T82" s="39">
        <v>0</v>
      </c>
      <c r="U82" s="39">
        <v>4</v>
      </c>
      <c r="V82" s="39">
        <v>2</v>
      </c>
      <c r="W82" s="39">
        <v>5</v>
      </c>
      <c r="X82" s="39">
        <v>1</v>
      </c>
      <c r="Z82" s="39">
        <v>418250570</v>
      </c>
      <c r="AA82" s="39" t="s">
        <v>1287</v>
      </c>
      <c r="AB82" s="39" t="s">
        <v>1288</v>
      </c>
      <c r="AE82" s="39" t="s">
        <v>923</v>
      </c>
      <c r="AG82" s="39" t="s">
        <v>924</v>
      </c>
      <c r="AI82" s="39">
        <v>81</v>
      </c>
    </row>
    <row r="83" spans="1:35" x14ac:dyDescent="0.3">
      <c r="A83" s="39" t="s">
        <v>1289</v>
      </c>
      <c r="B83" s="39" t="s">
        <v>1290</v>
      </c>
      <c r="C83" s="39" t="s">
        <v>1282</v>
      </c>
      <c r="D83" s="39" t="s">
        <v>994</v>
      </c>
      <c r="E83" s="39" t="s">
        <v>995</v>
      </c>
      <c r="F83" s="39" t="s">
        <v>996</v>
      </c>
      <c r="G83" s="39" t="s">
        <v>1252</v>
      </c>
      <c r="H83" s="39" t="s">
        <v>917</v>
      </c>
      <c r="I83" s="39" t="s">
        <v>276</v>
      </c>
      <c r="J83" s="39" t="s">
        <v>997</v>
      </c>
      <c r="K83" s="39" t="s">
        <v>919</v>
      </c>
      <c r="L83" s="39">
        <v>5</v>
      </c>
      <c r="M83" s="39" t="s">
        <v>920</v>
      </c>
      <c r="N83" s="39">
        <v>0</v>
      </c>
      <c r="O83" s="39">
        <v>2</v>
      </c>
      <c r="P83" s="39">
        <v>3</v>
      </c>
      <c r="Q83" s="39">
        <v>0</v>
      </c>
      <c r="R83" s="39">
        <v>2</v>
      </c>
      <c r="S83" s="39">
        <v>0</v>
      </c>
      <c r="T83" s="39">
        <v>0</v>
      </c>
      <c r="U83" s="39">
        <v>0</v>
      </c>
      <c r="V83" s="39">
        <v>5</v>
      </c>
      <c r="W83" s="39">
        <v>0</v>
      </c>
      <c r="X83" s="39">
        <v>0</v>
      </c>
      <c r="Z83" s="39">
        <v>418250574</v>
      </c>
      <c r="AA83" s="39" t="s">
        <v>1291</v>
      </c>
      <c r="AB83" s="39" t="s">
        <v>1292</v>
      </c>
      <c r="AE83" s="39" t="s">
        <v>923</v>
      </c>
      <c r="AG83" s="39" t="s">
        <v>924</v>
      </c>
      <c r="AI83" s="39">
        <v>82</v>
      </c>
    </row>
    <row r="84" spans="1:35" x14ac:dyDescent="0.3">
      <c r="A84" s="39" t="s">
        <v>1293</v>
      </c>
      <c r="B84" s="39" t="s">
        <v>1294</v>
      </c>
      <c r="C84" s="39" t="s">
        <v>1282</v>
      </c>
      <c r="D84" s="39" t="s">
        <v>949</v>
      </c>
      <c r="E84" s="39" t="s">
        <v>950</v>
      </c>
      <c r="F84" s="39" t="s">
        <v>951</v>
      </c>
      <c r="G84" s="39" t="s">
        <v>1252</v>
      </c>
      <c r="H84" s="39" t="s">
        <v>917</v>
      </c>
      <c r="I84" s="39" t="s">
        <v>225</v>
      </c>
      <c r="J84" s="39" t="s">
        <v>951</v>
      </c>
      <c r="K84" s="39" t="s">
        <v>943</v>
      </c>
      <c r="L84" s="39">
        <v>8</v>
      </c>
      <c r="M84" s="39" t="s">
        <v>920</v>
      </c>
      <c r="N84" s="39">
        <v>0</v>
      </c>
      <c r="O84" s="39">
        <v>6</v>
      </c>
      <c r="P84" s="39">
        <v>2</v>
      </c>
      <c r="Q84" s="39">
        <v>0</v>
      </c>
      <c r="R84" s="39">
        <v>1</v>
      </c>
      <c r="S84" s="39">
        <v>0</v>
      </c>
      <c r="T84" s="39">
        <v>1</v>
      </c>
      <c r="U84" s="39">
        <v>2</v>
      </c>
      <c r="V84" s="39">
        <v>5</v>
      </c>
      <c r="W84" s="39">
        <v>1</v>
      </c>
      <c r="X84" s="39">
        <v>1</v>
      </c>
      <c r="Z84" s="39">
        <v>418250585</v>
      </c>
      <c r="AA84" s="39" t="s">
        <v>1295</v>
      </c>
      <c r="AB84" s="39" t="s">
        <v>1296</v>
      </c>
      <c r="AE84" s="39" t="s">
        <v>923</v>
      </c>
      <c r="AG84" s="39" t="s">
        <v>924</v>
      </c>
      <c r="AI84" s="39">
        <v>83</v>
      </c>
    </row>
    <row r="85" spans="1:35" x14ac:dyDescent="0.3">
      <c r="A85" s="39" t="s">
        <v>1297</v>
      </c>
      <c r="B85" s="39" t="s">
        <v>1298</v>
      </c>
      <c r="C85" s="39" t="s">
        <v>1282</v>
      </c>
      <c r="D85" s="39" t="s">
        <v>913</v>
      </c>
      <c r="E85" s="39" t="s">
        <v>914</v>
      </c>
      <c r="F85" s="39" t="s">
        <v>915</v>
      </c>
      <c r="G85" s="39" t="s">
        <v>916</v>
      </c>
      <c r="H85" s="39" t="s">
        <v>917</v>
      </c>
      <c r="I85" s="39" t="s">
        <v>363</v>
      </c>
      <c r="J85" s="39" t="s">
        <v>918</v>
      </c>
      <c r="K85" s="39" t="s">
        <v>919</v>
      </c>
      <c r="L85" s="39">
        <v>8</v>
      </c>
      <c r="M85" s="39" t="s">
        <v>920</v>
      </c>
      <c r="N85" s="39">
        <v>0</v>
      </c>
      <c r="O85" s="39">
        <v>4</v>
      </c>
      <c r="P85" s="39">
        <v>3</v>
      </c>
      <c r="Q85" s="39">
        <v>1</v>
      </c>
      <c r="R85" s="39">
        <v>2</v>
      </c>
      <c r="S85" s="39">
        <v>0</v>
      </c>
      <c r="T85" s="39">
        <v>1</v>
      </c>
      <c r="U85" s="39">
        <v>6</v>
      </c>
      <c r="V85" s="39">
        <v>4</v>
      </c>
      <c r="W85" s="39">
        <v>3</v>
      </c>
      <c r="X85" s="39">
        <v>0</v>
      </c>
      <c r="Z85" s="39">
        <v>418250593</v>
      </c>
      <c r="AA85" s="39" t="s">
        <v>1299</v>
      </c>
      <c r="AB85" s="39" t="s">
        <v>1300</v>
      </c>
      <c r="AE85" s="39" t="s">
        <v>923</v>
      </c>
      <c r="AG85" s="39" t="s">
        <v>924</v>
      </c>
      <c r="AI85" s="39">
        <v>84</v>
      </c>
    </row>
    <row r="86" spans="1:35" x14ac:dyDescent="0.3">
      <c r="A86" s="39" t="s">
        <v>1301</v>
      </c>
      <c r="B86" s="39" t="s">
        <v>1302</v>
      </c>
      <c r="C86" s="39" t="s">
        <v>1303</v>
      </c>
      <c r="D86" s="39" t="s">
        <v>938</v>
      </c>
      <c r="E86" s="39" t="s">
        <v>928</v>
      </c>
      <c r="F86" s="39" t="s">
        <v>915</v>
      </c>
      <c r="G86" s="39" t="s">
        <v>916</v>
      </c>
      <c r="H86" s="39" t="s">
        <v>917</v>
      </c>
      <c r="I86" s="39" t="s">
        <v>434</v>
      </c>
      <c r="J86" s="39" t="s">
        <v>918</v>
      </c>
      <c r="K86" s="39" t="s">
        <v>919</v>
      </c>
      <c r="L86" s="39">
        <v>10</v>
      </c>
      <c r="M86" s="39" t="s">
        <v>920</v>
      </c>
      <c r="N86" s="39">
        <v>1</v>
      </c>
      <c r="O86" s="39">
        <v>7</v>
      </c>
      <c r="P86" s="39">
        <v>2</v>
      </c>
      <c r="Q86" s="39">
        <v>0</v>
      </c>
      <c r="R86" s="39">
        <v>2</v>
      </c>
      <c r="S86" s="39">
        <v>1</v>
      </c>
      <c r="T86" s="39">
        <v>0</v>
      </c>
      <c r="U86" s="39">
        <v>2</v>
      </c>
      <c r="V86" s="39">
        <v>7</v>
      </c>
      <c r="W86" s="39">
        <v>4</v>
      </c>
      <c r="X86" s="39">
        <v>1</v>
      </c>
      <c r="Y86" s="39" t="s">
        <v>920</v>
      </c>
      <c r="Z86" s="39">
        <v>418250599</v>
      </c>
      <c r="AA86" s="39" t="s">
        <v>1304</v>
      </c>
      <c r="AB86" s="39" t="s">
        <v>1305</v>
      </c>
      <c r="AE86" s="39" t="s">
        <v>923</v>
      </c>
      <c r="AG86" s="39" t="s">
        <v>924</v>
      </c>
      <c r="AI86" s="39">
        <v>85</v>
      </c>
    </row>
    <row r="87" spans="1:35" x14ac:dyDescent="0.3">
      <c r="A87" s="39" t="s">
        <v>1306</v>
      </c>
      <c r="B87" s="39" t="s">
        <v>1307</v>
      </c>
      <c r="C87" s="39" t="s">
        <v>1303</v>
      </c>
      <c r="D87" s="39" t="s">
        <v>975</v>
      </c>
      <c r="E87" s="39" t="s">
        <v>950</v>
      </c>
      <c r="F87" s="39" t="s">
        <v>951</v>
      </c>
      <c r="G87" s="39" t="s">
        <v>916</v>
      </c>
      <c r="H87" s="39" t="s">
        <v>917</v>
      </c>
      <c r="I87" s="39" t="s">
        <v>407</v>
      </c>
      <c r="J87" s="39" t="s">
        <v>951</v>
      </c>
      <c r="K87" s="39" t="s">
        <v>943</v>
      </c>
      <c r="L87" s="39">
        <v>7</v>
      </c>
      <c r="M87" s="39" t="s">
        <v>920</v>
      </c>
      <c r="N87" s="39">
        <v>2</v>
      </c>
      <c r="O87" s="39">
        <v>3</v>
      </c>
      <c r="P87" s="39">
        <v>2</v>
      </c>
      <c r="Q87" s="39">
        <v>0</v>
      </c>
      <c r="R87" s="39">
        <v>2</v>
      </c>
      <c r="S87" s="39">
        <v>0</v>
      </c>
      <c r="T87" s="39">
        <v>0</v>
      </c>
      <c r="U87" s="39">
        <v>8</v>
      </c>
      <c r="V87" s="39">
        <v>0</v>
      </c>
      <c r="W87" s="39">
        <v>5</v>
      </c>
      <c r="X87" s="39">
        <v>2</v>
      </c>
      <c r="Y87" s="39" t="s">
        <v>920</v>
      </c>
      <c r="Z87" s="39">
        <v>418250602</v>
      </c>
      <c r="AA87" s="39" t="s">
        <v>1308</v>
      </c>
      <c r="AB87" s="39" t="s">
        <v>1309</v>
      </c>
      <c r="AE87" s="39" t="s">
        <v>923</v>
      </c>
      <c r="AG87" s="39" t="s">
        <v>924</v>
      </c>
      <c r="AI87" s="39">
        <v>86</v>
      </c>
    </row>
    <row r="88" spans="1:35" x14ac:dyDescent="0.3">
      <c r="A88" s="39" t="s">
        <v>1310</v>
      </c>
      <c r="B88" s="39" t="s">
        <v>1311</v>
      </c>
      <c r="C88" s="39" t="s">
        <v>1303</v>
      </c>
      <c r="D88" s="39" t="s">
        <v>975</v>
      </c>
      <c r="E88" s="39" t="s">
        <v>950</v>
      </c>
      <c r="F88" s="39" t="s">
        <v>951</v>
      </c>
      <c r="G88" s="39" t="s">
        <v>916</v>
      </c>
      <c r="H88" s="39" t="s">
        <v>917</v>
      </c>
      <c r="I88" s="39" t="s">
        <v>378</v>
      </c>
      <c r="J88" s="39" t="s">
        <v>976</v>
      </c>
      <c r="K88" s="39" t="s">
        <v>943</v>
      </c>
      <c r="L88" s="39">
        <v>11</v>
      </c>
      <c r="M88" s="39" t="s">
        <v>920</v>
      </c>
      <c r="N88" s="39">
        <v>2</v>
      </c>
      <c r="O88" s="39">
        <v>5</v>
      </c>
      <c r="P88" s="39">
        <v>2</v>
      </c>
      <c r="Q88" s="39">
        <v>2</v>
      </c>
      <c r="R88" s="39">
        <v>1</v>
      </c>
      <c r="S88" s="39">
        <v>0</v>
      </c>
      <c r="T88" s="39">
        <v>1</v>
      </c>
      <c r="U88" s="39">
        <v>13</v>
      </c>
      <c r="V88" s="39">
        <v>2</v>
      </c>
      <c r="W88" s="39">
        <v>5</v>
      </c>
      <c r="X88" s="39">
        <v>1</v>
      </c>
      <c r="Y88" s="39" t="s">
        <v>920</v>
      </c>
      <c r="Z88" s="39">
        <v>418250611</v>
      </c>
      <c r="AA88" s="39" t="s">
        <v>1312</v>
      </c>
      <c r="AB88" s="39" t="s">
        <v>1313</v>
      </c>
      <c r="AE88" s="39" t="s">
        <v>923</v>
      </c>
      <c r="AG88" s="39" t="s">
        <v>924</v>
      </c>
      <c r="AI88" s="39">
        <v>87</v>
      </c>
    </row>
    <row r="89" spans="1:35" x14ac:dyDescent="0.3">
      <c r="A89" s="39" t="s">
        <v>1314</v>
      </c>
      <c r="B89" s="39" t="s">
        <v>1315</v>
      </c>
      <c r="C89" s="39" t="s">
        <v>1303</v>
      </c>
      <c r="D89" s="39" t="s">
        <v>913</v>
      </c>
      <c r="E89" s="39" t="s">
        <v>914</v>
      </c>
      <c r="F89" s="39" t="s">
        <v>915</v>
      </c>
      <c r="G89" s="39" t="s">
        <v>916</v>
      </c>
      <c r="H89" s="39" t="s">
        <v>917</v>
      </c>
      <c r="I89" s="39" t="s">
        <v>452</v>
      </c>
      <c r="J89" s="39" t="s">
        <v>918</v>
      </c>
      <c r="K89" s="39" t="s">
        <v>919</v>
      </c>
      <c r="L89" s="39">
        <v>6</v>
      </c>
      <c r="M89" s="39" t="s">
        <v>920</v>
      </c>
      <c r="N89" s="39">
        <v>0</v>
      </c>
      <c r="O89" s="39">
        <v>3</v>
      </c>
      <c r="P89" s="39">
        <v>2</v>
      </c>
      <c r="Q89" s="39">
        <v>1</v>
      </c>
      <c r="R89" s="39">
        <v>1</v>
      </c>
      <c r="S89" s="39">
        <v>1</v>
      </c>
      <c r="T89" s="39">
        <v>1</v>
      </c>
      <c r="U89" s="39">
        <v>8</v>
      </c>
      <c r="V89" s="39">
        <v>5</v>
      </c>
      <c r="W89" s="39">
        <v>0</v>
      </c>
      <c r="X89" s="39">
        <v>0</v>
      </c>
      <c r="Z89" s="39">
        <v>418250618</v>
      </c>
      <c r="AA89" s="39" t="s">
        <v>1316</v>
      </c>
      <c r="AB89" s="39" t="s">
        <v>1317</v>
      </c>
      <c r="AE89" s="39" t="s">
        <v>923</v>
      </c>
      <c r="AG89" s="39" t="s">
        <v>924</v>
      </c>
      <c r="AI89" s="39">
        <v>88</v>
      </c>
    </row>
    <row r="90" spans="1:35" x14ac:dyDescent="0.3">
      <c r="A90" s="39" t="s">
        <v>1318</v>
      </c>
      <c r="B90" s="39" t="s">
        <v>1319</v>
      </c>
      <c r="C90" s="39" t="s">
        <v>1320</v>
      </c>
      <c r="D90" s="39" t="s">
        <v>938</v>
      </c>
      <c r="E90" s="39" t="s">
        <v>928</v>
      </c>
      <c r="F90" s="39" t="s">
        <v>915</v>
      </c>
      <c r="G90" s="39" t="s">
        <v>1252</v>
      </c>
      <c r="H90" s="39" t="s">
        <v>917</v>
      </c>
      <c r="I90" s="39" t="s">
        <v>213</v>
      </c>
      <c r="J90" s="39" t="s">
        <v>918</v>
      </c>
      <c r="K90" s="39" t="s">
        <v>919</v>
      </c>
      <c r="L90" s="39">
        <v>3</v>
      </c>
      <c r="M90" s="39" t="s">
        <v>920</v>
      </c>
      <c r="N90" s="39">
        <v>0</v>
      </c>
      <c r="O90" s="39">
        <v>0</v>
      </c>
      <c r="P90" s="39">
        <v>2</v>
      </c>
      <c r="Q90" s="39">
        <v>1</v>
      </c>
      <c r="R90" s="39">
        <v>1</v>
      </c>
      <c r="S90" s="39">
        <v>0</v>
      </c>
      <c r="T90" s="39">
        <v>1</v>
      </c>
      <c r="U90" s="39">
        <v>4</v>
      </c>
      <c r="V90" s="39">
        <v>2</v>
      </c>
      <c r="X90" s="39">
        <v>0</v>
      </c>
      <c r="Z90" s="39">
        <v>418250626</v>
      </c>
      <c r="AA90" s="39" t="s">
        <v>1321</v>
      </c>
      <c r="AB90" s="39" t="s">
        <v>1322</v>
      </c>
      <c r="AE90" s="39" t="s">
        <v>923</v>
      </c>
      <c r="AG90" s="39" t="s">
        <v>924</v>
      </c>
      <c r="AI90" s="39">
        <v>89</v>
      </c>
    </row>
    <row r="91" spans="1:35" x14ac:dyDescent="0.3">
      <c r="A91" s="39" t="s">
        <v>1323</v>
      </c>
      <c r="B91" s="39" t="s">
        <v>1324</v>
      </c>
      <c r="C91" s="39" t="s">
        <v>1320</v>
      </c>
      <c r="D91" s="39" t="s">
        <v>913</v>
      </c>
      <c r="E91" s="39" t="s">
        <v>914</v>
      </c>
      <c r="F91" s="39" t="s">
        <v>915</v>
      </c>
      <c r="G91" s="39" t="s">
        <v>1252</v>
      </c>
      <c r="H91" s="39" t="s">
        <v>917</v>
      </c>
      <c r="I91" s="39" t="s">
        <v>199</v>
      </c>
      <c r="J91" s="39" t="s">
        <v>918</v>
      </c>
      <c r="K91" s="39" t="s">
        <v>919</v>
      </c>
      <c r="L91" s="39">
        <v>3</v>
      </c>
      <c r="M91" s="39" t="s">
        <v>920</v>
      </c>
      <c r="N91" s="39">
        <v>1</v>
      </c>
      <c r="O91" s="39">
        <v>0</v>
      </c>
      <c r="P91" s="39">
        <v>2</v>
      </c>
      <c r="Q91" s="39">
        <v>0</v>
      </c>
      <c r="R91" s="39">
        <v>1</v>
      </c>
      <c r="S91" s="39">
        <v>1</v>
      </c>
      <c r="T91" s="39">
        <v>1</v>
      </c>
      <c r="U91" s="39">
        <v>1</v>
      </c>
      <c r="V91" s="39">
        <v>3</v>
      </c>
      <c r="W91" s="39">
        <v>0</v>
      </c>
      <c r="X91" s="39">
        <v>0</v>
      </c>
      <c r="Y91" s="39" t="s">
        <v>920</v>
      </c>
      <c r="Z91" s="39">
        <v>418250630</v>
      </c>
      <c r="AA91" s="39" t="s">
        <v>1325</v>
      </c>
      <c r="AB91" s="39" t="s">
        <v>1326</v>
      </c>
      <c r="AE91" s="39" t="s">
        <v>923</v>
      </c>
      <c r="AG91" s="39" t="s">
        <v>924</v>
      </c>
      <c r="AI91" s="39">
        <v>90</v>
      </c>
    </row>
    <row r="92" spans="1:35" x14ac:dyDescent="0.3">
      <c r="A92" s="39" t="s">
        <v>1327</v>
      </c>
      <c r="B92" s="39" t="s">
        <v>1328</v>
      </c>
      <c r="C92" s="39" t="s">
        <v>1320</v>
      </c>
      <c r="D92" s="39" t="s">
        <v>949</v>
      </c>
      <c r="E92" s="39" t="s">
        <v>950</v>
      </c>
      <c r="F92" s="39" t="s">
        <v>951</v>
      </c>
      <c r="G92" s="39" t="s">
        <v>1252</v>
      </c>
      <c r="H92" s="39" t="s">
        <v>917</v>
      </c>
      <c r="I92" s="39" t="s">
        <v>201</v>
      </c>
      <c r="J92" s="39" t="s">
        <v>976</v>
      </c>
      <c r="K92" s="39" t="s">
        <v>952</v>
      </c>
      <c r="L92" s="39">
        <v>5</v>
      </c>
      <c r="M92" s="39" t="s">
        <v>920</v>
      </c>
      <c r="N92" s="39">
        <v>1</v>
      </c>
      <c r="O92" s="39">
        <v>2</v>
      </c>
      <c r="P92" s="39">
        <v>2</v>
      </c>
      <c r="Q92" s="39">
        <v>0</v>
      </c>
      <c r="R92" s="39">
        <v>1</v>
      </c>
      <c r="S92" s="39">
        <v>1</v>
      </c>
      <c r="T92" s="39">
        <v>1</v>
      </c>
      <c r="U92" s="39">
        <v>8</v>
      </c>
      <c r="V92" s="39">
        <v>5</v>
      </c>
      <c r="W92" s="39">
        <v>0</v>
      </c>
      <c r="X92" s="39">
        <v>0</v>
      </c>
      <c r="Y92" s="39" t="s">
        <v>920</v>
      </c>
      <c r="Z92" s="39">
        <v>418250640</v>
      </c>
      <c r="AA92" s="39" t="s">
        <v>1329</v>
      </c>
      <c r="AB92" s="39" t="s">
        <v>1330</v>
      </c>
      <c r="AE92" s="39" t="s">
        <v>923</v>
      </c>
      <c r="AG92" s="39" t="s">
        <v>924</v>
      </c>
      <c r="AI92" s="39">
        <v>91</v>
      </c>
    </row>
    <row r="93" spans="1:35" x14ac:dyDescent="0.3">
      <c r="A93" s="39" t="s">
        <v>1331</v>
      </c>
      <c r="B93" s="39" t="s">
        <v>1332</v>
      </c>
      <c r="C93" s="39" t="s">
        <v>1320</v>
      </c>
      <c r="D93" s="39" t="s">
        <v>949</v>
      </c>
      <c r="E93" s="39" t="s">
        <v>950</v>
      </c>
      <c r="F93" s="39" t="s">
        <v>951</v>
      </c>
      <c r="G93" s="39" t="s">
        <v>916</v>
      </c>
      <c r="H93" s="39" t="s">
        <v>917</v>
      </c>
      <c r="I93" s="39" t="s">
        <v>429</v>
      </c>
      <c r="J93" s="39" t="s">
        <v>951</v>
      </c>
      <c r="K93" s="39" t="s">
        <v>919</v>
      </c>
      <c r="L93" s="39">
        <v>7</v>
      </c>
      <c r="M93" s="39" t="s">
        <v>920</v>
      </c>
      <c r="N93" s="39">
        <v>0</v>
      </c>
      <c r="O93" s="39">
        <v>5</v>
      </c>
      <c r="P93" s="39">
        <v>2</v>
      </c>
      <c r="Q93" s="39">
        <v>0</v>
      </c>
      <c r="R93" s="39">
        <v>1</v>
      </c>
      <c r="S93" s="39">
        <v>0</v>
      </c>
      <c r="T93" s="39">
        <v>0</v>
      </c>
      <c r="U93" s="39">
        <v>2</v>
      </c>
      <c r="V93" s="39">
        <v>5</v>
      </c>
      <c r="W93" s="39">
        <v>3</v>
      </c>
      <c r="X93" s="39">
        <v>2</v>
      </c>
      <c r="Z93" s="39">
        <v>418250649</v>
      </c>
      <c r="AA93" s="39" t="s">
        <v>1333</v>
      </c>
      <c r="AB93" s="39" t="s">
        <v>1334</v>
      </c>
      <c r="AE93" s="39" t="s">
        <v>923</v>
      </c>
      <c r="AG93" s="39" t="s">
        <v>924</v>
      </c>
      <c r="AI93" s="39">
        <v>92</v>
      </c>
    </row>
    <row r="94" spans="1:35" x14ac:dyDescent="0.3">
      <c r="A94" s="39" t="s">
        <v>1335</v>
      </c>
      <c r="B94" s="39" t="s">
        <v>1336</v>
      </c>
      <c r="C94" s="39" t="s">
        <v>1320</v>
      </c>
      <c r="D94" s="39" t="s">
        <v>975</v>
      </c>
      <c r="E94" s="39" t="s">
        <v>950</v>
      </c>
      <c r="F94" s="39" t="s">
        <v>951</v>
      </c>
      <c r="G94" s="39" t="s">
        <v>1252</v>
      </c>
      <c r="H94" s="39" t="s">
        <v>917</v>
      </c>
      <c r="I94" s="39" t="s">
        <v>206</v>
      </c>
      <c r="J94" s="39" t="s">
        <v>951</v>
      </c>
      <c r="K94" s="39" t="s">
        <v>952</v>
      </c>
      <c r="L94" s="39">
        <v>7</v>
      </c>
      <c r="M94" s="39" t="s">
        <v>920</v>
      </c>
      <c r="N94" s="39">
        <v>0</v>
      </c>
      <c r="O94" s="39">
        <v>4</v>
      </c>
      <c r="P94" s="39">
        <v>3</v>
      </c>
      <c r="Q94" s="39">
        <v>0</v>
      </c>
      <c r="R94" s="39">
        <v>2</v>
      </c>
      <c r="S94" s="39">
        <v>0</v>
      </c>
      <c r="T94" s="39">
        <v>2</v>
      </c>
      <c r="U94" s="39">
        <v>12</v>
      </c>
      <c r="V94" s="39">
        <v>6</v>
      </c>
      <c r="W94" s="39">
        <v>1</v>
      </c>
      <c r="X94" s="39">
        <v>0</v>
      </c>
      <c r="Z94" s="39">
        <v>418250652</v>
      </c>
      <c r="AA94" s="39" t="s">
        <v>1337</v>
      </c>
      <c r="AB94" s="39" t="s">
        <v>1338</v>
      </c>
      <c r="AE94" s="39" t="s">
        <v>923</v>
      </c>
      <c r="AG94" s="39" t="s">
        <v>924</v>
      </c>
      <c r="AI94" s="39">
        <v>93</v>
      </c>
    </row>
    <row r="95" spans="1:35" x14ac:dyDescent="0.3">
      <c r="A95" s="39" t="s">
        <v>1339</v>
      </c>
      <c r="B95" s="39" t="s">
        <v>1340</v>
      </c>
      <c r="C95" s="39" t="s">
        <v>1320</v>
      </c>
      <c r="D95" s="39" t="s">
        <v>913</v>
      </c>
      <c r="E95" s="39" t="s">
        <v>914</v>
      </c>
      <c r="F95" s="39" t="s">
        <v>915</v>
      </c>
      <c r="G95" s="39" t="s">
        <v>1252</v>
      </c>
      <c r="H95" s="39" t="s">
        <v>917</v>
      </c>
      <c r="I95" s="39" t="s">
        <v>234</v>
      </c>
      <c r="J95" s="39" t="s">
        <v>918</v>
      </c>
      <c r="K95" s="39" t="s">
        <v>919</v>
      </c>
      <c r="L95" s="39">
        <v>7</v>
      </c>
      <c r="M95" s="39" t="s">
        <v>917</v>
      </c>
      <c r="N95" s="39">
        <v>0</v>
      </c>
      <c r="O95" s="39">
        <v>3</v>
      </c>
      <c r="P95" s="39">
        <v>2</v>
      </c>
      <c r="Q95" s="39">
        <v>2</v>
      </c>
      <c r="R95" s="39">
        <v>2</v>
      </c>
      <c r="S95" s="39">
        <v>0</v>
      </c>
      <c r="T95" s="39">
        <v>0</v>
      </c>
      <c r="U95" s="39">
        <v>0</v>
      </c>
      <c r="V95" s="39">
        <v>0</v>
      </c>
      <c r="W95" s="39">
        <v>0</v>
      </c>
      <c r="X95" s="39">
        <v>0</v>
      </c>
      <c r="Z95" s="39">
        <v>418250661</v>
      </c>
      <c r="AA95" s="39" t="s">
        <v>1341</v>
      </c>
      <c r="AB95" s="39" t="s">
        <v>1342</v>
      </c>
      <c r="AE95" s="39" t="s">
        <v>923</v>
      </c>
      <c r="AG95" s="39" t="s">
        <v>924</v>
      </c>
      <c r="AI95" s="39">
        <v>94</v>
      </c>
    </row>
    <row r="96" spans="1:35" x14ac:dyDescent="0.3">
      <c r="A96" s="39" t="s">
        <v>1343</v>
      </c>
      <c r="B96" s="39" t="s">
        <v>1344</v>
      </c>
      <c r="C96" s="39" t="s">
        <v>1345</v>
      </c>
      <c r="D96" s="39" t="s">
        <v>938</v>
      </c>
      <c r="E96" s="39" t="s">
        <v>928</v>
      </c>
      <c r="F96" s="39" t="s">
        <v>915</v>
      </c>
      <c r="G96" s="39" t="s">
        <v>1252</v>
      </c>
      <c r="H96" s="39" t="s">
        <v>917</v>
      </c>
      <c r="I96" s="39" t="s">
        <v>254</v>
      </c>
      <c r="J96" s="39" t="s">
        <v>918</v>
      </c>
      <c r="K96" s="39" t="s">
        <v>919</v>
      </c>
      <c r="L96" s="39">
        <v>7</v>
      </c>
      <c r="M96" s="39" t="s">
        <v>920</v>
      </c>
      <c r="N96" s="39">
        <v>0</v>
      </c>
      <c r="O96" s="39">
        <v>4</v>
      </c>
      <c r="P96" s="39">
        <v>3</v>
      </c>
      <c r="Q96" s="39">
        <v>0</v>
      </c>
      <c r="R96" s="39">
        <v>2</v>
      </c>
      <c r="S96" s="39">
        <v>0</v>
      </c>
      <c r="T96" s="39">
        <v>0</v>
      </c>
      <c r="U96" s="39">
        <v>5</v>
      </c>
      <c r="V96" s="39">
        <v>1</v>
      </c>
      <c r="W96" s="39">
        <v>1</v>
      </c>
      <c r="X96" s="39">
        <v>1</v>
      </c>
      <c r="Z96" s="39">
        <v>418250670</v>
      </c>
      <c r="AA96" s="39" t="s">
        <v>1346</v>
      </c>
      <c r="AB96" s="39" t="s">
        <v>1347</v>
      </c>
      <c r="AE96" s="39" t="s">
        <v>923</v>
      </c>
      <c r="AG96" s="39" t="s">
        <v>924</v>
      </c>
      <c r="AI96" s="39">
        <v>95</v>
      </c>
    </row>
    <row r="97" spans="1:35" x14ac:dyDescent="0.3">
      <c r="A97" s="39" t="s">
        <v>1348</v>
      </c>
      <c r="B97" s="39" t="s">
        <v>1349</v>
      </c>
      <c r="C97" s="39" t="s">
        <v>1345</v>
      </c>
      <c r="D97" s="39" t="s">
        <v>913</v>
      </c>
      <c r="E97" s="39" t="s">
        <v>914</v>
      </c>
      <c r="F97" s="39" t="s">
        <v>915</v>
      </c>
      <c r="G97" s="39" t="s">
        <v>1252</v>
      </c>
      <c r="H97" s="39" t="s">
        <v>917</v>
      </c>
      <c r="I97" s="39" t="s">
        <v>195</v>
      </c>
      <c r="J97" s="39" t="s">
        <v>918</v>
      </c>
      <c r="K97" s="39" t="s">
        <v>919</v>
      </c>
      <c r="L97" s="39">
        <v>3</v>
      </c>
      <c r="M97" s="39" t="s">
        <v>920</v>
      </c>
      <c r="N97" s="39">
        <v>1</v>
      </c>
      <c r="O97" s="39">
        <v>0</v>
      </c>
      <c r="P97" s="39">
        <v>2</v>
      </c>
      <c r="Q97" s="39">
        <v>0</v>
      </c>
      <c r="R97" s="39">
        <v>1</v>
      </c>
      <c r="S97" s="39">
        <v>1</v>
      </c>
      <c r="T97" s="39">
        <v>0</v>
      </c>
      <c r="U97" s="39">
        <v>5</v>
      </c>
      <c r="V97" s="39">
        <v>3</v>
      </c>
      <c r="W97" s="39">
        <v>0</v>
      </c>
      <c r="X97" s="39">
        <v>0</v>
      </c>
      <c r="Y97" s="39" t="s">
        <v>920</v>
      </c>
      <c r="Z97" s="39">
        <v>418250673</v>
      </c>
      <c r="AA97" s="39" t="s">
        <v>1350</v>
      </c>
      <c r="AB97" s="39" t="s">
        <v>1351</v>
      </c>
      <c r="AE97" s="39" t="s">
        <v>923</v>
      </c>
      <c r="AG97" s="39" t="s">
        <v>924</v>
      </c>
      <c r="AI97" s="39">
        <v>96</v>
      </c>
    </row>
    <row r="98" spans="1:35" x14ac:dyDescent="0.3">
      <c r="A98" s="39" t="s">
        <v>1352</v>
      </c>
      <c r="B98" s="39" t="s">
        <v>1353</v>
      </c>
      <c r="C98" s="39" t="s">
        <v>1345</v>
      </c>
      <c r="D98" s="39" t="s">
        <v>975</v>
      </c>
      <c r="E98" s="39" t="s">
        <v>950</v>
      </c>
      <c r="F98" s="39" t="s">
        <v>951</v>
      </c>
      <c r="G98" s="39" t="s">
        <v>916</v>
      </c>
      <c r="H98" s="39" t="s">
        <v>917</v>
      </c>
      <c r="I98" s="39" t="s">
        <v>523</v>
      </c>
      <c r="J98" s="39" t="s">
        <v>951</v>
      </c>
      <c r="K98" s="39" t="s">
        <v>952</v>
      </c>
      <c r="L98" s="39">
        <v>5</v>
      </c>
      <c r="M98" s="39" t="s">
        <v>917</v>
      </c>
      <c r="N98" s="39">
        <v>1</v>
      </c>
      <c r="O98" s="39">
        <v>3</v>
      </c>
      <c r="P98" s="39">
        <v>1</v>
      </c>
      <c r="Q98" s="39">
        <v>0</v>
      </c>
      <c r="R98" s="39">
        <v>2</v>
      </c>
      <c r="S98" s="39">
        <v>1</v>
      </c>
      <c r="T98" s="39">
        <v>1</v>
      </c>
      <c r="U98" s="39">
        <v>6</v>
      </c>
      <c r="V98" s="39">
        <v>0</v>
      </c>
      <c r="W98" s="39">
        <v>2</v>
      </c>
      <c r="X98" s="39">
        <v>0</v>
      </c>
      <c r="Y98" s="39" t="s">
        <v>920</v>
      </c>
      <c r="Z98" s="39">
        <v>418250683</v>
      </c>
      <c r="AA98" s="39" t="s">
        <v>1354</v>
      </c>
      <c r="AB98" s="39" t="s">
        <v>1355</v>
      </c>
      <c r="AE98" s="39" t="s">
        <v>923</v>
      </c>
      <c r="AG98" s="39" t="s">
        <v>924</v>
      </c>
      <c r="AI98" s="39">
        <v>97</v>
      </c>
    </row>
    <row r="99" spans="1:35" x14ac:dyDescent="0.3">
      <c r="A99" s="39" t="s">
        <v>1356</v>
      </c>
      <c r="B99" s="39" t="s">
        <v>1357</v>
      </c>
      <c r="C99" s="39" t="s">
        <v>1345</v>
      </c>
      <c r="D99" s="39" t="s">
        <v>913</v>
      </c>
      <c r="E99" s="39" t="s">
        <v>914</v>
      </c>
      <c r="F99" s="39" t="s">
        <v>915</v>
      </c>
      <c r="G99" s="39" t="s">
        <v>916</v>
      </c>
      <c r="H99" s="39" t="s">
        <v>917</v>
      </c>
      <c r="I99" s="39" t="s">
        <v>389</v>
      </c>
      <c r="J99" s="39" t="s">
        <v>918</v>
      </c>
      <c r="K99" s="39" t="s">
        <v>919</v>
      </c>
      <c r="L99" s="39">
        <v>6</v>
      </c>
      <c r="M99" s="39" t="s">
        <v>917</v>
      </c>
      <c r="N99" s="39">
        <v>0</v>
      </c>
      <c r="O99" s="39">
        <v>5</v>
      </c>
      <c r="P99" s="39">
        <v>1</v>
      </c>
      <c r="Q99" s="39">
        <v>0</v>
      </c>
      <c r="R99" s="39">
        <v>2</v>
      </c>
      <c r="S99" s="39">
        <v>0</v>
      </c>
      <c r="T99" s="39">
        <v>0</v>
      </c>
      <c r="U99" s="39">
        <v>5</v>
      </c>
      <c r="V99" s="39">
        <v>1</v>
      </c>
      <c r="W99" s="39">
        <v>3</v>
      </c>
      <c r="X99" s="39">
        <v>0</v>
      </c>
      <c r="Z99" s="39">
        <v>418250687</v>
      </c>
      <c r="AA99" s="39" t="s">
        <v>1358</v>
      </c>
      <c r="AB99" s="39" t="s">
        <v>1359</v>
      </c>
      <c r="AE99" s="39" t="s">
        <v>923</v>
      </c>
      <c r="AG99" s="39" t="s">
        <v>924</v>
      </c>
      <c r="AI99" s="39">
        <v>98</v>
      </c>
    </row>
    <row r="100" spans="1:35" x14ac:dyDescent="0.3">
      <c r="A100" s="39" t="s">
        <v>1360</v>
      </c>
      <c r="B100" s="39" t="s">
        <v>1361</v>
      </c>
      <c r="C100" s="39" t="s">
        <v>1362</v>
      </c>
      <c r="D100" s="39" t="s">
        <v>949</v>
      </c>
      <c r="E100" s="39" t="s">
        <v>950</v>
      </c>
      <c r="F100" s="39" t="s">
        <v>951</v>
      </c>
      <c r="G100" s="39" t="s">
        <v>1252</v>
      </c>
      <c r="H100" s="39" t="s">
        <v>917</v>
      </c>
      <c r="I100" s="39" t="s">
        <v>272</v>
      </c>
      <c r="J100" s="39" t="s">
        <v>976</v>
      </c>
      <c r="K100" s="39" t="s">
        <v>952</v>
      </c>
      <c r="L100" s="39">
        <v>7</v>
      </c>
      <c r="M100" s="39" t="s">
        <v>920</v>
      </c>
      <c r="N100" s="39">
        <v>0</v>
      </c>
      <c r="O100" s="39">
        <v>5</v>
      </c>
      <c r="P100" s="39">
        <v>2</v>
      </c>
      <c r="Q100" s="39">
        <v>0</v>
      </c>
      <c r="R100" s="39">
        <v>2</v>
      </c>
      <c r="S100" s="39">
        <v>0</v>
      </c>
      <c r="T100" s="39">
        <v>0</v>
      </c>
      <c r="U100" s="39">
        <v>11</v>
      </c>
      <c r="V100" s="39">
        <v>3</v>
      </c>
      <c r="W100" s="39">
        <v>4</v>
      </c>
      <c r="X100" s="39">
        <v>2</v>
      </c>
      <c r="Z100" s="39">
        <v>418250694</v>
      </c>
      <c r="AA100" s="39" t="s">
        <v>1363</v>
      </c>
      <c r="AB100" s="39" t="s">
        <v>1364</v>
      </c>
      <c r="AE100" s="39" t="s">
        <v>923</v>
      </c>
      <c r="AG100" s="39" t="s">
        <v>924</v>
      </c>
      <c r="AI100" s="39">
        <v>99</v>
      </c>
    </row>
    <row r="101" spans="1:35" x14ac:dyDescent="0.3">
      <c r="A101" s="39" t="s">
        <v>1365</v>
      </c>
      <c r="B101" s="39" t="s">
        <v>1366</v>
      </c>
      <c r="C101" s="39" t="s">
        <v>1362</v>
      </c>
      <c r="D101" s="39" t="s">
        <v>949</v>
      </c>
      <c r="E101" s="39" t="s">
        <v>950</v>
      </c>
      <c r="F101" s="39" t="s">
        <v>951</v>
      </c>
      <c r="G101" s="39" t="s">
        <v>916</v>
      </c>
      <c r="H101" s="39" t="s">
        <v>917</v>
      </c>
      <c r="I101" s="39" t="s">
        <v>532</v>
      </c>
      <c r="J101" s="39" t="s">
        <v>951</v>
      </c>
      <c r="K101" s="39" t="s">
        <v>952</v>
      </c>
      <c r="L101" s="39">
        <v>9</v>
      </c>
      <c r="M101" s="39" t="s">
        <v>920</v>
      </c>
      <c r="N101" s="39">
        <v>1</v>
      </c>
      <c r="O101" s="39">
        <v>6</v>
      </c>
      <c r="P101" s="39">
        <v>2</v>
      </c>
      <c r="Q101" s="39">
        <v>0</v>
      </c>
      <c r="R101" s="39">
        <v>2</v>
      </c>
      <c r="S101" s="39">
        <v>1</v>
      </c>
      <c r="T101" s="39">
        <v>1</v>
      </c>
      <c r="U101" s="39">
        <v>6</v>
      </c>
      <c r="V101" s="39">
        <v>0</v>
      </c>
      <c r="W101" s="39">
        <v>3</v>
      </c>
      <c r="X101" s="39">
        <v>1</v>
      </c>
      <c r="Y101" s="39" t="s">
        <v>920</v>
      </c>
      <c r="Z101" s="39">
        <v>418250704</v>
      </c>
      <c r="AA101" s="39" t="s">
        <v>1367</v>
      </c>
      <c r="AB101" s="39" t="s">
        <v>1368</v>
      </c>
      <c r="AE101" s="39" t="s">
        <v>923</v>
      </c>
      <c r="AG101" s="39" t="s">
        <v>924</v>
      </c>
      <c r="AI101" s="39">
        <v>100</v>
      </c>
    </row>
    <row r="102" spans="1:35" x14ac:dyDescent="0.3">
      <c r="A102" s="39" t="s">
        <v>1369</v>
      </c>
      <c r="B102" s="39" t="s">
        <v>1370</v>
      </c>
      <c r="C102" s="39" t="s">
        <v>1362</v>
      </c>
      <c r="D102" s="39" t="s">
        <v>938</v>
      </c>
      <c r="E102" s="39" t="s">
        <v>928</v>
      </c>
      <c r="F102" s="39" t="s">
        <v>915</v>
      </c>
      <c r="G102" s="39" t="s">
        <v>1252</v>
      </c>
      <c r="H102" s="39" t="s">
        <v>917</v>
      </c>
      <c r="I102" s="39" t="s">
        <v>187</v>
      </c>
      <c r="J102" s="39" t="s">
        <v>918</v>
      </c>
      <c r="K102" s="39" t="s">
        <v>919</v>
      </c>
      <c r="L102" s="39">
        <v>9</v>
      </c>
      <c r="M102" s="39" t="s">
        <v>920</v>
      </c>
      <c r="N102" s="39">
        <v>0</v>
      </c>
      <c r="O102" s="39">
        <v>7</v>
      </c>
      <c r="P102" s="39">
        <v>2</v>
      </c>
      <c r="Q102" s="39">
        <v>0</v>
      </c>
      <c r="R102" s="39">
        <v>1</v>
      </c>
      <c r="S102" s="39">
        <v>1</v>
      </c>
      <c r="T102" s="39">
        <v>1</v>
      </c>
      <c r="U102" s="39">
        <v>2</v>
      </c>
      <c r="V102" s="39">
        <v>9</v>
      </c>
      <c r="W102" s="39">
        <v>0</v>
      </c>
      <c r="X102" s="39">
        <v>2</v>
      </c>
      <c r="Z102" s="39">
        <v>418250709</v>
      </c>
      <c r="AA102" s="39" t="s">
        <v>1371</v>
      </c>
      <c r="AB102" s="39" t="s">
        <v>1372</v>
      </c>
      <c r="AE102" s="39" t="s">
        <v>923</v>
      </c>
      <c r="AG102" s="39" t="s">
        <v>924</v>
      </c>
      <c r="AI102" s="39">
        <v>101</v>
      </c>
    </row>
    <row r="103" spans="1:35" x14ac:dyDescent="0.3">
      <c r="A103" s="39" t="s">
        <v>1373</v>
      </c>
      <c r="B103" s="39" t="s">
        <v>1374</v>
      </c>
      <c r="C103" s="39" t="s">
        <v>1362</v>
      </c>
      <c r="D103" s="39" t="s">
        <v>938</v>
      </c>
      <c r="E103" s="39" t="s">
        <v>928</v>
      </c>
      <c r="F103" s="39" t="s">
        <v>915</v>
      </c>
      <c r="G103" s="39" t="s">
        <v>1252</v>
      </c>
      <c r="H103" s="39" t="s">
        <v>917</v>
      </c>
      <c r="I103" s="39" t="s">
        <v>232</v>
      </c>
      <c r="J103" s="39" t="s">
        <v>918</v>
      </c>
      <c r="K103" s="39" t="s">
        <v>943</v>
      </c>
      <c r="L103" s="39">
        <v>5</v>
      </c>
      <c r="M103" s="39" t="s">
        <v>920</v>
      </c>
      <c r="N103" s="39">
        <v>1</v>
      </c>
      <c r="O103" s="39">
        <v>2</v>
      </c>
      <c r="P103" s="39">
        <v>2</v>
      </c>
      <c r="Q103" s="39">
        <v>0</v>
      </c>
      <c r="R103" s="39">
        <v>2</v>
      </c>
      <c r="S103" s="39">
        <v>0</v>
      </c>
      <c r="T103" s="39">
        <v>0</v>
      </c>
      <c r="U103" s="39">
        <v>3</v>
      </c>
      <c r="V103" s="39">
        <v>4</v>
      </c>
      <c r="W103" s="39">
        <v>3</v>
      </c>
      <c r="X103" s="39">
        <v>1</v>
      </c>
      <c r="Y103" s="39" t="s">
        <v>920</v>
      </c>
      <c r="Z103" s="39">
        <v>418250716</v>
      </c>
      <c r="AA103" s="39" t="s">
        <v>1375</v>
      </c>
      <c r="AB103" s="39" t="s">
        <v>1376</v>
      </c>
      <c r="AE103" s="39" t="s">
        <v>923</v>
      </c>
      <c r="AG103" s="39" t="s">
        <v>924</v>
      </c>
      <c r="AI103" s="39">
        <v>102</v>
      </c>
    </row>
    <row r="104" spans="1:35" x14ac:dyDescent="0.3">
      <c r="A104" s="39" t="s">
        <v>1377</v>
      </c>
      <c r="B104" s="39" t="s">
        <v>1378</v>
      </c>
      <c r="C104" s="39" t="s">
        <v>1379</v>
      </c>
      <c r="D104" s="39" t="s">
        <v>994</v>
      </c>
      <c r="E104" s="39" t="s">
        <v>995</v>
      </c>
      <c r="F104" s="39" t="s">
        <v>996</v>
      </c>
      <c r="G104" s="39" t="s">
        <v>916</v>
      </c>
      <c r="H104" s="39" t="s">
        <v>917</v>
      </c>
      <c r="I104" s="39" t="s">
        <v>431</v>
      </c>
      <c r="J104" s="39" t="s">
        <v>997</v>
      </c>
      <c r="K104" s="39" t="s">
        <v>943</v>
      </c>
      <c r="L104" s="39">
        <v>5</v>
      </c>
      <c r="M104" s="39" t="s">
        <v>917</v>
      </c>
      <c r="N104" s="39">
        <v>0</v>
      </c>
      <c r="O104" s="39">
        <v>4</v>
      </c>
      <c r="P104" s="39">
        <v>1</v>
      </c>
      <c r="Q104" s="39">
        <v>0</v>
      </c>
      <c r="R104" s="39">
        <v>2</v>
      </c>
      <c r="S104" s="39">
        <v>0</v>
      </c>
      <c r="T104" s="39">
        <v>0</v>
      </c>
      <c r="U104" s="39">
        <v>8</v>
      </c>
      <c r="V104" s="39">
        <v>2</v>
      </c>
      <c r="W104" s="39">
        <v>1</v>
      </c>
      <c r="X104" s="39">
        <v>1</v>
      </c>
      <c r="Z104" s="39">
        <v>418250722</v>
      </c>
      <c r="AA104" s="39" t="s">
        <v>1380</v>
      </c>
      <c r="AB104" s="39" t="s">
        <v>1381</v>
      </c>
      <c r="AE104" s="39" t="s">
        <v>923</v>
      </c>
      <c r="AG104" s="39" t="s">
        <v>924</v>
      </c>
      <c r="AI104" s="39">
        <v>103</v>
      </c>
    </row>
    <row r="105" spans="1:35" x14ac:dyDescent="0.3">
      <c r="A105" s="39" t="s">
        <v>1382</v>
      </c>
      <c r="B105" s="39" t="s">
        <v>1383</v>
      </c>
      <c r="C105" s="39" t="s">
        <v>1379</v>
      </c>
      <c r="D105" s="39" t="s">
        <v>913</v>
      </c>
      <c r="E105" s="39" t="s">
        <v>914</v>
      </c>
      <c r="F105" s="39" t="s">
        <v>915</v>
      </c>
      <c r="G105" s="39" t="s">
        <v>916</v>
      </c>
      <c r="H105" s="39" t="s">
        <v>917</v>
      </c>
      <c r="I105" s="39" t="s">
        <v>454</v>
      </c>
      <c r="J105" s="39" t="s">
        <v>918</v>
      </c>
      <c r="K105" s="39" t="s">
        <v>919</v>
      </c>
      <c r="L105" s="39">
        <v>10</v>
      </c>
      <c r="M105" s="39" t="s">
        <v>920</v>
      </c>
      <c r="N105" s="39">
        <v>0</v>
      </c>
      <c r="O105" s="39">
        <v>7</v>
      </c>
      <c r="P105" s="39">
        <v>2</v>
      </c>
      <c r="Q105" s="39">
        <v>1</v>
      </c>
      <c r="R105" s="39">
        <v>2</v>
      </c>
      <c r="S105" s="39">
        <v>1</v>
      </c>
      <c r="T105" s="39">
        <v>0</v>
      </c>
      <c r="U105" s="39">
        <v>17</v>
      </c>
      <c r="V105" s="39">
        <v>4</v>
      </c>
      <c r="W105" s="39">
        <v>2</v>
      </c>
      <c r="X105" s="39">
        <v>0</v>
      </c>
      <c r="Z105" s="39">
        <v>418250729</v>
      </c>
      <c r="AA105" s="39" t="s">
        <v>1384</v>
      </c>
      <c r="AB105" s="39" t="s">
        <v>1385</v>
      </c>
      <c r="AE105" s="39" t="s">
        <v>923</v>
      </c>
      <c r="AG105" s="39" t="s">
        <v>924</v>
      </c>
      <c r="AI105" s="39">
        <v>104</v>
      </c>
    </row>
    <row r="106" spans="1:35" x14ac:dyDescent="0.3">
      <c r="A106" s="39" t="s">
        <v>1386</v>
      </c>
      <c r="B106" s="39" t="s">
        <v>1387</v>
      </c>
      <c r="C106" s="39" t="s">
        <v>1379</v>
      </c>
      <c r="D106" s="39" t="s">
        <v>949</v>
      </c>
      <c r="E106" s="39" t="s">
        <v>950</v>
      </c>
      <c r="F106" s="39" t="s">
        <v>951</v>
      </c>
      <c r="G106" s="39" t="s">
        <v>916</v>
      </c>
      <c r="H106" s="39" t="s">
        <v>917</v>
      </c>
      <c r="I106" s="39" t="s">
        <v>426</v>
      </c>
      <c r="J106" s="39" t="s">
        <v>976</v>
      </c>
      <c r="K106" s="39" t="s">
        <v>943</v>
      </c>
      <c r="L106" s="39">
        <v>9</v>
      </c>
      <c r="M106" s="39" t="s">
        <v>920</v>
      </c>
      <c r="N106" s="39">
        <v>1</v>
      </c>
      <c r="O106" s="39">
        <v>6</v>
      </c>
      <c r="P106" s="39">
        <v>1</v>
      </c>
      <c r="Q106" s="39">
        <v>1</v>
      </c>
      <c r="R106" s="39">
        <v>1</v>
      </c>
      <c r="S106" s="39">
        <v>1</v>
      </c>
      <c r="T106" s="39">
        <v>0</v>
      </c>
      <c r="U106" s="39">
        <v>6</v>
      </c>
      <c r="V106" s="39">
        <v>2</v>
      </c>
      <c r="W106" s="39">
        <v>6</v>
      </c>
      <c r="X106" s="39">
        <v>0</v>
      </c>
      <c r="Y106" s="39" t="s">
        <v>917</v>
      </c>
      <c r="Z106" s="39">
        <v>418250735</v>
      </c>
      <c r="AA106" s="39" t="s">
        <v>1388</v>
      </c>
      <c r="AB106" s="39" t="s">
        <v>1389</v>
      </c>
      <c r="AE106" s="39" t="s">
        <v>923</v>
      </c>
      <c r="AG106" s="39" t="s">
        <v>924</v>
      </c>
      <c r="AI106" s="39">
        <v>105</v>
      </c>
    </row>
    <row r="107" spans="1:35" x14ac:dyDescent="0.3">
      <c r="A107" s="39" t="s">
        <v>1390</v>
      </c>
      <c r="B107" s="39" t="s">
        <v>1391</v>
      </c>
      <c r="C107" s="39" t="s">
        <v>1379</v>
      </c>
      <c r="D107" s="39" t="s">
        <v>994</v>
      </c>
      <c r="E107" s="39" t="s">
        <v>995</v>
      </c>
      <c r="F107" s="39" t="s">
        <v>996</v>
      </c>
      <c r="G107" s="39" t="s">
        <v>916</v>
      </c>
      <c r="H107" s="39" t="s">
        <v>917</v>
      </c>
      <c r="I107" s="39" t="s">
        <v>507</v>
      </c>
      <c r="J107" s="39" t="s">
        <v>997</v>
      </c>
      <c r="K107" s="39" t="s">
        <v>919</v>
      </c>
      <c r="L107" s="39">
        <v>3</v>
      </c>
      <c r="M107" s="39" t="s">
        <v>917</v>
      </c>
      <c r="N107" s="39">
        <v>0</v>
      </c>
      <c r="O107" s="39">
        <v>1</v>
      </c>
      <c r="P107" s="39">
        <v>1</v>
      </c>
      <c r="Q107" s="39">
        <v>1</v>
      </c>
      <c r="R107" s="39">
        <v>2</v>
      </c>
      <c r="S107" s="39">
        <v>0</v>
      </c>
      <c r="T107" s="39">
        <v>0</v>
      </c>
      <c r="U107" s="39">
        <v>5</v>
      </c>
      <c r="V107" s="39">
        <v>2</v>
      </c>
      <c r="W107" s="39">
        <v>0</v>
      </c>
      <c r="X107" s="39">
        <v>2</v>
      </c>
      <c r="Z107" s="39">
        <v>418250747</v>
      </c>
      <c r="AA107" s="39" t="s">
        <v>1392</v>
      </c>
      <c r="AB107" s="39" t="s">
        <v>1393</v>
      </c>
      <c r="AE107" s="39" t="s">
        <v>923</v>
      </c>
      <c r="AG107" s="39" t="s">
        <v>924</v>
      </c>
      <c r="AI107" s="39">
        <v>106</v>
      </c>
    </row>
    <row r="108" spans="1:35" x14ac:dyDescent="0.3">
      <c r="A108" s="39" t="s">
        <v>1394</v>
      </c>
      <c r="B108" s="39" t="s">
        <v>1395</v>
      </c>
      <c r="C108" s="39" t="s">
        <v>1379</v>
      </c>
      <c r="D108" s="39" t="s">
        <v>913</v>
      </c>
      <c r="E108" s="39" t="s">
        <v>914</v>
      </c>
      <c r="F108" s="39" t="s">
        <v>915</v>
      </c>
      <c r="G108" s="39" t="s">
        <v>916</v>
      </c>
      <c r="H108" s="39" t="s">
        <v>917</v>
      </c>
      <c r="I108" s="39" t="s">
        <v>488</v>
      </c>
      <c r="J108" s="39" t="s">
        <v>918</v>
      </c>
      <c r="K108" s="39" t="s">
        <v>943</v>
      </c>
      <c r="L108" s="39">
        <v>9</v>
      </c>
      <c r="M108" s="39" t="s">
        <v>920</v>
      </c>
      <c r="N108" s="39">
        <v>0</v>
      </c>
      <c r="O108" s="39">
        <v>7</v>
      </c>
      <c r="P108" s="39">
        <v>2</v>
      </c>
      <c r="Q108" s="39">
        <v>0</v>
      </c>
      <c r="R108" s="39">
        <v>2</v>
      </c>
      <c r="S108" s="39">
        <v>0</v>
      </c>
      <c r="T108" s="39">
        <v>0</v>
      </c>
      <c r="U108" s="39">
        <v>3</v>
      </c>
      <c r="V108" s="39">
        <v>1</v>
      </c>
      <c r="W108" s="39">
        <v>6</v>
      </c>
      <c r="X108" s="39">
        <v>1</v>
      </c>
      <c r="Z108" s="39">
        <v>418250749</v>
      </c>
      <c r="AA108" s="39" t="s">
        <v>1396</v>
      </c>
      <c r="AB108" s="39" t="s">
        <v>1397</v>
      </c>
      <c r="AE108" s="39" t="s">
        <v>923</v>
      </c>
      <c r="AG108" s="39" t="s">
        <v>924</v>
      </c>
      <c r="AI108" s="39">
        <v>107</v>
      </c>
    </row>
    <row r="109" spans="1:35" x14ac:dyDescent="0.3">
      <c r="A109" s="39" t="s">
        <v>1398</v>
      </c>
      <c r="B109" s="39" t="s">
        <v>1399</v>
      </c>
      <c r="C109" s="39" t="s">
        <v>1400</v>
      </c>
      <c r="D109" s="39" t="s">
        <v>949</v>
      </c>
      <c r="E109" s="39" t="s">
        <v>950</v>
      </c>
      <c r="F109" s="39" t="s">
        <v>951</v>
      </c>
      <c r="G109" s="39" t="s">
        <v>1252</v>
      </c>
      <c r="H109" s="39" t="s">
        <v>917</v>
      </c>
      <c r="I109" s="39" t="s">
        <v>265</v>
      </c>
      <c r="J109" s="39" t="s">
        <v>951</v>
      </c>
      <c r="K109" s="39" t="s">
        <v>943</v>
      </c>
      <c r="L109" s="39">
        <v>8</v>
      </c>
      <c r="M109" s="39" t="s">
        <v>920</v>
      </c>
      <c r="N109" s="39">
        <v>1</v>
      </c>
      <c r="O109" s="39">
        <v>4</v>
      </c>
      <c r="P109" s="39">
        <v>2</v>
      </c>
      <c r="Q109" s="39">
        <v>1</v>
      </c>
      <c r="R109" s="39">
        <v>1</v>
      </c>
      <c r="S109" s="39">
        <v>0</v>
      </c>
      <c r="T109" s="39">
        <v>0</v>
      </c>
      <c r="U109" s="39">
        <v>11</v>
      </c>
      <c r="V109" s="39">
        <v>0</v>
      </c>
      <c r="W109" s="39">
        <v>2</v>
      </c>
      <c r="X109" s="39">
        <v>2</v>
      </c>
      <c r="Y109" s="39" t="s">
        <v>920</v>
      </c>
      <c r="Z109" s="39">
        <v>418250760</v>
      </c>
      <c r="AA109" s="39" t="s">
        <v>1401</v>
      </c>
      <c r="AB109" s="39" t="s">
        <v>1402</v>
      </c>
      <c r="AE109" s="39" t="s">
        <v>923</v>
      </c>
      <c r="AG109" s="39" t="s">
        <v>924</v>
      </c>
      <c r="AI109" s="39">
        <v>108</v>
      </c>
    </row>
    <row r="110" spans="1:35" x14ac:dyDescent="0.3">
      <c r="A110" s="39" t="s">
        <v>1403</v>
      </c>
      <c r="B110" s="39" t="s">
        <v>1404</v>
      </c>
      <c r="C110" s="39" t="s">
        <v>1400</v>
      </c>
      <c r="D110" s="39" t="s">
        <v>949</v>
      </c>
      <c r="E110" s="39" t="s">
        <v>950</v>
      </c>
      <c r="F110" s="39" t="s">
        <v>951</v>
      </c>
      <c r="G110" s="39" t="s">
        <v>916</v>
      </c>
      <c r="H110" s="39" t="s">
        <v>917</v>
      </c>
      <c r="I110" s="39" t="s">
        <v>503</v>
      </c>
      <c r="J110" s="39" t="s">
        <v>976</v>
      </c>
      <c r="K110" s="39" t="s">
        <v>919</v>
      </c>
      <c r="L110" s="39">
        <v>7</v>
      </c>
      <c r="M110" s="39" t="s">
        <v>920</v>
      </c>
      <c r="N110" s="39">
        <v>1</v>
      </c>
      <c r="O110" s="39">
        <v>4</v>
      </c>
      <c r="P110" s="39">
        <v>2</v>
      </c>
      <c r="Q110" s="39">
        <v>0</v>
      </c>
      <c r="R110" s="39">
        <v>2</v>
      </c>
      <c r="S110" s="39">
        <v>1</v>
      </c>
      <c r="T110" s="39">
        <v>1</v>
      </c>
      <c r="U110" s="39">
        <v>7</v>
      </c>
      <c r="V110" s="39">
        <v>6</v>
      </c>
      <c r="W110" s="39">
        <v>2</v>
      </c>
      <c r="X110" s="39">
        <v>0</v>
      </c>
      <c r="Y110" s="39" t="s">
        <v>920</v>
      </c>
      <c r="Z110" s="39">
        <v>418250766</v>
      </c>
      <c r="AA110" s="39" t="s">
        <v>1405</v>
      </c>
      <c r="AB110" s="39" t="s">
        <v>1406</v>
      </c>
      <c r="AE110" s="39" t="s">
        <v>923</v>
      </c>
      <c r="AG110" s="39" t="s">
        <v>924</v>
      </c>
      <c r="AI110" s="39">
        <v>109</v>
      </c>
    </row>
    <row r="111" spans="1:35" x14ac:dyDescent="0.3">
      <c r="A111" s="39" t="s">
        <v>1407</v>
      </c>
      <c r="B111" s="39" t="s">
        <v>1408</v>
      </c>
      <c r="C111" s="39" t="s">
        <v>1400</v>
      </c>
      <c r="D111" s="39" t="s">
        <v>913</v>
      </c>
      <c r="E111" s="39" t="s">
        <v>914</v>
      </c>
      <c r="F111" s="39" t="s">
        <v>915</v>
      </c>
      <c r="G111" s="39" t="s">
        <v>916</v>
      </c>
      <c r="H111" s="39" t="s">
        <v>917</v>
      </c>
      <c r="I111" s="39" t="s">
        <v>469</v>
      </c>
      <c r="J111" s="39" t="s">
        <v>918</v>
      </c>
      <c r="K111" s="39" t="s">
        <v>919</v>
      </c>
      <c r="L111" s="39">
        <v>3</v>
      </c>
      <c r="M111" s="39" t="s">
        <v>917</v>
      </c>
      <c r="N111" s="39">
        <v>1</v>
      </c>
      <c r="O111" s="39">
        <v>0</v>
      </c>
      <c r="P111" s="39">
        <v>1</v>
      </c>
      <c r="Q111" s="39">
        <v>1</v>
      </c>
      <c r="R111" s="39">
        <v>1</v>
      </c>
      <c r="S111" s="39">
        <v>1</v>
      </c>
      <c r="T111" s="39">
        <v>0</v>
      </c>
      <c r="U111" s="39">
        <v>0</v>
      </c>
      <c r="V111" s="39">
        <v>1</v>
      </c>
      <c r="W111" s="39">
        <v>1</v>
      </c>
      <c r="X111" s="39">
        <v>2</v>
      </c>
      <c r="Y111" s="39" t="s">
        <v>920</v>
      </c>
      <c r="Z111" s="39">
        <v>418250771</v>
      </c>
      <c r="AA111" s="39" t="s">
        <v>1409</v>
      </c>
      <c r="AB111" s="39" t="s">
        <v>1410</v>
      </c>
      <c r="AE111" s="39" t="s">
        <v>923</v>
      </c>
      <c r="AG111" s="39" t="s">
        <v>924</v>
      </c>
      <c r="AI111" s="39">
        <v>110</v>
      </c>
    </row>
    <row r="112" spans="1:35" x14ac:dyDescent="0.3">
      <c r="A112" s="39" t="s">
        <v>1411</v>
      </c>
      <c r="B112" s="39" t="s">
        <v>1412</v>
      </c>
      <c r="C112" s="39" t="s">
        <v>1400</v>
      </c>
      <c r="D112" s="39" t="s">
        <v>994</v>
      </c>
      <c r="E112" s="39" t="s">
        <v>995</v>
      </c>
      <c r="F112" s="39" t="s">
        <v>996</v>
      </c>
      <c r="G112" s="39" t="s">
        <v>916</v>
      </c>
      <c r="H112" s="39" t="s">
        <v>917</v>
      </c>
      <c r="I112" s="39" t="s">
        <v>612</v>
      </c>
      <c r="J112" s="39" t="s">
        <v>997</v>
      </c>
      <c r="K112" s="39" t="s">
        <v>919</v>
      </c>
      <c r="L112" s="39">
        <v>3</v>
      </c>
      <c r="M112" s="39" t="s">
        <v>920</v>
      </c>
      <c r="N112" s="39">
        <v>0</v>
      </c>
      <c r="O112" s="39">
        <v>0</v>
      </c>
      <c r="P112" s="39">
        <v>3</v>
      </c>
      <c r="Q112" s="39">
        <v>0</v>
      </c>
      <c r="R112" s="39">
        <v>2</v>
      </c>
      <c r="S112" s="39">
        <v>0</v>
      </c>
      <c r="T112" s="39">
        <v>0</v>
      </c>
      <c r="U112" s="39">
        <v>2</v>
      </c>
      <c r="V112" s="39">
        <v>1</v>
      </c>
      <c r="X112" s="39">
        <v>0</v>
      </c>
      <c r="Z112" s="39">
        <v>418250782</v>
      </c>
      <c r="AA112" s="39" t="s">
        <v>1413</v>
      </c>
      <c r="AB112" s="39" t="s">
        <v>1414</v>
      </c>
      <c r="AE112" s="39" t="s">
        <v>923</v>
      </c>
      <c r="AG112" s="39" t="s">
        <v>924</v>
      </c>
      <c r="AI112" s="39">
        <v>111</v>
      </c>
    </row>
    <row r="113" spans="1:35" x14ac:dyDescent="0.3">
      <c r="A113" s="39" t="s">
        <v>1415</v>
      </c>
      <c r="B113" s="39" t="s">
        <v>1416</v>
      </c>
      <c r="C113" s="39" t="s">
        <v>1417</v>
      </c>
      <c r="D113" s="39" t="s">
        <v>938</v>
      </c>
      <c r="E113" s="39" t="s">
        <v>928</v>
      </c>
      <c r="F113" s="39" t="s">
        <v>915</v>
      </c>
      <c r="G113" s="39" t="s">
        <v>916</v>
      </c>
      <c r="H113" s="39" t="s">
        <v>917</v>
      </c>
      <c r="I113" s="39" t="s">
        <v>444</v>
      </c>
      <c r="J113" s="39" t="s">
        <v>918</v>
      </c>
      <c r="K113" s="39" t="s">
        <v>919</v>
      </c>
      <c r="L113" s="39">
        <v>8</v>
      </c>
      <c r="M113" s="39" t="s">
        <v>920</v>
      </c>
      <c r="N113" s="39">
        <v>0</v>
      </c>
      <c r="O113" s="39">
        <v>5</v>
      </c>
      <c r="P113" s="39">
        <v>2</v>
      </c>
      <c r="Q113" s="39">
        <v>1</v>
      </c>
      <c r="R113" s="39">
        <v>1</v>
      </c>
      <c r="S113" s="39">
        <v>0</v>
      </c>
      <c r="T113" s="39">
        <v>0</v>
      </c>
      <c r="U113" s="39">
        <v>1</v>
      </c>
      <c r="V113" s="39">
        <v>6</v>
      </c>
      <c r="W113" s="39">
        <v>4</v>
      </c>
      <c r="X113" s="39">
        <v>0</v>
      </c>
      <c r="Z113" s="39">
        <v>418250785</v>
      </c>
      <c r="AA113" s="39" t="s">
        <v>1418</v>
      </c>
      <c r="AB113" s="39" t="s">
        <v>1419</v>
      </c>
      <c r="AE113" s="39" t="s">
        <v>923</v>
      </c>
      <c r="AG113" s="39" t="s">
        <v>924</v>
      </c>
      <c r="AI113" s="39">
        <v>112</v>
      </c>
    </row>
    <row r="114" spans="1:35" x14ac:dyDescent="0.3">
      <c r="A114" s="39" t="s">
        <v>1420</v>
      </c>
      <c r="B114" s="39" t="s">
        <v>1421</v>
      </c>
      <c r="C114" s="39" t="s">
        <v>1417</v>
      </c>
      <c r="D114" s="39" t="s">
        <v>913</v>
      </c>
      <c r="E114" s="39" t="s">
        <v>914</v>
      </c>
      <c r="F114" s="39" t="s">
        <v>915</v>
      </c>
      <c r="G114" s="39" t="s">
        <v>1252</v>
      </c>
      <c r="H114" s="39" t="s">
        <v>917</v>
      </c>
      <c r="I114" s="39" t="s">
        <v>236</v>
      </c>
      <c r="J114" s="39" t="s">
        <v>918</v>
      </c>
      <c r="K114" s="39" t="s">
        <v>919</v>
      </c>
      <c r="L114" s="39">
        <v>3</v>
      </c>
      <c r="M114" s="39" t="s">
        <v>920</v>
      </c>
      <c r="N114" s="39">
        <v>1</v>
      </c>
      <c r="O114" s="39">
        <v>0</v>
      </c>
      <c r="P114" s="39">
        <v>2</v>
      </c>
      <c r="Q114" s="39">
        <v>0</v>
      </c>
      <c r="R114" s="39">
        <v>1</v>
      </c>
      <c r="S114" s="39">
        <v>1</v>
      </c>
      <c r="T114" s="39">
        <v>0</v>
      </c>
      <c r="U114" s="39">
        <v>6</v>
      </c>
      <c r="V114" s="39">
        <v>3</v>
      </c>
      <c r="W114" s="39">
        <v>1</v>
      </c>
      <c r="X114" s="39">
        <v>0</v>
      </c>
      <c r="Y114" s="39" t="s">
        <v>920</v>
      </c>
      <c r="Z114" s="39">
        <v>418250795</v>
      </c>
      <c r="AA114" s="39" t="s">
        <v>1422</v>
      </c>
      <c r="AB114" s="39" t="s">
        <v>1423</v>
      </c>
      <c r="AE114" s="39" t="s">
        <v>923</v>
      </c>
      <c r="AG114" s="39" t="s">
        <v>924</v>
      </c>
      <c r="AI114" s="39">
        <v>113</v>
      </c>
    </row>
    <row r="115" spans="1:35" x14ac:dyDescent="0.3">
      <c r="A115" s="39" t="s">
        <v>1424</v>
      </c>
      <c r="B115" s="39" t="s">
        <v>1425</v>
      </c>
      <c r="C115" s="39" t="s">
        <v>1417</v>
      </c>
      <c r="D115" s="39" t="s">
        <v>927</v>
      </c>
      <c r="E115" s="39" t="s">
        <v>928</v>
      </c>
      <c r="F115" s="39" t="s">
        <v>915</v>
      </c>
      <c r="G115" s="39" t="s">
        <v>916</v>
      </c>
      <c r="H115" s="39" t="s">
        <v>920</v>
      </c>
      <c r="Z115" s="39">
        <v>418250798</v>
      </c>
      <c r="AA115" s="39" t="s">
        <v>1426</v>
      </c>
      <c r="AB115" s="39" t="s">
        <v>1427</v>
      </c>
      <c r="AE115" s="39" t="s">
        <v>923</v>
      </c>
      <c r="AG115" s="39" t="s">
        <v>924</v>
      </c>
      <c r="AI115" s="39">
        <v>114</v>
      </c>
    </row>
    <row r="116" spans="1:35" x14ac:dyDescent="0.3">
      <c r="A116" s="39" t="s">
        <v>1428</v>
      </c>
      <c r="B116" s="39" t="s">
        <v>1429</v>
      </c>
      <c r="C116" s="39" t="s">
        <v>1430</v>
      </c>
      <c r="D116" s="39" t="s">
        <v>949</v>
      </c>
      <c r="E116" s="39" t="s">
        <v>950</v>
      </c>
      <c r="F116" s="39" t="s">
        <v>951</v>
      </c>
      <c r="G116" s="39" t="s">
        <v>916</v>
      </c>
      <c r="H116" s="39" t="s">
        <v>917</v>
      </c>
      <c r="I116" s="39" t="s">
        <v>719</v>
      </c>
      <c r="J116" s="39" t="s">
        <v>976</v>
      </c>
      <c r="K116" s="39" t="s">
        <v>952</v>
      </c>
      <c r="L116" s="39">
        <v>8</v>
      </c>
      <c r="M116" s="39" t="s">
        <v>917</v>
      </c>
      <c r="N116" s="39">
        <v>0</v>
      </c>
      <c r="O116" s="39">
        <v>5</v>
      </c>
      <c r="P116" s="39">
        <v>2</v>
      </c>
      <c r="Q116" s="39">
        <v>1</v>
      </c>
      <c r="R116" s="39">
        <v>3</v>
      </c>
      <c r="S116" s="39">
        <v>0</v>
      </c>
      <c r="T116" s="39">
        <v>0</v>
      </c>
      <c r="U116" s="39">
        <v>11</v>
      </c>
      <c r="V116" s="39">
        <v>4</v>
      </c>
      <c r="W116" s="39">
        <v>3</v>
      </c>
      <c r="X116" s="39">
        <v>1</v>
      </c>
      <c r="Z116" s="39">
        <v>418250807</v>
      </c>
      <c r="AA116" s="39" t="s">
        <v>1431</v>
      </c>
      <c r="AB116" s="39" t="s">
        <v>1432</v>
      </c>
      <c r="AE116" s="39" t="s">
        <v>923</v>
      </c>
      <c r="AG116" s="39" t="s">
        <v>924</v>
      </c>
      <c r="AI116" s="39">
        <v>115</v>
      </c>
    </row>
    <row r="117" spans="1:35" x14ac:dyDescent="0.3">
      <c r="A117" s="39" t="s">
        <v>1433</v>
      </c>
      <c r="B117" s="39" t="s">
        <v>1434</v>
      </c>
      <c r="C117" s="39" t="s">
        <v>1430</v>
      </c>
      <c r="D117" s="39" t="s">
        <v>949</v>
      </c>
      <c r="E117" s="39" t="s">
        <v>950</v>
      </c>
      <c r="F117" s="39" t="s">
        <v>951</v>
      </c>
      <c r="G117" s="39" t="s">
        <v>916</v>
      </c>
      <c r="H117" s="39" t="s">
        <v>917</v>
      </c>
      <c r="I117" s="39" t="s">
        <v>555</v>
      </c>
      <c r="J117" s="39" t="s">
        <v>951</v>
      </c>
      <c r="K117" s="39" t="s">
        <v>919</v>
      </c>
      <c r="L117" s="39">
        <v>8</v>
      </c>
      <c r="M117" s="39" t="s">
        <v>917</v>
      </c>
      <c r="N117" s="39">
        <v>0</v>
      </c>
      <c r="O117" s="39">
        <v>7</v>
      </c>
      <c r="P117" s="39">
        <v>1</v>
      </c>
      <c r="Q117" s="39">
        <v>0</v>
      </c>
      <c r="R117" s="39">
        <v>2</v>
      </c>
      <c r="S117" s="39">
        <v>0</v>
      </c>
      <c r="T117" s="39">
        <v>1</v>
      </c>
      <c r="U117" s="39">
        <v>5</v>
      </c>
      <c r="V117" s="39">
        <v>8</v>
      </c>
      <c r="W117" s="39">
        <v>4</v>
      </c>
      <c r="X117" s="39">
        <v>0</v>
      </c>
      <c r="Z117" s="39">
        <v>418250817</v>
      </c>
      <c r="AA117" s="39" t="s">
        <v>1435</v>
      </c>
      <c r="AB117" s="39" t="s">
        <v>1436</v>
      </c>
      <c r="AE117" s="39" t="s">
        <v>923</v>
      </c>
      <c r="AG117" s="39" t="s">
        <v>924</v>
      </c>
      <c r="AI117" s="39">
        <v>116</v>
      </c>
    </row>
    <row r="118" spans="1:35" x14ac:dyDescent="0.3">
      <c r="A118" s="39" t="s">
        <v>1437</v>
      </c>
      <c r="B118" s="39" t="s">
        <v>1438</v>
      </c>
      <c r="C118" s="39" t="s">
        <v>1430</v>
      </c>
      <c r="D118" s="39" t="s">
        <v>927</v>
      </c>
      <c r="E118" s="39" t="s">
        <v>928</v>
      </c>
      <c r="F118" s="39" t="s">
        <v>915</v>
      </c>
      <c r="G118" s="39" t="s">
        <v>916</v>
      </c>
      <c r="H118" s="39" t="s">
        <v>917</v>
      </c>
      <c r="I118" s="39" t="s">
        <v>466</v>
      </c>
      <c r="J118" s="39" t="s">
        <v>918</v>
      </c>
      <c r="K118" s="39" t="s">
        <v>919</v>
      </c>
      <c r="L118" s="39">
        <v>5</v>
      </c>
      <c r="M118" s="39" t="s">
        <v>920</v>
      </c>
      <c r="N118" s="39">
        <v>0</v>
      </c>
      <c r="O118" s="39">
        <v>3</v>
      </c>
      <c r="P118" s="39">
        <v>2</v>
      </c>
      <c r="Q118" s="39">
        <v>0</v>
      </c>
      <c r="R118" s="39">
        <v>1</v>
      </c>
      <c r="S118" s="39">
        <v>1</v>
      </c>
      <c r="T118" s="39">
        <v>0</v>
      </c>
      <c r="U118" s="39">
        <v>8</v>
      </c>
      <c r="V118" s="39">
        <v>2</v>
      </c>
      <c r="W118" s="39">
        <v>0</v>
      </c>
      <c r="X118" s="39">
        <v>2</v>
      </c>
      <c r="Z118" s="39">
        <v>418250820</v>
      </c>
      <c r="AA118" s="39" t="s">
        <v>1439</v>
      </c>
      <c r="AB118" s="39" t="s">
        <v>1440</v>
      </c>
      <c r="AE118" s="39" t="s">
        <v>923</v>
      </c>
      <c r="AG118" s="39" t="s">
        <v>924</v>
      </c>
      <c r="AI118" s="39">
        <v>117</v>
      </c>
    </row>
    <row r="119" spans="1:35" x14ac:dyDescent="0.3">
      <c r="A119" s="39" t="s">
        <v>1441</v>
      </c>
      <c r="B119" s="39" t="s">
        <v>1442</v>
      </c>
      <c r="C119" s="39" t="s">
        <v>1430</v>
      </c>
      <c r="D119" s="39" t="s">
        <v>927</v>
      </c>
      <c r="E119" s="39" t="s">
        <v>928</v>
      </c>
      <c r="F119" s="39" t="s">
        <v>915</v>
      </c>
      <c r="G119" s="39" t="s">
        <v>916</v>
      </c>
      <c r="H119" s="39" t="s">
        <v>917</v>
      </c>
      <c r="I119" s="39" t="s">
        <v>587</v>
      </c>
      <c r="J119" s="39" t="s">
        <v>918</v>
      </c>
      <c r="K119" s="39" t="s">
        <v>919</v>
      </c>
      <c r="L119" s="39">
        <v>4</v>
      </c>
      <c r="M119" s="39" t="s">
        <v>920</v>
      </c>
      <c r="N119" s="39">
        <v>1</v>
      </c>
      <c r="O119" s="39">
        <v>2</v>
      </c>
      <c r="P119" s="39">
        <v>1</v>
      </c>
      <c r="Q119" s="39">
        <v>0</v>
      </c>
      <c r="R119" s="39">
        <v>1</v>
      </c>
      <c r="S119" s="39">
        <v>0</v>
      </c>
      <c r="T119" s="39">
        <v>0</v>
      </c>
      <c r="U119" s="39">
        <v>1</v>
      </c>
      <c r="V119" s="39">
        <v>3</v>
      </c>
      <c r="W119" s="39">
        <v>0</v>
      </c>
      <c r="X119" s="39">
        <v>0</v>
      </c>
      <c r="Y119" s="39" t="s">
        <v>920</v>
      </c>
      <c r="Z119" s="39">
        <v>418250828</v>
      </c>
      <c r="AA119" s="39" t="s">
        <v>1443</v>
      </c>
      <c r="AB119" s="39" t="s">
        <v>1444</v>
      </c>
      <c r="AE119" s="39" t="s">
        <v>923</v>
      </c>
      <c r="AG119" s="39" t="s">
        <v>924</v>
      </c>
      <c r="AI119" s="39">
        <v>118</v>
      </c>
    </row>
    <row r="120" spans="1:35" x14ac:dyDescent="0.3">
      <c r="A120" s="39" t="s">
        <v>1445</v>
      </c>
      <c r="B120" s="39" t="s">
        <v>1446</v>
      </c>
      <c r="C120" s="39" t="s">
        <v>1447</v>
      </c>
      <c r="D120" s="39" t="s">
        <v>975</v>
      </c>
      <c r="E120" s="39" t="s">
        <v>950</v>
      </c>
      <c r="F120" s="39" t="s">
        <v>951</v>
      </c>
      <c r="G120" s="39" t="s">
        <v>916</v>
      </c>
      <c r="H120" s="39" t="s">
        <v>917</v>
      </c>
      <c r="I120" s="39" t="s">
        <v>600</v>
      </c>
      <c r="J120" s="39" t="s">
        <v>951</v>
      </c>
      <c r="K120" s="39" t="s">
        <v>919</v>
      </c>
      <c r="L120" s="39">
        <v>3</v>
      </c>
      <c r="M120" s="39" t="s">
        <v>920</v>
      </c>
      <c r="N120" s="39">
        <v>0</v>
      </c>
      <c r="O120" s="39">
        <v>0</v>
      </c>
      <c r="P120" s="39">
        <v>2</v>
      </c>
      <c r="Q120" s="39">
        <v>1</v>
      </c>
      <c r="R120" s="39">
        <v>1</v>
      </c>
      <c r="S120" s="39">
        <v>0</v>
      </c>
      <c r="T120" s="39">
        <v>0</v>
      </c>
      <c r="U120" s="39">
        <v>0</v>
      </c>
      <c r="V120" s="39">
        <v>3</v>
      </c>
      <c r="X120" s="39">
        <v>0</v>
      </c>
      <c r="Z120" s="39">
        <v>418250835</v>
      </c>
      <c r="AA120" s="39" t="s">
        <v>1448</v>
      </c>
      <c r="AB120" s="39" t="s">
        <v>1449</v>
      </c>
      <c r="AE120" s="39" t="s">
        <v>923</v>
      </c>
      <c r="AG120" s="39" t="s">
        <v>924</v>
      </c>
      <c r="AI120" s="39">
        <v>119</v>
      </c>
    </row>
    <row r="121" spans="1:35" x14ac:dyDescent="0.3">
      <c r="A121" s="39" t="s">
        <v>1450</v>
      </c>
      <c r="B121" s="39" t="s">
        <v>1451</v>
      </c>
      <c r="C121" s="39" t="s">
        <v>1447</v>
      </c>
      <c r="D121" s="39" t="s">
        <v>994</v>
      </c>
      <c r="E121" s="39" t="s">
        <v>995</v>
      </c>
      <c r="F121" s="39" t="s">
        <v>996</v>
      </c>
      <c r="G121" s="39" t="s">
        <v>916</v>
      </c>
      <c r="H121" s="39" t="s">
        <v>917</v>
      </c>
      <c r="I121" s="39" t="s">
        <v>509</v>
      </c>
      <c r="J121" s="39" t="s">
        <v>997</v>
      </c>
      <c r="K121" s="39" t="s">
        <v>919</v>
      </c>
      <c r="L121" s="39">
        <v>4</v>
      </c>
      <c r="M121" s="39" t="s">
        <v>920</v>
      </c>
      <c r="N121" s="39">
        <v>0</v>
      </c>
      <c r="O121" s="39">
        <v>1</v>
      </c>
      <c r="P121" s="39">
        <v>2</v>
      </c>
      <c r="Q121" s="39">
        <v>1</v>
      </c>
      <c r="R121" s="39">
        <v>1</v>
      </c>
      <c r="S121" s="39">
        <v>0</v>
      </c>
      <c r="T121" s="39">
        <v>1</v>
      </c>
      <c r="U121" s="39">
        <v>3</v>
      </c>
      <c r="V121" s="39">
        <v>0</v>
      </c>
      <c r="W121" s="39">
        <v>0</v>
      </c>
      <c r="X121" s="39">
        <v>3</v>
      </c>
      <c r="Z121" s="39">
        <v>418250844</v>
      </c>
      <c r="AA121" s="39" t="s">
        <v>1452</v>
      </c>
      <c r="AB121" s="39" t="s">
        <v>1453</v>
      </c>
      <c r="AE121" s="39" t="s">
        <v>923</v>
      </c>
      <c r="AG121" s="39" t="s">
        <v>924</v>
      </c>
      <c r="AI121" s="39">
        <v>120</v>
      </c>
    </row>
    <row r="122" spans="1:35" x14ac:dyDescent="0.3">
      <c r="A122" s="39" t="s">
        <v>1454</v>
      </c>
      <c r="B122" s="39" t="s">
        <v>1455</v>
      </c>
      <c r="C122" s="39" t="s">
        <v>1447</v>
      </c>
      <c r="D122" s="39" t="s">
        <v>975</v>
      </c>
      <c r="E122" s="39" t="s">
        <v>950</v>
      </c>
      <c r="F122" s="39" t="s">
        <v>951</v>
      </c>
      <c r="G122" s="39" t="s">
        <v>916</v>
      </c>
      <c r="H122" s="39" t="s">
        <v>917</v>
      </c>
      <c r="I122" s="39" t="s">
        <v>606</v>
      </c>
      <c r="J122" s="39" t="s">
        <v>976</v>
      </c>
      <c r="K122" s="39" t="s">
        <v>919</v>
      </c>
      <c r="L122" s="39">
        <v>6</v>
      </c>
      <c r="M122" s="39" t="s">
        <v>917</v>
      </c>
      <c r="N122" s="39">
        <v>0</v>
      </c>
      <c r="O122" s="39">
        <v>1</v>
      </c>
      <c r="P122" s="39">
        <v>3</v>
      </c>
      <c r="Q122" s="39">
        <v>2</v>
      </c>
      <c r="R122" s="39">
        <v>3</v>
      </c>
      <c r="S122" s="39">
        <v>1</v>
      </c>
      <c r="T122" s="39">
        <v>0</v>
      </c>
      <c r="U122" s="39">
        <v>3</v>
      </c>
      <c r="V122" s="39">
        <v>4</v>
      </c>
      <c r="W122" s="39">
        <v>0</v>
      </c>
      <c r="X122" s="39">
        <v>2</v>
      </c>
      <c r="Z122" s="39">
        <v>418250851</v>
      </c>
      <c r="AA122" s="39" t="s">
        <v>1456</v>
      </c>
      <c r="AB122" s="39" t="s">
        <v>1457</v>
      </c>
      <c r="AE122" s="39" t="s">
        <v>923</v>
      </c>
      <c r="AG122" s="39" t="s">
        <v>924</v>
      </c>
      <c r="AI122" s="39">
        <v>121</v>
      </c>
    </row>
    <row r="123" spans="1:35" x14ac:dyDescent="0.3">
      <c r="A123" s="39" t="s">
        <v>1458</v>
      </c>
      <c r="B123" s="39" t="s">
        <v>1459</v>
      </c>
      <c r="C123" s="39" t="s">
        <v>1447</v>
      </c>
      <c r="D123" s="39" t="s">
        <v>913</v>
      </c>
      <c r="E123" s="39" t="s">
        <v>914</v>
      </c>
      <c r="F123" s="39" t="s">
        <v>915</v>
      </c>
      <c r="G123" s="39" t="s">
        <v>1252</v>
      </c>
      <c r="H123" s="39" t="s">
        <v>917</v>
      </c>
      <c r="I123" s="39" t="s">
        <v>197</v>
      </c>
      <c r="J123" s="39" t="s">
        <v>918</v>
      </c>
      <c r="K123" s="39" t="s">
        <v>919</v>
      </c>
      <c r="L123" s="39">
        <v>9</v>
      </c>
      <c r="M123" s="39" t="s">
        <v>920</v>
      </c>
      <c r="N123" s="39">
        <v>0</v>
      </c>
      <c r="O123" s="39">
        <v>6</v>
      </c>
      <c r="P123" s="39">
        <v>2</v>
      </c>
      <c r="Q123" s="39">
        <v>1</v>
      </c>
      <c r="R123" s="39">
        <v>2</v>
      </c>
      <c r="S123" s="39">
        <v>0</v>
      </c>
      <c r="T123" s="39">
        <v>0</v>
      </c>
      <c r="U123" s="39">
        <v>17</v>
      </c>
      <c r="V123" s="39">
        <v>1</v>
      </c>
      <c r="W123" s="39">
        <v>1</v>
      </c>
      <c r="X123" s="39">
        <v>0</v>
      </c>
      <c r="Z123" s="39">
        <v>418250858</v>
      </c>
      <c r="AA123" s="39" t="s">
        <v>1460</v>
      </c>
      <c r="AB123" s="39" t="s">
        <v>1461</v>
      </c>
      <c r="AE123" s="39" t="s">
        <v>923</v>
      </c>
      <c r="AG123" s="39" t="s">
        <v>924</v>
      </c>
      <c r="AI123" s="39">
        <v>122</v>
      </c>
    </row>
    <row r="124" spans="1:35" x14ac:dyDescent="0.3">
      <c r="A124" s="39" t="s">
        <v>1462</v>
      </c>
      <c r="B124" s="39" t="s">
        <v>1463</v>
      </c>
      <c r="C124" s="39" t="s">
        <v>1447</v>
      </c>
      <c r="D124" s="39" t="s">
        <v>913</v>
      </c>
      <c r="E124" s="39" t="s">
        <v>914</v>
      </c>
      <c r="F124" s="39" t="s">
        <v>915</v>
      </c>
      <c r="G124" s="39" t="s">
        <v>1252</v>
      </c>
      <c r="H124" s="39" t="s">
        <v>917</v>
      </c>
      <c r="I124" s="39" t="s">
        <v>243</v>
      </c>
      <c r="J124" s="39" t="s">
        <v>918</v>
      </c>
      <c r="K124" s="39" t="s">
        <v>943</v>
      </c>
      <c r="L124" s="39">
        <v>9</v>
      </c>
      <c r="M124" s="39" t="s">
        <v>917</v>
      </c>
      <c r="N124" s="39">
        <v>0</v>
      </c>
      <c r="O124" s="39">
        <v>8</v>
      </c>
      <c r="P124" s="39">
        <v>1</v>
      </c>
      <c r="Q124" s="39">
        <v>0</v>
      </c>
      <c r="R124" s="39">
        <v>2</v>
      </c>
      <c r="S124" s="39">
        <v>0</v>
      </c>
      <c r="T124" s="39">
        <v>0</v>
      </c>
      <c r="U124" s="39">
        <v>3</v>
      </c>
      <c r="V124" s="39">
        <v>1</v>
      </c>
      <c r="W124" s="39">
        <v>0</v>
      </c>
      <c r="X124" s="39">
        <v>0</v>
      </c>
      <c r="Z124" s="39">
        <v>418250866</v>
      </c>
      <c r="AA124" s="39" t="s">
        <v>1464</v>
      </c>
      <c r="AB124" s="39" t="s">
        <v>1465</v>
      </c>
      <c r="AE124" s="39" t="s">
        <v>923</v>
      </c>
      <c r="AG124" s="39" t="s">
        <v>924</v>
      </c>
      <c r="AI124" s="39">
        <v>123</v>
      </c>
    </row>
    <row r="125" spans="1:35" x14ac:dyDescent="0.3">
      <c r="A125" s="39" t="s">
        <v>1466</v>
      </c>
      <c r="B125" s="39" t="s">
        <v>1467</v>
      </c>
      <c r="C125" s="39" t="s">
        <v>1447</v>
      </c>
      <c r="D125" s="39" t="s">
        <v>938</v>
      </c>
      <c r="E125" s="39" t="s">
        <v>928</v>
      </c>
      <c r="F125" s="39" t="s">
        <v>915</v>
      </c>
      <c r="G125" s="39" t="s">
        <v>1252</v>
      </c>
      <c r="H125" s="39" t="s">
        <v>917</v>
      </c>
      <c r="I125" s="39" t="s">
        <v>252</v>
      </c>
      <c r="J125" s="39" t="s">
        <v>918</v>
      </c>
      <c r="K125" s="39" t="s">
        <v>919</v>
      </c>
      <c r="L125" s="39">
        <v>7</v>
      </c>
      <c r="M125" s="39" t="s">
        <v>920</v>
      </c>
      <c r="N125" s="39">
        <v>1</v>
      </c>
      <c r="O125" s="39">
        <v>4</v>
      </c>
      <c r="P125" s="39">
        <v>2</v>
      </c>
      <c r="Q125" s="39">
        <v>0</v>
      </c>
      <c r="R125" s="39">
        <v>1</v>
      </c>
      <c r="S125" s="39">
        <v>1</v>
      </c>
      <c r="T125" s="39">
        <v>0</v>
      </c>
      <c r="U125" s="39">
        <v>8</v>
      </c>
      <c r="V125" s="39">
        <v>4</v>
      </c>
      <c r="W125" s="39">
        <v>3</v>
      </c>
      <c r="X125" s="39">
        <v>0</v>
      </c>
      <c r="Y125" s="39" t="s">
        <v>920</v>
      </c>
      <c r="Z125" s="39">
        <v>418250870</v>
      </c>
      <c r="AA125" s="39" t="s">
        <v>1468</v>
      </c>
      <c r="AB125" s="39" t="s">
        <v>1469</v>
      </c>
      <c r="AE125" s="39" t="s">
        <v>923</v>
      </c>
      <c r="AG125" s="39" t="s">
        <v>924</v>
      </c>
      <c r="AI125" s="39">
        <v>124</v>
      </c>
    </row>
    <row r="126" spans="1:35" x14ac:dyDescent="0.3">
      <c r="A126" s="39" t="s">
        <v>1470</v>
      </c>
      <c r="B126" s="39" t="s">
        <v>1471</v>
      </c>
      <c r="C126" s="39" t="s">
        <v>1447</v>
      </c>
      <c r="D126" s="39" t="s">
        <v>994</v>
      </c>
      <c r="E126" s="39" t="s">
        <v>995</v>
      </c>
      <c r="F126" s="39" t="s">
        <v>996</v>
      </c>
      <c r="G126" s="39" t="s">
        <v>916</v>
      </c>
      <c r="H126" s="39" t="s">
        <v>917</v>
      </c>
      <c r="I126" s="39" t="s">
        <v>580</v>
      </c>
      <c r="J126" s="39" t="s">
        <v>997</v>
      </c>
      <c r="K126" s="39" t="s">
        <v>919</v>
      </c>
      <c r="L126" s="39">
        <v>5</v>
      </c>
      <c r="M126" s="39" t="s">
        <v>920</v>
      </c>
      <c r="N126" s="39">
        <v>1</v>
      </c>
      <c r="O126" s="39">
        <v>1</v>
      </c>
      <c r="P126" s="39">
        <v>2</v>
      </c>
      <c r="Q126" s="39">
        <v>1</v>
      </c>
      <c r="R126" s="39">
        <v>1</v>
      </c>
      <c r="S126" s="39">
        <v>0</v>
      </c>
      <c r="T126" s="39">
        <v>0</v>
      </c>
      <c r="U126" s="39">
        <v>6</v>
      </c>
      <c r="V126" s="39">
        <v>2</v>
      </c>
      <c r="W126" s="39">
        <v>0</v>
      </c>
      <c r="X126" s="39">
        <v>2</v>
      </c>
      <c r="Y126" s="39" t="s">
        <v>917</v>
      </c>
      <c r="Z126" s="39">
        <v>418250880</v>
      </c>
      <c r="AA126" s="39" t="s">
        <v>1472</v>
      </c>
      <c r="AB126" s="39" t="s">
        <v>1473</v>
      </c>
      <c r="AE126" s="39" t="s">
        <v>923</v>
      </c>
      <c r="AG126" s="39" t="s">
        <v>924</v>
      </c>
      <c r="AI126" s="39">
        <v>125</v>
      </c>
    </row>
    <row r="127" spans="1:35" x14ac:dyDescent="0.3">
      <c r="A127" s="39" t="s">
        <v>1474</v>
      </c>
      <c r="B127" s="39" t="s">
        <v>1475</v>
      </c>
      <c r="C127" s="39" t="s">
        <v>1447</v>
      </c>
      <c r="D127" s="39" t="s">
        <v>913</v>
      </c>
      <c r="E127" s="39" t="s">
        <v>914</v>
      </c>
      <c r="F127" s="39" t="s">
        <v>915</v>
      </c>
      <c r="G127" s="39" t="s">
        <v>916</v>
      </c>
      <c r="H127" s="39" t="s">
        <v>917</v>
      </c>
      <c r="I127" s="39" t="s">
        <v>492</v>
      </c>
      <c r="J127" s="39" t="s">
        <v>918</v>
      </c>
      <c r="K127" s="39" t="s">
        <v>919</v>
      </c>
      <c r="L127" s="39">
        <v>4</v>
      </c>
      <c r="M127" s="39" t="s">
        <v>920</v>
      </c>
      <c r="N127" s="39">
        <v>1</v>
      </c>
      <c r="O127" s="39">
        <v>1</v>
      </c>
      <c r="P127" s="39">
        <v>1</v>
      </c>
      <c r="Q127" s="39">
        <v>1</v>
      </c>
      <c r="R127" s="39">
        <v>1</v>
      </c>
      <c r="S127" s="39">
        <v>1</v>
      </c>
      <c r="T127" s="39">
        <v>0</v>
      </c>
      <c r="U127" s="39">
        <v>4</v>
      </c>
      <c r="V127" s="39">
        <v>1</v>
      </c>
      <c r="W127" s="39">
        <v>0</v>
      </c>
      <c r="X127" s="39">
        <v>2</v>
      </c>
      <c r="Y127" s="39" t="s">
        <v>920</v>
      </c>
      <c r="Z127" s="39">
        <v>418250886</v>
      </c>
      <c r="AA127" s="39" t="s">
        <v>1476</v>
      </c>
      <c r="AB127" s="39" t="s">
        <v>1477</v>
      </c>
      <c r="AE127" s="39" t="s">
        <v>923</v>
      </c>
      <c r="AG127" s="39" t="s">
        <v>924</v>
      </c>
      <c r="AI127" s="39">
        <v>126</v>
      </c>
    </row>
    <row r="128" spans="1:35" x14ac:dyDescent="0.3">
      <c r="A128" s="39" t="s">
        <v>1478</v>
      </c>
      <c r="B128" s="39" t="s">
        <v>1479</v>
      </c>
      <c r="C128" s="39" t="s">
        <v>1480</v>
      </c>
      <c r="D128" s="39" t="s">
        <v>927</v>
      </c>
      <c r="E128" s="39" t="s">
        <v>928</v>
      </c>
      <c r="F128" s="39" t="s">
        <v>915</v>
      </c>
      <c r="G128" s="39" t="s">
        <v>916</v>
      </c>
      <c r="H128" s="39" t="s">
        <v>917</v>
      </c>
      <c r="I128" s="39" t="s">
        <v>511</v>
      </c>
      <c r="J128" s="39" t="s">
        <v>918</v>
      </c>
      <c r="K128" s="39" t="s">
        <v>919</v>
      </c>
      <c r="L128" s="39">
        <v>11</v>
      </c>
      <c r="M128" s="39" t="s">
        <v>920</v>
      </c>
      <c r="N128" s="39">
        <v>1</v>
      </c>
      <c r="O128" s="39">
        <v>8</v>
      </c>
      <c r="P128" s="39">
        <v>2</v>
      </c>
      <c r="Q128" s="39">
        <v>0</v>
      </c>
      <c r="R128" s="39">
        <v>2</v>
      </c>
      <c r="S128" s="39">
        <v>1</v>
      </c>
      <c r="T128" s="39">
        <v>2</v>
      </c>
      <c r="U128" s="39">
        <v>11</v>
      </c>
      <c r="V128" s="39">
        <v>4</v>
      </c>
      <c r="W128" s="39">
        <v>6</v>
      </c>
      <c r="X128" s="39">
        <v>2</v>
      </c>
      <c r="Y128" s="39" t="s">
        <v>920</v>
      </c>
      <c r="Z128" s="39">
        <v>418250889</v>
      </c>
      <c r="AA128" s="39" t="s">
        <v>1481</v>
      </c>
      <c r="AB128" s="39" t="s">
        <v>1482</v>
      </c>
      <c r="AE128" s="39" t="s">
        <v>923</v>
      </c>
      <c r="AG128" s="39" t="s">
        <v>924</v>
      </c>
      <c r="AI128" s="39">
        <v>127</v>
      </c>
    </row>
    <row r="129" spans="1:35" x14ac:dyDescent="0.3">
      <c r="A129" s="39" t="s">
        <v>1483</v>
      </c>
      <c r="B129" s="39" t="s">
        <v>1484</v>
      </c>
      <c r="C129" s="39" t="s">
        <v>1480</v>
      </c>
      <c r="D129" s="39" t="s">
        <v>994</v>
      </c>
      <c r="E129" s="39" t="s">
        <v>995</v>
      </c>
      <c r="F129" s="39" t="s">
        <v>996</v>
      </c>
      <c r="G129" s="39" t="s">
        <v>1252</v>
      </c>
      <c r="H129" s="39" t="s">
        <v>917</v>
      </c>
      <c r="I129" s="39" t="s">
        <v>342</v>
      </c>
      <c r="J129" s="39" t="s">
        <v>997</v>
      </c>
      <c r="K129" s="39" t="s">
        <v>919</v>
      </c>
      <c r="L129" s="39">
        <v>5</v>
      </c>
      <c r="M129" s="39" t="s">
        <v>920</v>
      </c>
      <c r="N129" s="39">
        <v>0</v>
      </c>
      <c r="O129" s="39">
        <v>2</v>
      </c>
      <c r="P129" s="39">
        <v>2</v>
      </c>
      <c r="Q129" s="39">
        <v>1</v>
      </c>
      <c r="R129" s="39">
        <v>2</v>
      </c>
      <c r="S129" s="39">
        <v>0</v>
      </c>
      <c r="T129" s="39">
        <v>0</v>
      </c>
      <c r="U129" s="39">
        <v>7</v>
      </c>
      <c r="V129" s="39">
        <v>3</v>
      </c>
      <c r="W129" s="39">
        <v>2</v>
      </c>
      <c r="X129" s="39">
        <v>1</v>
      </c>
      <c r="Z129" s="39">
        <v>418250899</v>
      </c>
      <c r="AA129" s="39" t="s">
        <v>1485</v>
      </c>
      <c r="AB129" s="39" t="s">
        <v>1486</v>
      </c>
      <c r="AE129" s="39" t="s">
        <v>923</v>
      </c>
      <c r="AG129" s="39" t="s">
        <v>924</v>
      </c>
      <c r="AI129" s="39">
        <v>128</v>
      </c>
    </row>
    <row r="130" spans="1:35" x14ac:dyDescent="0.3">
      <c r="A130" s="39" t="s">
        <v>1487</v>
      </c>
      <c r="B130" s="39" t="s">
        <v>1488</v>
      </c>
      <c r="C130" s="39" t="s">
        <v>1480</v>
      </c>
      <c r="D130" s="39" t="s">
        <v>994</v>
      </c>
      <c r="E130" s="39" t="s">
        <v>995</v>
      </c>
      <c r="F130" s="39" t="s">
        <v>996</v>
      </c>
      <c r="G130" s="39" t="s">
        <v>916</v>
      </c>
      <c r="H130" s="39" t="s">
        <v>917</v>
      </c>
      <c r="I130" s="39" t="s">
        <v>1489</v>
      </c>
      <c r="J130" s="39" t="s">
        <v>997</v>
      </c>
      <c r="K130" s="39" t="s">
        <v>943</v>
      </c>
      <c r="L130" s="39">
        <v>5</v>
      </c>
      <c r="M130" s="39" t="s">
        <v>920</v>
      </c>
      <c r="N130" s="39">
        <v>0</v>
      </c>
      <c r="O130" s="39">
        <v>2</v>
      </c>
      <c r="P130" s="39">
        <v>2</v>
      </c>
      <c r="Q130" s="39">
        <v>1</v>
      </c>
      <c r="R130" s="39">
        <v>2</v>
      </c>
      <c r="S130" s="39">
        <v>0</v>
      </c>
      <c r="T130" s="39">
        <v>0</v>
      </c>
      <c r="U130" s="39">
        <v>7</v>
      </c>
      <c r="V130" s="39">
        <v>3</v>
      </c>
      <c r="W130" s="39">
        <v>0</v>
      </c>
      <c r="X130" s="39">
        <v>3</v>
      </c>
      <c r="Z130" s="39">
        <v>418250908</v>
      </c>
      <c r="AA130" s="39" t="s">
        <v>1490</v>
      </c>
      <c r="AB130" s="39" t="s">
        <v>1491</v>
      </c>
      <c r="AE130" s="39" t="s">
        <v>923</v>
      </c>
      <c r="AG130" s="39" t="s">
        <v>924</v>
      </c>
      <c r="AI130" s="39">
        <v>129</v>
      </c>
    </row>
    <row r="131" spans="1:35" x14ac:dyDescent="0.3">
      <c r="A131" s="39" t="s">
        <v>1492</v>
      </c>
      <c r="B131" s="39" t="s">
        <v>1493</v>
      </c>
      <c r="C131" s="39" t="s">
        <v>1480</v>
      </c>
      <c r="D131" s="39" t="s">
        <v>994</v>
      </c>
      <c r="E131" s="39" t="s">
        <v>995</v>
      </c>
      <c r="F131" s="39" t="s">
        <v>996</v>
      </c>
      <c r="G131" s="39" t="s">
        <v>916</v>
      </c>
      <c r="H131" s="39" t="s">
        <v>917</v>
      </c>
      <c r="I131" s="39" t="s">
        <v>557</v>
      </c>
      <c r="J131" s="39" t="s">
        <v>997</v>
      </c>
      <c r="K131" s="39" t="s">
        <v>919</v>
      </c>
      <c r="L131" s="39">
        <v>4</v>
      </c>
      <c r="M131" s="39" t="s">
        <v>920</v>
      </c>
      <c r="N131" s="39">
        <v>1</v>
      </c>
      <c r="O131" s="39">
        <v>1</v>
      </c>
      <c r="P131" s="39">
        <v>2</v>
      </c>
      <c r="Q131" s="39">
        <v>0</v>
      </c>
      <c r="R131" s="39">
        <v>1</v>
      </c>
      <c r="S131" s="39">
        <v>0</v>
      </c>
      <c r="T131" s="39">
        <v>0</v>
      </c>
      <c r="U131" s="39">
        <v>0</v>
      </c>
      <c r="V131" s="39">
        <v>0</v>
      </c>
      <c r="W131" s="39">
        <v>2</v>
      </c>
      <c r="X131" s="39">
        <v>1</v>
      </c>
      <c r="Y131" s="39" t="s">
        <v>920</v>
      </c>
      <c r="Z131" s="39">
        <v>418250914</v>
      </c>
      <c r="AA131" s="39" t="s">
        <v>1494</v>
      </c>
      <c r="AB131" s="39" t="s">
        <v>1495</v>
      </c>
      <c r="AE131" s="39" t="s">
        <v>923</v>
      </c>
      <c r="AG131" s="39" t="s">
        <v>924</v>
      </c>
      <c r="AI131" s="39">
        <v>130</v>
      </c>
    </row>
    <row r="132" spans="1:35" x14ac:dyDescent="0.3">
      <c r="A132" s="39" t="s">
        <v>1496</v>
      </c>
      <c r="B132" s="39" t="s">
        <v>1497</v>
      </c>
      <c r="C132" s="39" t="s">
        <v>1498</v>
      </c>
      <c r="D132" s="39" t="s">
        <v>913</v>
      </c>
      <c r="E132" s="39" t="s">
        <v>914</v>
      </c>
      <c r="F132" s="39" t="s">
        <v>915</v>
      </c>
      <c r="G132" s="39" t="s">
        <v>916</v>
      </c>
      <c r="H132" s="39" t="s">
        <v>917</v>
      </c>
      <c r="I132" s="39" t="s">
        <v>547</v>
      </c>
      <c r="J132" s="39" t="s">
        <v>918</v>
      </c>
      <c r="K132" s="39" t="s">
        <v>919</v>
      </c>
      <c r="L132" s="39">
        <v>7</v>
      </c>
      <c r="M132" s="39" t="s">
        <v>920</v>
      </c>
      <c r="N132" s="39">
        <v>0</v>
      </c>
      <c r="O132" s="39">
        <v>5</v>
      </c>
      <c r="P132" s="39">
        <v>2</v>
      </c>
      <c r="Q132" s="39">
        <v>0</v>
      </c>
      <c r="R132" s="39">
        <v>2</v>
      </c>
      <c r="S132" s="39">
        <v>0</v>
      </c>
      <c r="T132" s="39">
        <v>0</v>
      </c>
      <c r="U132" s="39">
        <v>4</v>
      </c>
      <c r="V132" s="39">
        <v>0</v>
      </c>
      <c r="W132" s="39">
        <v>3</v>
      </c>
      <c r="X132" s="39">
        <v>0</v>
      </c>
      <c r="Z132" s="39">
        <v>418250920</v>
      </c>
      <c r="AA132" s="39" t="s">
        <v>1499</v>
      </c>
      <c r="AB132" s="39" t="s">
        <v>1500</v>
      </c>
      <c r="AE132" s="39" t="s">
        <v>923</v>
      </c>
      <c r="AG132" s="39" t="s">
        <v>924</v>
      </c>
      <c r="AI132" s="39">
        <v>131</v>
      </c>
    </row>
    <row r="133" spans="1:35" x14ac:dyDescent="0.3">
      <c r="A133" s="39" t="s">
        <v>1501</v>
      </c>
      <c r="B133" s="39" t="s">
        <v>1502</v>
      </c>
      <c r="C133" s="39" t="s">
        <v>1498</v>
      </c>
      <c r="D133" s="39" t="s">
        <v>994</v>
      </c>
      <c r="E133" s="39" t="s">
        <v>995</v>
      </c>
      <c r="F133" s="39" t="s">
        <v>996</v>
      </c>
      <c r="G133" s="39" t="s">
        <v>916</v>
      </c>
      <c r="H133" s="39" t="s">
        <v>917</v>
      </c>
      <c r="I133" s="39" t="s">
        <v>635</v>
      </c>
      <c r="J133" s="39" t="s">
        <v>997</v>
      </c>
      <c r="K133" s="39" t="s">
        <v>919</v>
      </c>
      <c r="L133" s="39">
        <v>9</v>
      </c>
      <c r="M133" s="39" t="s">
        <v>920</v>
      </c>
      <c r="N133" s="39">
        <v>1</v>
      </c>
      <c r="O133" s="39">
        <v>5</v>
      </c>
      <c r="P133" s="39">
        <v>2</v>
      </c>
      <c r="Q133" s="39">
        <v>1</v>
      </c>
      <c r="R133" s="39">
        <v>2</v>
      </c>
      <c r="S133" s="39">
        <v>1</v>
      </c>
      <c r="T133" s="39">
        <v>2</v>
      </c>
      <c r="U133" s="39">
        <v>15</v>
      </c>
      <c r="V133" s="39">
        <v>5</v>
      </c>
      <c r="W133" s="39">
        <v>1</v>
      </c>
      <c r="X133" s="39">
        <v>3</v>
      </c>
      <c r="Y133" s="39" t="s">
        <v>917</v>
      </c>
      <c r="Z133" s="39">
        <v>418250925</v>
      </c>
      <c r="AA133" s="39" t="s">
        <v>1503</v>
      </c>
      <c r="AB133" s="39" t="s">
        <v>1504</v>
      </c>
      <c r="AE133" s="39" t="s">
        <v>923</v>
      </c>
      <c r="AG133" s="39" t="s">
        <v>924</v>
      </c>
      <c r="AI133" s="39">
        <v>132</v>
      </c>
    </row>
    <row r="134" spans="1:35" x14ac:dyDescent="0.3">
      <c r="A134" s="39" t="s">
        <v>1505</v>
      </c>
      <c r="B134" s="39" t="s">
        <v>1506</v>
      </c>
      <c r="C134" s="39" t="s">
        <v>1507</v>
      </c>
      <c r="D134" s="39" t="s">
        <v>927</v>
      </c>
      <c r="E134" s="39" t="s">
        <v>928</v>
      </c>
      <c r="F134" s="39" t="s">
        <v>915</v>
      </c>
      <c r="G134" s="39" t="s">
        <v>916</v>
      </c>
      <c r="H134" s="39" t="s">
        <v>917</v>
      </c>
      <c r="I134" s="39" t="s">
        <v>564</v>
      </c>
      <c r="J134" s="39" t="s">
        <v>918</v>
      </c>
      <c r="K134" s="39" t="s">
        <v>919</v>
      </c>
      <c r="L134" s="39">
        <v>5</v>
      </c>
      <c r="M134" s="39" t="s">
        <v>920</v>
      </c>
      <c r="N134" s="39">
        <v>1</v>
      </c>
      <c r="O134" s="39">
        <v>2</v>
      </c>
      <c r="P134" s="39">
        <v>2</v>
      </c>
      <c r="Q134" s="39">
        <v>0</v>
      </c>
      <c r="R134" s="39">
        <v>1</v>
      </c>
      <c r="S134" s="39">
        <v>1</v>
      </c>
      <c r="T134" s="39">
        <v>0</v>
      </c>
      <c r="U134" s="39">
        <v>5</v>
      </c>
      <c r="V134" s="39">
        <v>4</v>
      </c>
      <c r="W134" s="39">
        <v>2</v>
      </c>
      <c r="X134" s="39">
        <v>2</v>
      </c>
      <c r="Y134" s="39" t="s">
        <v>920</v>
      </c>
      <c r="Z134" s="39">
        <v>418250936</v>
      </c>
      <c r="AA134" s="39" t="s">
        <v>1508</v>
      </c>
      <c r="AB134" s="39" t="s">
        <v>1509</v>
      </c>
      <c r="AE134" s="39" t="s">
        <v>923</v>
      </c>
      <c r="AG134" s="39" t="s">
        <v>924</v>
      </c>
      <c r="AI134" s="39">
        <v>133</v>
      </c>
    </row>
    <row r="135" spans="1:35" x14ac:dyDescent="0.3">
      <c r="A135" s="39" t="s">
        <v>1510</v>
      </c>
      <c r="B135" s="39" t="s">
        <v>1511</v>
      </c>
      <c r="C135" s="39" t="s">
        <v>1507</v>
      </c>
      <c r="D135" s="39" t="s">
        <v>949</v>
      </c>
      <c r="E135" s="39" t="s">
        <v>950</v>
      </c>
      <c r="F135" s="39" t="s">
        <v>951</v>
      </c>
      <c r="G135" s="39" t="s">
        <v>1252</v>
      </c>
      <c r="H135" s="39" t="s">
        <v>917</v>
      </c>
      <c r="I135" s="39" t="s">
        <v>299</v>
      </c>
      <c r="J135" s="39" t="s">
        <v>976</v>
      </c>
      <c r="K135" s="39" t="s">
        <v>952</v>
      </c>
      <c r="L135" s="39">
        <v>7</v>
      </c>
      <c r="M135" s="39" t="s">
        <v>920</v>
      </c>
      <c r="N135" s="39">
        <v>0</v>
      </c>
      <c r="O135" s="39">
        <v>5</v>
      </c>
      <c r="P135" s="39">
        <v>2</v>
      </c>
      <c r="Q135" s="39">
        <v>0</v>
      </c>
      <c r="R135" s="39">
        <v>1</v>
      </c>
      <c r="S135" s="39">
        <v>0</v>
      </c>
      <c r="T135" s="39">
        <v>0</v>
      </c>
      <c r="U135" s="39">
        <v>14</v>
      </c>
      <c r="V135" s="39">
        <v>5</v>
      </c>
      <c r="W135" s="39">
        <v>2</v>
      </c>
      <c r="X135" s="39">
        <v>0</v>
      </c>
      <c r="Z135" s="39">
        <v>418250943</v>
      </c>
      <c r="AA135" s="39" t="s">
        <v>1512</v>
      </c>
      <c r="AB135" s="39" t="s">
        <v>1513</v>
      </c>
      <c r="AE135" s="39" t="s">
        <v>923</v>
      </c>
      <c r="AG135" s="39" t="s">
        <v>924</v>
      </c>
      <c r="AI135" s="39">
        <v>134</v>
      </c>
    </row>
    <row r="136" spans="1:35" x14ac:dyDescent="0.3">
      <c r="A136" s="39" t="s">
        <v>1514</v>
      </c>
      <c r="B136" s="39" t="s">
        <v>1515</v>
      </c>
      <c r="C136" s="39" t="s">
        <v>1507</v>
      </c>
      <c r="D136" s="39" t="s">
        <v>994</v>
      </c>
      <c r="E136" s="39" t="s">
        <v>995</v>
      </c>
      <c r="F136" s="39" t="s">
        <v>996</v>
      </c>
      <c r="G136" s="39" t="s">
        <v>916</v>
      </c>
      <c r="H136" s="39" t="s">
        <v>917</v>
      </c>
      <c r="I136" s="39" t="s">
        <v>1516</v>
      </c>
      <c r="J136" s="39" t="s">
        <v>997</v>
      </c>
      <c r="K136" s="39" t="s">
        <v>919</v>
      </c>
      <c r="L136" s="39">
        <v>7</v>
      </c>
      <c r="M136" s="39" t="s">
        <v>920</v>
      </c>
      <c r="N136" s="39">
        <v>1</v>
      </c>
      <c r="O136" s="39">
        <v>4</v>
      </c>
      <c r="P136" s="39">
        <v>2</v>
      </c>
      <c r="Q136" s="39">
        <v>0</v>
      </c>
      <c r="R136" s="39">
        <v>2</v>
      </c>
      <c r="S136" s="39">
        <v>1</v>
      </c>
      <c r="T136" s="39">
        <v>0</v>
      </c>
      <c r="U136" s="39">
        <v>9</v>
      </c>
      <c r="V136" s="39">
        <v>6</v>
      </c>
      <c r="W136" s="39">
        <v>5</v>
      </c>
      <c r="X136" s="39">
        <v>2</v>
      </c>
      <c r="Y136" s="39" t="s">
        <v>920</v>
      </c>
      <c r="Z136" s="39">
        <v>418250950</v>
      </c>
      <c r="AA136" s="39" t="s">
        <v>1517</v>
      </c>
      <c r="AB136" s="39" t="s">
        <v>1518</v>
      </c>
      <c r="AE136" s="39" t="s">
        <v>923</v>
      </c>
      <c r="AG136" s="39" t="s">
        <v>924</v>
      </c>
      <c r="AI136" s="39">
        <v>135</v>
      </c>
    </row>
    <row r="137" spans="1:35" x14ac:dyDescent="0.3">
      <c r="A137" s="39" t="s">
        <v>1519</v>
      </c>
      <c r="B137" s="39" t="s">
        <v>1520</v>
      </c>
      <c r="C137" s="39" t="s">
        <v>1507</v>
      </c>
      <c r="D137" s="39" t="s">
        <v>938</v>
      </c>
      <c r="E137" s="39" t="s">
        <v>928</v>
      </c>
      <c r="F137" s="39" t="s">
        <v>915</v>
      </c>
      <c r="G137" s="39" t="s">
        <v>916</v>
      </c>
      <c r="H137" s="39" t="s">
        <v>917</v>
      </c>
      <c r="I137" s="39" t="s">
        <v>584</v>
      </c>
      <c r="J137" s="39" t="s">
        <v>918</v>
      </c>
      <c r="K137" s="39" t="s">
        <v>919</v>
      </c>
      <c r="L137" s="39">
        <v>5</v>
      </c>
      <c r="M137" s="39" t="s">
        <v>920</v>
      </c>
      <c r="N137" s="39">
        <v>1</v>
      </c>
      <c r="O137" s="39">
        <v>3</v>
      </c>
      <c r="P137" s="39">
        <v>1</v>
      </c>
      <c r="Q137" s="39">
        <v>0</v>
      </c>
      <c r="R137" s="39">
        <v>1</v>
      </c>
      <c r="S137" s="39">
        <v>1</v>
      </c>
      <c r="T137" s="39">
        <v>0</v>
      </c>
      <c r="U137" s="39">
        <v>0</v>
      </c>
      <c r="V137" s="39">
        <v>2</v>
      </c>
      <c r="W137" s="39">
        <v>4</v>
      </c>
      <c r="X137" s="39">
        <v>1</v>
      </c>
      <c r="Y137" s="39" t="s">
        <v>920</v>
      </c>
      <c r="Z137" s="39">
        <v>418250956</v>
      </c>
      <c r="AA137" s="39" t="s">
        <v>1521</v>
      </c>
      <c r="AB137" s="39" t="s">
        <v>1522</v>
      </c>
      <c r="AE137" s="39" t="s">
        <v>923</v>
      </c>
      <c r="AG137" s="39" t="s">
        <v>924</v>
      </c>
      <c r="AI137" s="39">
        <v>136</v>
      </c>
    </row>
    <row r="138" spans="1:35" x14ac:dyDescent="0.3">
      <c r="A138" s="39" t="s">
        <v>1523</v>
      </c>
      <c r="B138" s="39" t="s">
        <v>1524</v>
      </c>
      <c r="C138" s="39" t="s">
        <v>1507</v>
      </c>
      <c r="D138" s="39" t="s">
        <v>927</v>
      </c>
      <c r="E138" s="39" t="s">
        <v>928</v>
      </c>
      <c r="F138" s="39" t="s">
        <v>915</v>
      </c>
      <c r="G138" s="39" t="s">
        <v>1252</v>
      </c>
      <c r="H138" s="39" t="s">
        <v>917</v>
      </c>
      <c r="I138" s="39" t="s">
        <v>279</v>
      </c>
      <c r="J138" s="39" t="s">
        <v>918</v>
      </c>
      <c r="K138" s="39" t="s">
        <v>919</v>
      </c>
      <c r="L138" s="39">
        <v>9</v>
      </c>
      <c r="M138" s="39" t="s">
        <v>920</v>
      </c>
      <c r="N138" s="39">
        <v>0</v>
      </c>
      <c r="O138" s="39">
        <v>7</v>
      </c>
      <c r="P138" s="39">
        <v>2</v>
      </c>
      <c r="Q138" s="39">
        <v>0</v>
      </c>
      <c r="R138" s="39">
        <v>2</v>
      </c>
      <c r="S138" s="39">
        <v>0</v>
      </c>
      <c r="T138" s="39">
        <v>0</v>
      </c>
      <c r="U138" s="39">
        <v>5</v>
      </c>
      <c r="V138" s="39">
        <v>9</v>
      </c>
      <c r="W138" s="39">
        <v>4</v>
      </c>
      <c r="X138" s="39">
        <v>0</v>
      </c>
      <c r="Z138" s="39">
        <v>418250963</v>
      </c>
      <c r="AA138" s="39" t="s">
        <v>1525</v>
      </c>
      <c r="AB138" s="39" t="s">
        <v>1526</v>
      </c>
      <c r="AE138" s="39" t="s">
        <v>923</v>
      </c>
      <c r="AG138" s="39" t="s">
        <v>924</v>
      </c>
      <c r="AI138" s="39">
        <v>137</v>
      </c>
    </row>
    <row r="139" spans="1:35" x14ac:dyDescent="0.3">
      <c r="A139" s="39" t="s">
        <v>1527</v>
      </c>
      <c r="B139" s="39" t="s">
        <v>1528</v>
      </c>
      <c r="C139" s="39" t="s">
        <v>1507</v>
      </c>
      <c r="D139" s="39" t="s">
        <v>938</v>
      </c>
      <c r="E139" s="39" t="s">
        <v>928</v>
      </c>
      <c r="F139" s="39" t="s">
        <v>915</v>
      </c>
      <c r="G139" s="39" t="s">
        <v>1252</v>
      </c>
      <c r="H139" s="39" t="s">
        <v>917</v>
      </c>
      <c r="I139" s="39" t="s">
        <v>211</v>
      </c>
      <c r="J139" s="39" t="s">
        <v>918</v>
      </c>
      <c r="K139" s="39" t="s">
        <v>919</v>
      </c>
      <c r="L139" s="39">
        <v>5</v>
      </c>
      <c r="M139" s="39" t="s">
        <v>920</v>
      </c>
      <c r="N139" s="39">
        <v>1</v>
      </c>
      <c r="O139" s="39">
        <v>0</v>
      </c>
      <c r="P139" s="39">
        <v>3</v>
      </c>
      <c r="Q139" s="39">
        <v>1</v>
      </c>
      <c r="R139" s="39">
        <v>2</v>
      </c>
      <c r="S139" s="39">
        <v>1</v>
      </c>
      <c r="T139" s="39">
        <v>0</v>
      </c>
      <c r="U139" s="39">
        <v>9</v>
      </c>
      <c r="V139" s="39">
        <v>1</v>
      </c>
      <c r="W139" s="39">
        <v>0</v>
      </c>
      <c r="X139" s="39">
        <v>3</v>
      </c>
      <c r="Y139" s="39" t="s">
        <v>920</v>
      </c>
      <c r="Z139" s="39">
        <v>418250970</v>
      </c>
      <c r="AA139" s="39" t="s">
        <v>1529</v>
      </c>
      <c r="AB139" s="39" t="s">
        <v>1530</v>
      </c>
      <c r="AE139" s="39" t="s">
        <v>923</v>
      </c>
      <c r="AG139" s="39" t="s">
        <v>924</v>
      </c>
      <c r="AI139" s="39">
        <v>138</v>
      </c>
    </row>
    <row r="140" spans="1:35" x14ac:dyDescent="0.3">
      <c r="A140" s="39" t="s">
        <v>1531</v>
      </c>
      <c r="B140" s="39" t="s">
        <v>1532</v>
      </c>
      <c r="C140" s="39" t="s">
        <v>1507</v>
      </c>
      <c r="D140" s="39" t="s">
        <v>913</v>
      </c>
      <c r="E140" s="39" t="s">
        <v>914</v>
      </c>
      <c r="F140" s="39" t="s">
        <v>915</v>
      </c>
      <c r="G140" s="39" t="s">
        <v>916</v>
      </c>
      <c r="H140" s="39" t="s">
        <v>917</v>
      </c>
      <c r="I140" s="39" t="s">
        <v>592</v>
      </c>
      <c r="J140" s="39" t="s">
        <v>918</v>
      </c>
      <c r="K140" s="39" t="s">
        <v>943</v>
      </c>
      <c r="L140" s="39">
        <v>11</v>
      </c>
      <c r="M140" s="39" t="s">
        <v>920</v>
      </c>
      <c r="N140" s="39">
        <v>0</v>
      </c>
      <c r="O140" s="39">
        <v>9</v>
      </c>
      <c r="P140" s="39">
        <v>2</v>
      </c>
      <c r="Q140" s="39">
        <v>0</v>
      </c>
      <c r="R140" s="39">
        <v>1</v>
      </c>
      <c r="S140" s="39">
        <v>0</v>
      </c>
      <c r="T140" s="39">
        <v>0</v>
      </c>
      <c r="U140" s="39">
        <v>0</v>
      </c>
      <c r="V140" s="39">
        <v>8</v>
      </c>
      <c r="W140" s="39">
        <v>9</v>
      </c>
      <c r="X140" s="39">
        <v>2</v>
      </c>
      <c r="Z140" s="39">
        <v>418250977</v>
      </c>
      <c r="AA140" s="39" t="s">
        <v>1533</v>
      </c>
      <c r="AB140" s="39" t="s">
        <v>1534</v>
      </c>
      <c r="AE140" s="39" t="s">
        <v>923</v>
      </c>
      <c r="AG140" s="39" t="s">
        <v>924</v>
      </c>
      <c r="AI140" s="39">
        <v>139</v>
      </c>
    </row>
    <row r="141" spans="1:35" x14ac:dyDescent="0.3">
      <c r="A141" s="39" t="s">
        <v>1535</v>
      </c>
      <c r="B141" s="39" t="s">
        <v>1536</v>
      </c>
      <c r="C141" s="39" t="s">
        <v>1537</v>
      </c>
      <c r="D141" s="39" t="s">
        <v>975</v>
      </c>
      <c r="E141" s="39" t="s">
        <v>950</v>
      </c>
      <c r="F141" s="39" t="s">
        <v>951</v>
      </c>
      <c r="G141" s="39" t="s">
        <v>916</v>
      </c>
      <c r="H141" s="39" t="s">
        <v>917</v>
      </c>
      <c r="I141" s="39" t="s">
        <v>1538</v>
      </c>
      <c r="J141" s="39" t="s">
        <v>951</v>
      </c>
      <c r="K141" s="39" t="s">
        <v>919</v>
      </c>
      <c r="L141" s="39">
        <v>6</v>
      </c>
      <c r="M141" s="39" t="s">
        <v>917</v>
      </c>
      <c r="N141" s="39">
        <v>0</v>
      </c>
      <c r="O141" s="39">
        <v>5</v>
      </c>
      <c r="P141" s="39">
        <v>1</v>
      </c>
      <c r="Q141" s="39">
        <v>0</v>
      </c>
      <c r="R141" s="39">
        <v>2</v>
      </c>
      <c r="S141" s="39">
        <v>0</v>
      </c>
      <c r="T141" s="39">
        <v>0</v>
      </c>
      <c r="U141" s="39">
        <v>0</v>
      </c>
      <c r="V141" s="39">
        <v>4</v>
      </c>
      <c r="W141" s="39">
        <v>4</v>
      </c>
      <c r="X141" s="39">
        <v>1</v>
      </c>
      <c r="Z141" s="39">
        <v>418250981</v>
      </c>
      <c r="AA141" s="39" t="s">
        <v>1539</v>
      </c>
      <c r="AB141" s="39" t="s">
        <v>1540</v>
      </c>
      <c r="AE141" s="39" t="s">
        <v>923</v>
      </c>
      <c r="AG141" s="39" t="s">
        <v>924</v>
      </c>
      <c r="AI141" s="39">
        <v>140</v>
      </c>
    </row>
    <row r="142" spans="1:35" x14ac:dyDescent="0.3">
      <c r="A142" s="39" t="s">
        <v>1541</v>
      </c>
      <c r="B142" s="39" t="s">
        <v>1542</v>
      </c>
      <c r="C142" s="39" t="s">
        <v>1537</v>
      </c>
      <c r="D142" s="39" t="s">
        <v>938</v>
      </c>
      <c r="E142" s="39" t="s">
        <v>928</v>
      </c>
      <c r="F142" s="39" t="s">
        <v>915</v>
      </c>
      <c r="G142" s="39" t="s">
        <v>916</v>
      </c>
      <c r="H142" s="39" t="s">
        <v>917</v>
      </c>
      <c r="I142" s="39" t="s">
        <v>615</v>
      </c>
      <c r="J142" s="39" t="s">
        <v>918</v>
      </c>
      <c r="K142" s="39" t="s">
        <v>919</v>
      </c>
      <c r="L142" s="39">
        <v>3</v>
      </c>
      <c r="M142" s="39" t="s">
        <v>917</v>
      </c>
      <c r="N142" s="39">
        <v>0</v>
      </c>
      <c r="O142" s="39">
        <v>1</v>
      </c>
      <c r="P142" s="39">
        <v>2</v>
      </c>
      <c r="Q142" s="39">
        <v>0</v>
      </c>
      <c r="R142" s="39">
        <v>2</v>
      </c>
      <c r="S142" s="39">
        <v>0</v>
      </c>
      <c r="T142" s="39">
        <v>0</v>
      </c>
      <c r="U142" s="39">
        <v>5</v>
      </c>
      <c r="V142" s="39">
        <v>3</v>
      </c>
      <c r="W142" s="39">
        <v>0</v>
      </c>
      <c r="X142" s="39">
        <v>1</v>
      </c>
      <c r="Z142" s="39">
        <v>418250987</v>
      </c>
      <c r="AA142" s="39" t="s">
        <v>1543</v>
      </c>
      <c r="AB142" s="39" t="s">
        <v>1544</v>
      </c>
      <c r="AE142" s="39" t="s">
        <v>923</v>
      </c>
      <c r="AG142" s="39" t="s">
        <v>924</v>
      </c>
      <c r="AI142" s="39">
        <v>141</v>
      </c>
    </row>
    <row r="143" spans="1:35" x14ac:dyDescent="0.3">
      <c r="A143" s="39" t="s">
        <v>1545</v>
      </c>
      <c r="B143" s="39" t="s">
        <v>1546</v>
      </c>
      <c r="C143" s="39" t="s">
        <v>1547</v>
      </c>
      <c r="D143" s="39" t="s">
        <v>994</v>
      </c>
      <c r="E143" s="39" t="s">
        <v>995</v>
      </c>
      <c r="F143" s="39" t="s">
        <v>996</v>
      </c>
      <c r="G143" s="39" t="s">
        <v>916</v>
      </c>
      <c r="H143" s="39" t="s">
        <v>917</v>
      </c>
      <c r="I143" s="39" t="s">
        <v>610</v>
      </c>
      <c r="J143" s="39" t="s">
        <v>997</v>
      </c>
      <c r="K143" s="39" t="s">
        <v>919</v>
      </c>
      <c r="L143" s="39">
        <v>6</v>
      </c>
      <c r="M143" s="39" t="s">
        <v>920</v>
      </c>
      <c r="N143" s="39">
        <v>0</v>
      </c>
      <c r="O143" s="39">
        <v>3</v>
      </c>
      <c r="P143" s="39">
        <v>2</v>
      </c>
      <c r="Q143" s="39">
        <v>1</v>
      </c>
      <c r="R143" s="39">
        <v>2</v>
      </c>
      <c r="S143" s="39">
        <v>0</v>
      </c>
      <c r="T143" s="39">
        <v>0</v>
      </c>
      <c r="U143" s="39">
        <v>9</v>
      </c>
      <c r="V143" s="39">
        <v>2</v>
      </c>
      <c r="W143" s="39">
        <v>3</v>
      </c>
      <c r="X143" s="39">
        <v>0</v>
      </c>
      <c r="Z143" s="39">
        <v>418250995</v>
      </c>
      <c r="AA143" s="39" t="s">
        <v>1548</v>
      </c>
      <c r="AB143" s="39" t="s">
        <v>1549</v>
      </c>
      <c r="AE143" s="39" t="s">
        <v>923</v>
      </c>
      <c r="AG143" s="39" t="s">
        <v>924</v>
      </c>
      <c r="AI143" s="39">
        <v>142</v>
      </c>
    </row>
    <row r="144" spans="1:35" x14ac:dyDescent="0.3">
      <c r="A144" s="39" t="s">
        <v>1550</v>
      </c>
      <c r="B144" s="39" t="s">
        <v>1551</v>
      </c>
      <c r="C144" s="39" t="s">
        <v>1547</v>
      </c>
      <c r="D144" s="39" t="s">
        <v>949</v>
      </c>
      <c r="E144" s="39" t="s">
        <v>950</v>
      </c>
      <c r="F144" s="39" t="s">
        <v>951</v>
      </c>
      <c r="G144" s="39" t="s">
        <v>916</v>
      </c>
      <c r="H144" s="39" t="s">
        <v>917</v>
      </c>
      <c r="I144" s="39" t="s">
        <v>1552</v>
      </c>
      <c r="J144" s="39" t="s">
        <v>951</v>
      </c>
      <c r="K144" s="39" t="s">
        <v>943</v>
      </c>
      <c r="L144" s="39">
        <v>4</v>
      </c>
      <c r="M144" s="39" t="s">
        <v>917</v>
      </c>
      <c r="N144" s="39">
        <v>1</v>
      </c>
      <c r="O144" s="39">
        <v>2</v>
      </c>
      <c r="P144" s="39">
        <v>1</v>
      </c>
      <c r="Q144" s="39">
        <v>0</v>
      </c>
      <c r="R144" s="39">
        <v>2</v>
      </c>
      <c r="S144" s="39">
        <v>1</v>
      </c>
      <c r="T144" s="39">
        <v>0</v>
      </c>
      <c r="U144" s="39">
        <v>2</v>
      </c>
      <c r="V144" s="39">
        <v>1</v>
      </c>
      <c r="W144" s="39">
        <v>2</v>
      </c>
      <c r="X144" s="39">
        <v>1</v>
      </c>
      <c r="Y144" s="39" t="s">
        <v>920</v>
      </c>
      <c r="Z144" s="39">
        <v>418251001</v>
      </c>
      <c r="AA144" s="39" t="s">
        <v>1553</v>
      </c>
      <c r="AB144" s="39" t="s">
        <v>1554</v>
      </c>
      <c r="AE144" s="39" t="s">
        <v>923</v>
      </c>
      <c r="AG144" s="39" t="s">
        <v>924</v>
      </c>
      <c r="AI144" s="39">
        <v>143</v>
      </c>
    </row>
    <row r="145" spans="1:35" x14ac:dyDescent="0.3">
      <c r="A145" s="39" t="s">
        <v>1555</v>
      </c>
      <c r="B145" s="39" t="s">
        <v>1556</v>
      </c>
      <c r="C145" s="39" t="s">
        <v>1547</v>
      </c>
      <c r="D145" s="39" t="s">
        <v>913</v>
      </c>
      <c r="E145" s="39" t="s">
        <v>914</v>
      </c>
      <c r="F145" s="39" t="s">
        <v>915</v>
      </c>
      <c r="G145" s="39" t="s">
        <v>916</v>
      </c>
      <c r="H145" s="39" t="s">
        <v>917</v>
      </c>
      <c r="I145" s="39" t="s">
        <v>649</v>
      </c>
      <c r="J145" s="39" t="s">
        <v>918</v>
      </c>
      <c r="K145" s="39" t="s">
        <v>919</v>
      </c>
      <c r="L145" s="39">
        <v>4</v>
      </c>
      <c r="M145" s="39" t="s">
        <v>920</v>
      </c>
      <c r="N145" s="39">
        <v>1</v>
      </c>
      <c r="O145" s="39">
        <v>0</v>
      </c>
      <c r="P145" s="39">
        <v>2</v>
      </c>
      <c r="Q145" s="39">
        <v>1</v>
      </c>
      <c r="R145" s="39">
        <v>1</v>
      </c>
      <c r="S145" s="39">
        <v>0</v>
      </c>
      <c r="T145" s="39">
        <v>0</v>
      </c>
      <c r="U145" s="39">
        <v>1</v>
      </c>
      <c r="V145" s="39">
        <v>2</v>
      </c>
      <c r="W145" s="39">
        <v>0</v>
      </c>
      <c r="X145" s="39">
        <v>0</v>
      </c>
      <c r="Y145" s="39" t="s">
        <v>920</v>
      </c>
      <c r="Z145" s="39">
        <v>418251012</v>
      </c>
      <c r="AA145" s="39" t="s">
        <v>1557</v>
      </c>
      <c r="AB145" s="39" t="s">
        <v>1558</v>
      </c>
      <c r="AE145" s="39" t="s">
        <v>923</v>
      </c>
      <c r="AG145" s="39" t="s">
        <v>924</v>
      </c>
      <c r="AI145" s="39">
        <v>144</v>
      </c>
    </row>
    <row r="146" spans="1:35" x14ac:dyDescent="0.3">
      <c r="A146" s="39" t="s">
        <v>1559</v>
      </c>
      <c r="B146" s="39" t="s">
        <v>1560</v>
      </c>
      <c r="C146" s="39" t="s">
        <v>1547</v>
      </c>
      <c r="D146" s="39" t="s">
        <v>913</v>
      </c>
      <c r="E146" s="39" t="s">
        <v>914</v>
      </c>
      <c r="F146" s="39" t="s">
        <v>915</v>
      </c>
      <c r="G146" s="39" t="s">
        <v>1252</v>
      </c>
      <c r="H146" s="39" t="s">
        <v>917</v>
      </c>
      <c r="I146" s="39" t="s">
        <v>228</v>
      </c>
      <c r="J146" s="39" t="s">
        <v>918</v>
      </c>
      <c r="K146" s="39" t="s">
        <v>919</v>
      </c>
      <c r="L146" s="39">
        <v>9</v>
      </c>
      <c r="M146" s="39" t="s">
        <v>920</v>
      </c>
      <c r="N146" s="39">
        <v>2</v>
      </c>
      <c r="O146" s="39">
        <v>4</v>
      </c>
      <c r="P146" s="39">
        <v>3</v>
      </c>
      <c r="Q146" s="39">
        <v>0</v>
      </c>
      <c r="R146" s="39">
        <v>2</v>
      </c>
      <c r="S146" s="39">
        <v>0</v>
      </c>
      <c r="T146" s="39">
        <v>0</v>
      </c>
      <c r="U146" s="39">
        <v>9</v>
      </c>
      <c r="V146" s="39">
        <v>9</v>
      </c>
      <c r="W146" s="39">
        <v>0</v>
      </c>
      <c r="X146" s="39">
        <v>1</v>
      </c>
      <c r="Y146" s="39" t="s">
        <v>920</v>
      </c>
      <c r="Z146" s="39">
        <v>418251017</v>
      </c>
      <c r="AA146" s="39" t="s">
        <v>1561</v>
      </c>
      <c r="AB146" s="39" t="s">
        <v>1562</v>
      </c>
      <c r="AE146" s="39" t="s">
        <v>923</v>
      </c>
      <c r="AG146" s="39" t="s">
        <v>924</v>
      </c>
      <c r="AI146" s="39">
        <v>145</v>
      </c>
    </row>
    <row r="147" spans="1:35" x14ac:dyDescent="0.3">
      <c r="A147" s="39" t="s">
        <v>1563</v>
      </c>
      <c r="B147" s="39" t="s">
        <v>1564</v>
      </c>
      <c r="C147" s="39" t="s">
        <v>1565</v>
      </c>
      <c r="D147" s="39" t="s">
        <v>913</v>
      </c>
      <c r="E147" s="39" t="s">
        <v>914</v>
      </c>
      <c r="F147" s="39" t="s">
        <v>915</v>
      </c>
      <c r="G147" s="39" t="s">
        <v>1252</v>
      </c>
      <c r="H147" s="39" t="s">
        <v>917</v>
      </c>
      <c r="I147" s="39" t="s">
        <v>297</v>
      </c>
      <c r="J147" s="39" t="s">
        <v>918</v>
      </c>
      <c r="K147" s="39" t="s">
        <v>919</v>
      </c>
      <c r="L147" s="39">
        <v>3</v>
      </c>
      <c r="M147" s="39" t="s">
        <v>920</v>
      </c>
      <c r="N147" s="39">
        <v>1</v>
      </c>
      <c r="O147" s="39">
        <v>0</v>
      </c>
      <c r="P147" s="39">
        <v>2</v>
      </c>
      <c r="Q147" s="39">
        <v>0</v>
      </c>
      <c r="R147" s="39">
        <v>1</v>
      </c>
      <c r="S147" s="39">
        <v>0</v>
      </c>
      <c r="T147" s="39">
        <v>0</v>
      </c>
      <c r="U147" s="39">
        <v>3</v>
      </c>
      <c r="V147" s="39">
        <v>2</v>
      </c>
      <c r="W147" s="39">
        <v>0</v>
      </c>
      <c r="X147" s="39">
        <v>1</v>
      </c>
      <c r="Y147" s="39" t="s">
        <v>920</v>
      </c>
      <c r="Z147" s="39">
        <v>418251025</v>
      </c>
      <c r="AA147" s="39" t="s">
        <v>1566</v>
      </c>
      <c r="AB147" s="39" t="s">
        <v>1567</v>
      </c>
      <c r="AE147" s="39" t="s">
        <v>923</v>
      </c>
      <c r="AG147" s="39" t="s">
        <v>924</v>
      </c>
      <c r="AI147" s="39">
        <v>146</v>
      </c>
    </row>
    <row r="148" spans="1:35" x14ac:dyDescent="0.3">
      <c r="A148" s="39" t="s">
        <v>1568</v>
      </c>
      <c r="B148" s="39" t="s">
        <v>1569</v>
      </c>
      <c r="C148" s="39" t="s">
        <v>1565</v>
      </c>
      <c r="D148" s="39" t="s">
        <v>927</v>
      </c>
      <c r="E148" s="39" t="s">
        <v>928</v>
      </c>
      <c r="F148" s="39" t="s">
        <v>915</v>
      </c>
      <c r="G148" s="39" t="s">
        <v>916</v>
      </c>
      <c r="H148" s="39" t="s">
        <v>917</v>
      </c>
      <c r="I148" s="39" t="s">
        <v>619</v>
      </c>
      <c r="J148" s="39" t="s">
        <v>918</v>
      </c>
      <c r="K148" s="39" t="s">
        <v>919</v>
      </c>
      <c r="L148" s="39">
        <v>7</v>
      </c>
      <c r="M148" s="39" t="s">
        <v>920</v>
      </c>
      <c r="N148" s="39">
        <v>1</v>
      </c>
      <c r="O148" s="39">
        <v>4</v>
      </c>
      <c r="P148" s="39">
        <v>2</v>
      </c>
      <c r="Q148" s="39">
        <v>0</v>
      </c>
      <c r="R148" s="39">
        <v>1</v>
      </c>
      <c r="S148" s="39">
        <v>1</v>
      </c>
      <c r="T148" s="39">
        <v>0</v>
      </c>
      <c r="U148" s="39">
        <v>8</v>
      </c>
      <c r="V148" s="39">
        <v>6</v>
      </c>
      <c r="W148" s="39">
        <v>5</v>
      </c>
      <c r="X148" s="39">
        <v>1</v>
      </c>
      <c r="Y148" s="39" t="s">
        <v>917</v>
      </c>
      <c r="Z148" s="39">
        <v>418251031</v>
      </c>
      <c r="AA148" s="39" t="s">
        <v>1570</v>
      </c>
      <c r="AB148" s="39" t="s">
        <v>1571</v>
      </c>
      <c r="AE148" s="39" t="s">
        <v>923</v>
      </c>
      <c r="AG148" s="39" t="s">
        <v>924</v>
      </c>
      <c r="AI148" s="39">
        <v>147</v>
      </c>
    </row>
    <row r="149" spans="1:35" x14ac:dyDescent="0.3">
      <c r="A149" s="39" t="s">
        <v>1572</v>
      </c>
      <c r="B149" s="39" t="s">
        <v>1573</v>
      </c>
      <c r="C149" s="39" t="s">
        <v>1574</v>
      </c>
      <c r="D149" s="39" t="s">
        <v>938</v>
      </c>
      <c r="E149" s="39" t="s">
        <v>928</v>
      </c>
      <c r="F149" s="39" t="s">
        <v>915</v>
      </c>
      <c r="G149" s="39" t="s">
        <v>916</v>
      </c>
      <c r="H149" s="39" t="s">
        <v>917</v>
      </c>
      <c r="I149" s="39" t="s">
        <v>1575</v>
      </c>
      <c r="J149" s="39" t="s">
        <v>918</v>
      </c>
      <c r="K149" s="39" t="s">
        <v>919</v>
      </c>
      <c r="L149" s="39">
        <v>7</v>
      </c>
      <c r="M149" s="39" t="s">
        <v>920</v>
      </c>
      <c r="N149" s="39">
        <v>1</v>
      </c>
      <c r="O149" s="39">
        <v>4</v>
      </c>
      <c r="P149" s="39">
        <v>2</v>
      </c>
      <c r="Q149" s="39">
        <v>0</v>
      </c>
      <c r="R149" s="39">
        <v>1</v>
      </c>
      <c r="S149" s="39">
        <v>0</v>
      </c>
      <c r="T149" s="39">
        <v>1</v>
      </c>
      <c r="U149" s="39">
        <v>9</v>
      </c>
      <c r="V149" s="39">
        <v>5</v>
      </c>
      <c r="W149" s="39">
        <v>3</v>
      </c>
      <c r="X149" s="39">
        <v>2</v>
      </c>
      <c r="Y149" s="39" t="s">
        <v>917</v>
      </c>
      <c r="Z149" s="39">
        <v>418251040</v>
      </c>
      <c r="AA149" s="39" t="s">
        <v>1576</v>
      </c>
      <c r="AB149" s="39" t="s">
        <v>1577</v>
      </c>
      <c r="AE149" s="39" t="s">
        <v>923</v>
      </c>
      <c r="AG149" s="39" t="s">
        <v>924</v>
      </c>
      <c r="AI149" s="39">
        <v>148</v>
      </c>
    </row>
  </sheetData>
  <pageMargins left="0.75" right="0.75" top="1" bottom="1" header="0.511811023622047" footer="0.511811023622047"/>
  <pageSetup fitToHeight="0" orientation="landscape"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A1:I304"/>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10" customWidth="1"/>
    <col min="2" max="2" width="11" customWidth="1"/>
    <col min="3" max="3" width="9" customWidth="1"/>
    <col min="4" max="4" width="12" customWidth="1"/>
    <col min="5" max="5" width="15" customWidth="1"/>
    <col min="6" max="6" width="16" customWidth="1"/>
    <col min="7" max="7" width="11" customWidth="1"/>
    <col min="8" max="8" width="10" customWidth="1"/>
    <col min="9" max="9" width="26" customWidth="1"/>
  </cols>
  <sheetData>
    <row r="1" spans="1:9" ht="17.399999999999999" x14ac:dyDescent="0.3">
      <c r="A1" s="6" t="s">
        <v>1578</v>
      </c>
    </row>
    <row r="2" spans="1:9" x14ac:dyDescent="0.3">
      <c r="A2" s="7" t="s">
        <v>1579</v>
      </c>
    </row>
    <row r="4" spans="1:9" ht="42" customHeight="1" x14ac:dyDescent="0.3">
      <c r="A4" s="15" t="s">
        <v>1580</v>
      </c>
      <c r="B4" s="15" t="s">
        <v>122</v>
      </c>
      <c r="C4" s="15" t="s">
        <v>1581</v>
      </c>
      <c r="D4" s="15" t="s">
        <v>1582</v>
      </c>
      <c r="E4" s="15" t="s">
        <v>1583</v>
      </c>
      <c r="F4" s="15" t="s">
        <v>1584</v>
      </c>
      <c r="G4" s="15" t="s">
        <v>1585</v>
      </c>
      <c r="H4" s="15" t="s">
        <v>1586</v>
      </c>
      <c r="I4" s="15" t="s">
        <v>1587</v>
      </c>
    </row>
    <row r="5" spans="1:9" x14ac:dyDescent="0.3">
      <c r="A5" s="11">
        <v>1</v>
      </c>
      <c r="B5" s="24" t="str">
        <f>IFERROR(INDEX(Kobo_Import!$A$2:$CZ$301,$A5,Field_Map!$B$13)&amp;"","")</f>
        <v>HH-037</v>
      </c>
      <c r="C5" s="24" t="str">
        <f>IFERROR(INDEX(Kobo_Import!$A$2:$CZ$301,$A5,Field_Map!$B$12)&amp;"","")</f>
        <v>yes</v>
      </c>
      <c r="D5" s="28">
        <f>IF(B5="","",IFERROR(IF(ISNUMBER(INDEX(Kobo_Import!$A$2:$CZ$301,$A5,Field_Map!$B$7)),INDEX(Kobo_Import!$A$2:$CZ$301,$A5,Field_Map!$B$7),DATEVALUE(INDEX(Kobo_Import!$A$2:$CZ$301,$A5,Field_Map!$B$7)&amp;"")),""))</f>
        <v>46006</v>
      </c>
      <c r="E5" s="24" t="str">
        <f>IFERROR(INDEX(Kobo_Import!$A$2:$CZ$301,$A5,Field_Map!$B$11)&amp;"","")</f>
        <v>registration</v>
      </c>
      <c r="F5" s="27">
        <f t="shared" ref="F5:F68" si="0">IF(OR(B5="",C5&lt;&gt;"yes",D5=""),0,D5*1000+A5)</f>
        <v>46006001</v>
      </c>
      <c r="G5" s="24">
        <f t="shared" ref="G5:G68" si="1">IF(F5=0,"",IF(F5=SUMPRODUCT(MAX(($B$5:$B$304=B5)*$F$5:$F$304)),1,0))</f>
        <v>0</v>
      </c>
      <c r="H5" s="24" t="str">
        <f t="shared" ref="H5:H68" si="2">IF(G5=1,COUNTIFS($B$5:$B$304,"&lt;"&amp;B5,$G$5:$G$304,1)+1,"")</f>
        <v/>
      </c>
      <c r="I5" s="24" t="str">
        <f t="shared" ref="I5:I68" si="3">IF(B5="","",B5&amp;"|"&amp;E5)</f>
        <v>HH-037|registration</v>
      </c>
    </row>
    <row r="6" spans="1:9" x14ac:dyDescent="0.3">
      <c r="A6" s="11">
        <v>2</v>
      </c>
      <c r="B6" s="24" t="str">
        <f>IFERROR(INDEX(Kobo_Import!$A$2:$CZ$301,$A6,Field_Map!$B$13)&amp;"","")</f>
        <v>HH-032</v>
      </c>
      <c r="C6" s="24" t="str">
        <f>IFERROR(INDEX(Kobo_Import!$A$2:$CZ$301,$A6,Field_Map!$B$12)&amp;"","")</f>
        <v>yes</v>
      </c>
      <c r="D6" s="28">
        <f>IF(B6="","",IFERROR(IF(ISNUMBER(INDEX(Kobo_Import!$A$2:$CZ$301,$A6,Field_Map!$B$7)),INDEX(Kobo_Import!$A$2:$CZ$301,$A6,Field_Map!$B$7),DATEVALUE(INDEX(Kobo_Import!$A$2:$CZ$301,$A6,Field_Map!$B$7)&amp;"")),""))</f>
        <v>46006</v>
      </c>
      <c r="E6" s="24" t="str">
        <f>IFERROR(INDEX(Kobo_Import!$A$2:$CZ$301,$A6,Field_Map!$B$11)&amp;"","")</f>
        <v>registration</v>
      </c>
      <c r="F6" s="27">
        <f t="shared" si="0"/>
        <v>46006002</v>
      </c>
      <c r="G6" s="24">
        <f t="shared" si="1"/>
        <v>0</v>
      </c>
      <c r="H6" s="24" t="str">
        <f t="shared" si="2"/>
        <v/>
      </c>
      <c r="I6" s="24" t="str">
        <f t="shared" si="3"/>
        <v>HH-032|registration</v>
      </c>
    </row>
    <row r="7" spans="1:9" x14ac:dyDescent="0.3">
      <c r="A7" s="11">
        <v>3</v>
      </c>
      <c r="B7" s="24" t="str">
        <f>IFERROR(INDEX(Kobo_Import!$A$2:$CZ$301,$A7,Field_Map!$B$13)&amp;"","")</f>
        <v>HH-035</v>
      </c>
      <c r="C7" s="24" t="str">
        <f>IFERROR(INDEX(Kobo_Import!$A$2:$CZ$301,$A7,Field_Map!$B$12)&amp;"","")</f>
        <v>yes</v>
      </c>
      <c r="D7" s="28">
        <f>IF(B7="","",IFERROR(IF(ISNUMBER(INDEX(Kobo_Import!$A$2:$CZ$301,$A7,Field_Map!$B$7)),INDEX(Kobo_Import!$A$2:$CZ$301,$A7,Field_Map!$B$7),DATEVALUE(INDEX(Kobo_Import!$A$2:$CZ$301,$A7,Field_Map!$B$7)&amp;"")),""))</f>
        <v>46006</v>
      </c>
      <c r="E7" s="24" t="str">
        <f>IFERROR(INDEX(Kobo_Import!$A$2:$CZ$301,$A7,Field_Map!$B$11)&amp;"","")</f>
        <v>registration</v>
      </c>
      <c r="F7" s="27">
        <f t="shared" si="0"/>
        <v>46006003</v>
      </c>
      <c r="G7" s="24">
        <f t="shared" si="1"/>
        <v>0</v>
      </c>
      <c r="H7" s="24" t="str">
        <f t="shared" si="2"/>
        <v/>
      </c>
      <c r="I7" s="24" t="str">
        <f t="shared" si="3"/>
        <v>HH-035|registration</v>
      </c>
    </row>
    <row r="8" spans="1:9" x14ac:dyDescent="0.3">
      <c r="A8" s="11">
        <v>4</v>
      </c>
      <c r="B8" s="24" t="str">
        <f>IFERROR(INDEX(Kobo_Import!$A$2:$CZ$301,$A8,Field_Map!$B$13)&amp;"","")</f>
        <v>HH-008</v>
      </c>
      <c r="C8" s="24" t="str">
        <f>IFERROR(INDEX(Kobo_Import!$A$2:$CZ$301,$A8,Field_Map!$B$12)&amp;"","")</f>
        <v>yes</v>
      </c>
      <c r="D8" s="28">
        <f>IF(B8="","",IFERROR(IF(ISNUMBER(INDEX(Kobo_Import!$A$2:$CZ$301,$A8,Field_Map!$B$7)),INDEX(Kobo_Import!$A$2:$CZ$301,$A8,Field_Map!$B$7),DATEVALUE(INDEX(Kobo_Import!$A$2:$CZ$301,$A8,Field_Map!$B$7)&amp;"")),""))</f>
        <v>46007</v>
      </c>
      <c r="E8" s="24" t="str">
        <f>IFERROR(INDEX(Kobo_Import!$A$2:$CZ$301,$A8,Field_Map!$B$11)&amp;"","")</f>
        <v>registration</v>
      </c>
      <c r="F8" s="27">
        <f t="shared" si="0"/>
        <v>46007004</v>
      </c>
      <c r="G8" s="24">
        <f t="shared" si="1"/>
        <v>0</v>
      </c>
      <c r="H8" s="24" t="str">
        <f t="shared" si="2"/>
        <v/>
      </c>
      <c r="I8" s="24" t="str">
        <f t="shared" si="3"/>
        <v>HH-008|registration</v>
      </c>
    </row>
    <row r="9" spans="1:9" x14ac:dyDescent="0.3">
      <c r="A9" s="11">
        <v>5</v>
      </c>
      <c r="B9" s="24" t="str">
        <f>IFERROR(INDEX(Kobo_Import!$A$2:$CZ$301,$A9,Field_Map!$B$13)&amp;"","")</f>
        <v>HH-029</v>
      </c>
      <c r="C9" s="24" t="str">
        <f>IFERROR(INDEX(Kobo_Import!$A$2:$CZ$301,$A9,Field_Map!$B$12)&amp;"","")</f>
        <v>yes</v>
      </c>
      <c r="D9" s="28">
        <f>IF(B9="","",IFERROR(IF(ISNUMBER(INDEX(Kobo_Import!$A$2:$CZ$301,$A9,Field_Map!$B$7)),INDEX(Kobo_Import!$A$2:$CZ$301,$A9,Field_Map!$B$7),DATEVALUE(INDEX(Kobo_Import!$A$2:$CZ$301,$A9,Field_Map!$B$7)&amp;"")),""))</f>
        <v>46007</v>
      </c>
      <c r="E9" s="24" t="str">
        <f>IFERROR(INDEX(Kobo_Import!$A$2:$CZ$301,$A9,Field_Map!$B$11)&amp;"","")</f>
        <v>registration</v>
      </c>
      <c r="F9" s="27">
        <f t="shared" si="0"/>
        <v>46007005</v>
      </c>
      <c r="G9" s="24">
        <f t="shared" si="1"/>
        <v>1</v>
      </c>
      <c r="H9" s="24">
        <f t="shared" si="2"/>
        <v>29</v>
      </c>
      <c r="I9" s="24" t="str">
        <f t="shared" si="3"/>
        <v>HH-029|registration</v>
      </c>
    </row>
    <row r="10" spans="1:9" x14ac:dyDescent="0.3">
      <c r="A10" s="11">
        <v>6</v>
      </c>
      <c r="B10" s="24" t="str">
        <f>IFERROR(INDEX(Kobo_Import!$A$2:$CZ$301,$A10,Field_Map!$B$13)&amp;"","")</f>
        <v>HH-081</v>
      </c>
      <c r="C10" s="24" t="str">
        <f>IFERROR(INDEX(Kobo_Import!$A$2:$CZ$301,$A10,Field_Map!$B$12)&amp;"","")</f>
        <v>yes</v>
      </c>
      <c r="D10" s="28">
        <f>IF(B10="","",IFERROR(IF(ISNUMBER(INDEX(Kobo_Import!$A$2:$CZ$301,$A10,Field_Map!$B$7)),INDEX(Kobo_Import!$A$2:$CZ$301,$A10,Field_Map!$B$7),DATEVALUE(INDEX(Kobo_Import!$A$2:$CZ$301,$A10,Field_Map!$B$7)&amp;"")),""))</f>
        <v>46008</v>
      </c>
      <c r="E10" s="24" t="str">
        <f>IFERROR(INDEX(Kobo_Import!$A$2:$CZ$301,$A10,Field_Map!$B$11)&amp;"","")</f>
        <v>registration</v>
      </c>
      <c r="F10" s="27">
        <f t="shared" si="0"/>
        <v>46008006</v>
      </c>
      <c r="G10" s="24">
        <f t="shared" si="1"/>
        <v>0</v>
      </c>
      <c r="H10" s="24" t="str">
        <f t="shared" si="2"/>
        <v/>
      </c>
      <c r="I10" s="24" t="str">
        <f t="shared" si="3"/>
        <v>HH-081|registration</v>
      </c>
    </row>
    <row r="11" spans="1:9" x14ac:dyDescent="0.3">
      <c r="A11" s="11">
        <v>7</v>
      </c>
      <c r="B11" s="24" t="str">
        <f>IFERROR(INDEX(Kobo_Import!$A$2:$CZ$301,$A11,Field_Map!$B$13)&amp;"","")</f>
        <v>HH-044</v>
      </c>
      <c r="C11" s="24" t="str">
        <f>IFERROR(INDEX(Kobo_Import!$A$2:$CZ$301,$A11,Field_Map!$B$12)&amp;"","")</f>
        <v>yes</v>
      </c>
      <c r="D11" s="28">
        <f>IF(B11="","",IFERROR(IF(ISNUMBER(INDEX(Kobo_Import!$A$2:$CZ$301,$A11,Field_Map!$B$7)),INDEX(Kobo_Import!$A$2:$CZ$301,$A11,Field_Map!$B$7),DATEVALUE(INDEX(Kobo_Import!$A$2:$CZ$301,$A11,Field_Map!$B$7)&amp;"")),""))</f>
        <v>46009</v>
      </c>
      <c r="E11" s="24" t="str">
        <f>IFERROR(INDEX(Kobo_Import!$A$2:$CZ$301,$A11,Field_Map!$B$11)&amp;"","")</f>
        <v>registration</v>
      </c>
      <c r="F11" s="27">
        <f t="shared" si="0"/>
        <v>46009007</v>
      </c>
      <c r="G11" s="24">
        <f t="shared" si="1"/>
        <v>0</v>
      </c>
      <c r="H11" s="24" t="str">
        <f t="shared" si="2"/>
        <v/>
      </c>
      <c r="I11" s="24" t="str">
        <f t="shared" si="3"/>
        <v>HH-044|registration</v>
      </c>
    </row>
    <row r="12" spans="1:9" x14ac:dyDescent="0.3">
      <c r="A12" s="11">
        <v>8</v>
      </c>
      <c r="B12" s="24" t="str">
        <f>IFERROR(INDEX(Kobo_Import!$A$2:$CZ$301,$A12,Field_Map!$B$13)&amp;"","")</f>
        <v>HH-065</v>
      </c>
      <c r="C12" s="24" t="str">
        <f>IFERROR(INDEX(Kobo_Import!$A$2:$CZ$301,$A12,Field_Map!$B$12)&amp;"","")</f>
        <v>yes</v>
      </c>
      <c r="D12" s="28">
        <f>IF(B12="","",IFERROR(IF(ISNUMBER(INDEX(Kobo_Import!$A$2:$CZ$301,$A12,Field_Map!$B$7)),INDEX(Kobo_Import!$A$2:$CZ$301,$A12,Field_Map!$B$7),DATEVALUE(INDEX(Kobo_Import!$A$2:$CZ$301,$A12,Field_Map!$B$7)&amp;"")),""))</f>
        <v>46009</v>
      </c>
      <c r="E12" s="24" t="str">
        <f>IFERROR(INDEX(Kobo_Import!$A$2:$CZ$301,$A12,Field_Map!$B$11)&amp;"","")</f>
        <v>registration</v>
      </c>
      <c r="F12" s="27">
        <f t="shared" si="0"/>
        <v>46009008</v>
      </c>
      <c r="G12" s="24">
        <f t="shared" si="1"/>
        <v>1</v>
      </c>
      <c r="H12" s="24">
        <f t="shared" si="2"/>
        <v>65</v>
      </c>
      <c r="I12" s="24" t="str">
        <f t="shared" si="3"/>
        <v>HH-065|registration</v>
      </c>
    </row>
    <row r="13" spans="1:9" x14ac:dyDescent="0.3">
      <c r="A13" s="11">
        <v>9</v>
      </c>
      <c r="B13" s="24" t="str">
        <f>IFERROR(INDEX(Kobo_Import!$A$2:$CZ$301,$A13,Field_Map!$B$13)&amp;"","")</f>
        <v>HH-005</v>
      </c>
      <c r="C13" s="24" t="str">
        <f>IFERROR(INDEX(Kobo_Import!$A$2:$CZ$301,$A13,Field_Map!$B$12)&amp;"","")</f>
        <v>yes</v>
      </c>
      <c r="D13" s="28">
        <f>IF(B13="","",IFERROR(IF(ISNUMBER(INDEX(Kobo_Import!$A$2:$CZ$301,$A13,Field_Map!$B$7)),INDEX(Kobo_Import!$A$2:$CZ$301,$A13,Field_Map!$B$7),DATEVALUE(INDEX(Kobo_Import!$A$2:$CZ$301,$A13,Field_Map!$B$7)&amp;"")),""))</f>
        <v>46009</v>
      </c>
      <c r="E13" s="24" t="str">
        <f>IFERROR(INDEX(Kobo_Import!$A$2:$CZ$301,$A13,Field_Map!$B$11)&amp;"","")</f>
        <v>registration</v>
      </c>
      <c r="F13" s="27">
        <f t="shared" si="0"/>
        <v>46009009</v>
      </c>
      <c r="G13" s="24">
        <f t="shared" si="1"/>
        <v>0</v>
      </c>
      <c r="H13" s="24" t="str">
        <f t="shared" si="2"/>
        <v/>
      </c>
      <c r="I13" s="24" t="str">
        <f t="shared" si="3"/>
        <v>HH-005|registration</v>
      </c>
    </row>
    <row r="14" spans="1:9" x14ac:dyDescent="0.3">
      <c r="A14" s="11">
        <v>10</v>
      </c>
      <c r="B14" s="24" t="str">
        <f>IFERROR(INDEX(Kobo_Import!$A$2:$CZ$301,$A14,Field_Map!$B$13)&amp;"","")</f>
        <v>HH-011</v>
      </c>
      <c r="C14" s="24" t="str">
        <f>IFERROR(INDEX(Kobo_Import!$A$2:$CZ$301,$A14,Field_Map!$B$12)&amp;"","")</f>
        <v>yes</v>
      </c>
      <c r="D14" s="28">
        <f>IF(B14="","",IFERROR(IF(ISNUMBER(INDEX(Kobo_Import!$A$2:$CZ$301,$A14,Field_Map!$B$7)),INDEX(Kobo_Import!$A$2:$CZ$301,$A14,Field_Map!$B$7),DATEVALUE(INDEX(Kobo_Import!$A$2:$CZ$301,$A14,Field_Map!$B$7)&amp;"")),""))</f>
        <v>46010</v>
      </c>
      <c r="E14" s="24" t="str">
        <f>IFERROR(INDEX(Kobo_Import!$A$2:$CZ$301,$A14,Field_Map!$B$11)&amp;"","")</f>
        <v>registration</v>
      </c>
      <c r="F14" s="27">
        <f t="shared" si="0"/>
        <v>46010010</v>
      </c>
      <c r="G14" s="24">
        <f t="shared" si="1"/>
        <v>0</v>
      </c>
      <c r="H14" s="24" t="str">
        <f t="shared" si="2"/>
        <v/>
      </c>
      <c r="I14" s="24" t="str">
        <f t="shared" si="3"/>
        <v>HH-011|registration</v>
      </c>
    </row>
    <row r="15" spans="1:9" x14ac:dyDescent="0.3">
      <c r="A15" s="11">
        <v>11</v>
      </c>
      <c r="B15" s="24" t="str">
        <f>IFERROR(INDEX(Kobo_Import!$A$2:$CZ$301,$A15,Field_Map!$B$13)&amp;"","")</f>
        <v>HH-079</v>
      </c>
      <c r="C15" s="24" t="str">
        <f>IFERROR(INDEX(Kobo_Import!$A$2:$CZ$301,$A15,Field_Map!$B$12)&amp;"","")</f>
        <v>yes</v>
      </c>
      <c r="D15" s="28">
        <f>IF(B15="","",IFERROR(IF(ISNUMBER(INDEX(Kobo_Import!$A$2:$CZ$301,$A15,Field_Map!$B$7)),INDEX(Kobo_Import!$A$2:$CZ$301,$A15,Field_Map!$B$7),DATEVALUE(INDEX(Kobo_Import!$A$2:$CZ$301,$A15,Field_Map!$B$7)&amp;"")),""))</f>
        <v>46010</v>
      </c>
      <c r="E15" s="24" t="str">
        <f>IFERROR(INDEX(Kobo_Import!$A$2:$CZ$301,$A15,Field_Map!$B$11)&amp;"","")</f>
        <v>registration</v>
      </c>
      <c r="F15" s="27">
        <f t="shared" si="0"/>
        <v>46010011</v>
      </c>
      <c r="G15" s="24">
        <f t="shared" si="1"/>
        <v>1</v>
      </c>
      <c r="H15" s="24">
        <f t="shared" si="2"/>
        <v>79</v>
      </c>
      <c r="I15" s="24" t="str">
        <f t="shared" si="3"/>
        <v>HH-079|registration</v>
      </c>
    </row>
    <row r="16" spans="1:9" x14ac:dyDescent="0.3">
      <c r="A16" s="11">
        <v>12</v>
      </c>
      <c r="B16" s="24" t="str">
        <f>IFERROR(INDEX(Kobo_Import!$A$2:$CZ$301,$A16,Field_Map!$B$13)&amp;"","")</f>
        <v>HH-070</v>
      </c>
      <c r="C16" s="24" t="str">
        <f>IFERROR(INDEX(Kobo_Import!$A$2:$CZ$301,$A16,Field_Map!$B$12)&amp;"","")</f>
        <v>yes</v>
      </c>
      <c r="D16" s="28">
        <f>IF(B16="","",IFERROR(IF(ISNUMBER(INDEX(Kobo_Import!$A$2:$CZ$301,$A16,Field_Map!$B$7)),INDEX(Kobo_Import!$A$2:$CZ$301,$A16,Field_Map!$B$7),DATEVALUE(INDEX(Kobo_Import!$A$2:$CZ$301,$A16,Field_Map!$B$7)&amp;"")),""))</f>
        <v>46011</v>
      </c>
      <c r="E16" s="24" t="str">
        <f>IFERROR(INDEX(Kobo_Import!$A$2:$CZ$301,$A16,Field_Map!$B$11)&amp;"","")</f>
        <v>registration</v>
      </c>
      <c r="F16" s="27">
        <f t="shared" si="0"/>
        <v>46011012</v>
      </c>
      <c r="G16" s="24">
        <f t="shared" si="1"/>
        <v>0</v>
      </c>
      <c r="H16" s="24" t="str">
        <f t="shared" si="2"/>
        <v/>
      </c>
      <c r="I16" s="24" t="str">
        <f t="shared" si="3"/>
        <v>HH-070|registration</v>
      </c>
    </row>
    <row r="17" spans="1:9" x14ac:dyDescent="0.3">
      <c r="A17" s="11">
        <v>13</v>
      </c>
      <c r="B17" s="24" t="str">
        <f>IFERROR(INDEX(Kobo_Import!$A$2:$CZ$301,$A17,Field_Map!$B$13)&amp;"","")</f>
        <v>HH-098</v>
      </c>
      <c r="C17" s="24" t="str">
        <f>IFERROR(INDEX(Kobo_Import!$A$2:$CZ$301,$A17,Field_Map!$B$12)&amp;"","")</f>
        <v>yes</v>
      </c>
      <c r="D17" s="28">
        <f>IF(B17="","",IFERROR(IF(ISNUMBER(INDEX(Kobo_Import!$A$2:$CZ$301,$A17,Field_Map!$B$7)),INDEX(Kobo_Import!$A$2:$CZ$301,$A17,Field_Map!$B$7),DATEVALUE(INDEX(Kobo_Import!$A$2:$CZ$301,$A17,Field_Map!$B$7)&amp;"")),""))</f>
        <v>46011</v>
      </c>
      <c r="E17" s="24" t="str">
        <f>IFERROR(INDEX(Kobo_Import!$A$2:$CZ$301,$A17,Field_Map!$B$11)&amp;"","")</f>
        <v>registration</v>
      </c>
      <c r="F17" s="27">
        <f t="shared" si="0"/>
        <v>46011013</v>
      </c>
      <c r="G17" s="24">
        <f t="shared" si="1"/>
        <v>1</v>
      </c>
      <c r="H17" s="24">
        <f t="shared" si="2"/>
        <v>98</v>
      </c>
      <c r="I17" s="24" t="str">
        <f t="shared" si="3"/>
        <v>HH-098|registration</v>
      </c>
    </row>
    <row r="18" spans="1:9" x14ac:dyDescent="0.3">
      <c r="A18" s="11">
        <v>14</v>
      </c>
      <c r="B18" s="24" t="str">
        <f>IFERROR(INDEX(Kobo_Import!$A$2:$CZ$301,$A18,Field_Map!$B$13)&amp;"","")</f>
        <v>HH-049</v>
      </c>
      <c r="C18" s="24" t="str">
        <f>IFERROR(INDEX(Kobo_Import!$A$2:$CZ$301,$A18,Field_Map!$B$12)&amp;"","")</f>
        <v>yes</v>
      </c>
      <c r="D18" s="28">
        <f>IF(B18="","",IFERROR(IF(ISNUMBER(INDEX(Kobo_Import!$A$2:$CZ$301,$A18,Field_Map!$B$7)),INDEX(Kobo_Import!$A$2:$CZ$301,$A18,Field_Map!$B$7),DATEVALUE(INDEX(Kobo_Import!$A$2:$CZ$301,$A18,Field_Map!$B$7)&amp;"")),""))</f>
        <v>46011</v>
      </c>
      <c r="E18" s="24" t="str">
        <f>IFERROR(INDEX(Kobo_Import!$A$2:$CZ$301,$A18,Field_Map!$B$11)&amp;"","")</f>
        <v>registration</v>
      </c>
      <c r="F18" s="27">
        <f t="shared" si="0"/>
        <v>46011014</v>
      </c>
      <c r="G18" s="24">
        <f t="shared" si="1"/>
        <v>0</v>
      </c>
      <c r="H18" s="24" t="str">
        <f t="shared" si="2"/>
        <v/>
      </c>
      <c r="I18" s="24" t="str">
        <f t="shared" si="3"/>
        <v>HH-049|registration</v>
      </c>
    </row>
    <row r="19" spans="1:9" x14ac:dyDescent="0.3">
      <c r="A19" s="11">
        <v>15</v>
      </c>
      <c r="B19" s="24" t="str">
        <f>IFERROR(INDEX(Kobo_Import!$A$2:$CZ$301,$A19,Field_Map!$B$13)&amp;"","")</f>
        <v>HH-111</v>
      </c>
      <c r="C19" s="24" t="str">
        <f>IFERROR(INDEX(Kobo_Import!$A$2:$CZ$301,$A19,Field_Map!$B$12)&amp;"","")</f>
        <v>yes</v>
      </c>
      <c r="D19" s="28">
        <f>IF(B19="","",IFERROR(IF(ISNUMBER(INDEX(Kobo_Import!$A$2:$CZ$301,$A19,Field_Map!$B$7)),INDEX(Kobo_Import!$A$2:$CZ$301,$A19,Field_Map!$B$7),DATEVALUE(INDEX(Kobo_Import!$A$2:$CZ$301,$A19,Field_Map!$B$7)&amp;"")),""))</f>
        <v>46011</v>
      </c>
      <c r="E19" s="24" t="str">
        <f>IFERROR(INDEX(Kobo_Import!$A$2:$CZ$301,$A19,Field_Map!$B$11)&amp;"","")</f>
        <v>registration</v>
      </c>
      <c r="F19" s="27">
        <f t="shared" si="0"/>
        <v>46011015</v>
      </c>
      <c r="G19" s="24">
        <f t="shared" si="1"/>
        <v>1</v>
      </c>
      <c r="H19" s="24">
        <f t="shared" si="2"/>
        <v>111</v>
      </c>
      <c r="I19" s="24" t="str">
        <f t="shared" si="3"/>
        <v>HH-111|registration</v>
      </c>
    </row>
    <row r="20" spans="1:9" x14ac:dyDescent="0.3">
      <c r="A20" s="11">
        <v>16</v>
      </c>
      <c r="B20" s="24" t="str">
        <f>IFERROR(INDEX(Kobo_Import!$A$2:$CZ$301,$A20,Field_Map!$B$13)&amp;"","")</f>
        <v>HH-020</v>
      </c>
      <c r="C20" s="24" t="str">
        <f>IFERROR(INDEX(Kobo_Import!$A$2:$CZ$301,$A20,Field_Map!$B$12)&amp;"","")</f>
        <v>yes</v>
      </c>
      <c r="D20" s="28">
        <f>IF(B20="","",IFERROR(IF(ISNUMBER(INDEX(Kobo_Import!$A$2:$CZ$301,$A20,Field_Map!$B$7)),INDEX(Kobo_Import!$A$2:$CZ$301,$A20,Field_Map!$B$7),DATEVALUE(INDEX(Kobo_Import!$A$2:$CZ$301,$A20,Field_Map!$B$7)&amp;"")),""))</f>
        <v>46012</v>
      </c>
      <c r="E20" s="24" t="str">
        <f>IFERROR(INDEX(Kobo_Import!$A$2:$CZ$301,$A20,Field_Map!$B$11)&amp;"","")</f>
        <v>registration</v>
      </c>
      <c r="F20" s="27">
        <f t="shared" si="0"/>
        <v>46012016</v>
      </c>
      <c r="G20" s="24">
        <f t="shared" si="1"/>
        <v>1</v>
      </c>
      <c r="H20" s="24">
        <f t="shared" si="2"/>
        <v>20</v>
      </c>
      <c r="I20" s="24" t="str">
        <f t="shared" si="3"/>
        <v>HH-020|registration</v>
      </c>
    </row>
    <row r="21" spans="1:9" x14ac:dyDescent="0.3">
      <c r="A21" s="11">
        <v>17</v>
      </c>
      <c r="B21" s="24" t="str">
        <f>IFERROR(INDEX(Kobo_Import!$A$2:$CZ$301,$A21,Field_Map!$B$13)&amp;"","")</f>
        <v>HH-038</v>
      </c>
      <c r="C21" s="24" t="str">
        <f>IFERROR(INDEX(Kobo_Import!$A$2:$CZ$301,$A21,Field_Map!$B$12)&amp;"","")</f>
        <v>yes</v>
      </c>
      <c r="D21" s="28">
        <f>IF(B21="","",IFERROR(IF(ISNUMBER(INDEX(Kobo_Import!$A$2:$CZ$301,$A21,Field_Map!$B$7)),INDEX(Kobo_Import!$A$2:$CZ$301,$A21,Field_Map!$B$7),DATEVALUE(INDEX(Kobo_Import!$A$2:$CZ$301,$A21,Field_Map!$B$7)&amp;"")),""))</f>
        <v>46012</v>
      </c>
      <c r="E21" s="24" t="str">
        <f>IFERROR(INDEX(Kobo_Import!$A$2:$CZ$301,$A21,Field_Map!$B$11)&amp;"","")</f>
        <v>registration</v>
      </c>
      <c r="F21" s="27">
        <f t="shared" si="0"/>
        <v>46012017</v>
      </c>
      <c r="G21" s="24">
        <f t="shared" si="1"/>
        <v>1</v>
      </c>
      <c r="H21" s="24">
        <f t="shared" si="2"/>
        <v>38</v>
      </c>
      <c r="I21" s="24" t="str">
        <f t="shared" si="3"/>
        <v>HH-038|registration</v>
      </c>
    </row>
    <row r="22" spans="1:9" x14ac:dyDescent="0.3">
      <c r="A22" s="11">
        <v>18</v>
      </c>
      <c r="B22" s="24" t="str">
        <f>IFERROR(INDEX(Kobo_Import!$A$2:$CZ$301,$A22,Field_Map!$B$13)&amp;"","")</f>
        <v>HH-058</v>
      </c>
      <c r="C22" s="24" t="str">
        <f>IFERROR(INDEX(Kobo_Import!$A$2:$CZ$301,$A22,Field_Map!$B$12)&amp;"","")</f>
        <v>yes</v>
      </c>
      <c r="D22" s="28">
        <f>IF(B22="","",IFERROR(IF(ISNUMBER(INDEX(Kobo_Import!$A$2:$CZ$301,$A22,Field_Map!$B$7)),INDEX(Kobo_Import!$A$2:$CZ$301,$A22,Field_Map!$B$7),DATEVALUE(INDEX(Kobo_Import!$A$2:$CZ$301,$A22,Field_Map!$B$7)&amp;"")),""))</f>
        <v>46013</v>
      </c>
      <c r="E22" s="24" t="str">
        <f>IFERROR(INDEX(Kobo_Import!$A$2:$CZ$301,$A22,Field_Map!$B$11)&amp;"","")</f>
        <v>registration</v>
      </c>
      <c r="F22" s="27">
        <f t="shared" si="0"/>
        <v>46013018</v>
      </c>
      <c r="G22" s="24">
        <f t="shared" si="1"/>
        <v>1</v>
      </c>
      <c r="H22" s="24">
        <f t="shared" si="2"/>
        <v>58</v>
      </c>
      <c r="I22" s="24" t="str">
        <f t="shared" si="3"/>
        <v>HH-058|registration</v>
      </c>
    </row>
    <row r="23" spans="1:9" x14ac:dyDescent="0.3">
      <c r="A23" s="11">
        <v>19</v>
      </c>
      <c r="B23" s="24" t="str">
        <f>IFERROR(INDEX(Kobo_Import!$A$2:$CZ$301,$A23,Field_Map!$B$13)&amp;"","")</f>
        <v>HH-054</v>
      </c>
      <c r="C23" s="24" t="str">
        <f>IFERROR(INDEX(Kobo_Import!$A$2:$CZ$301,$A23,Field_Map!$B$12)&amp;"","")</f>
        <v>yes</v>
      </c>
      <c r="D23" s="28">
        <f>IF(B23="","",IFERROR(IF(ISNUMBER(INDEX(Kobo_Import!$A$2:$CZ$301,$A23,Field_Map!$B$7)),INDEX(Kobo_Import!$A$2:$CZ$301,$A23,Field_Map!$B$7),DATEVALUE(INDEX(Kobo_Import!$A$2:$CZ$301,$A23,Field_Map!$B$7)&amp;"")),""))</f>
        <v>46013</v>
      </c>
      <c r="E23" s="24" t="str">
        <f>IFERROR(INDEX(Kobo_Import!$A$2:$CZ$301,$A23,Field_Map!$B$11)&amp;"","")</f>
        <v>registration</v>
      </c>
      <c r="F23" s="27">
        <f t="shared" si="0"/>
        <v>46013019</v>
      </c>
      <c r="G23" s="24">
        <f t="shared" si="1"/>
        <v>0</v>
      </c>
      <c r="H23" s="24" t="str">
        <f t="shared" si="2"/>
        <v/>
      </c>
      <c r="I23" s="24" t="str">
        <f t="shared" si="3"/>
        <v>HH-054|registration</v>
      </c>
    </row>
    <row r="24" spans="1:9" x14ac:dyDescent="0.3">
      <c r="A24" s="11">
        <v>20</v>
      </c>
      <c r="B24" s="24" t="str">
        <f>IFERROR(INDEX(Kobo_Import!$A$2:$CZ$301,$A24,Field_Map!$B$13)&amp;"","")</f>
        <v>HH-074</v>
      </c>
      <c r="C24" s="24" t="str">
        <f>IFERROR(INDEX(Kobo_Import!$A$2:$CZ$301,$A24,Field_Map!$B$12)&amp;"","")</f>
        <v>yes</v>
      </c>
      <c r="D24" s="28">
        <f>IF(B24="","",IFERROR(IF(ISNUMBER(INDEX(Kobo_Import!$A$2:$CZ$301,$A24,Field_Map!$B$7)),INDEX(Kobo_Import!$A$2:$CZ$301,$A24,Field_Map!$B$7),DATEVALUE(INDEX(Kobo_Import!$A$2:$CZ$301,$A24,Field_Map!$B$7)&amp;"")),""))</f>
        <v>46014</v>
      </c>
      <c r="E24" s="24" t="str">
        <f>IFERROR(INDEX(Kobo_Import!$A$2:$CZ$301,$A24,Field_Map!$B$11)&amp;"","")</f>
        <v>registration</v>
      </c>
      <c r="F24" s="27">
        <f t="shared" si="0"/>
        <v>46014020</v>
      </c>
      <c r="G24" s="24">
        <f t="shared" si="1"/>
        <v>1</v>
      </c>
      <c r="H24" s="24">
        <f t="shared" si="2"/>
        <v>74</v>
      </c>
      <c r="I24" s="24" t="str">
        <f t="shared" si="3"/>
        <v>HH-074|registration</v>
      </c>
    </row>
    <row r="25" spans="1:9" x14ac:dyDescent="0.3">
      <c r="A25" s="11">
        <v>21</v>
      </c>
      <c r="B25" s="24" t="str">
        <f>IFERROR(INDEX(Kobo_Import!$A$2:$CZ$301,$A25,Field_Map!$B$13)&amp;"","")</f>
        <v>HH-063</v>
      </c>
      <c r="C25" s="24" t="str">
        <f>IFERROR(INDEX(Kobo_Import!$A$2:$CZ$301,$A25,Field_Map!$B$12)&amp;"","")</f>
        <v>yes</v>
      </c>
      <c r="D25" s="28">
        <f>IF(B25="","",IFERROR(IF(ISNUMBER(INDEX(Kobo_Import!$A$2:$CZ$301,$A25,Field_Map!$B$7)),INDEX(Kobo_Import!$A$2:$CZ$301,$A25,Field_Map!$B$7),DATEVALUE(INDEX(Kobo_Import!$A$2:$CZ$301,$A25,Field_Map!$B$7)&amp;"")),""))</f>
        <v>46014</v>
      </c>
      <c r="E25" s="24" t="str">
        <f>IFERROR(INDEX(Kobo_Import!$A$2:$CZ$301,$A25,Field_Map!$B$11)&amp;"","")</f>
        <v>registration</v>
      </c>
      <c r="F25" s="27">
        <f t="shared" si="0"/>
        <v>46014021</v>
      </c>
      <c r="G25" s="24">
        <f t="shared" si="1"/>
        <v>0</v>
      </c>
      <c r="H25" s="24" t="str">
        <f t="shared" si="2"/>
        <v/>
      </c>
      <c r="I25" s="24" t="str">
        <f t="shared" si="3"/>
        <v>HH-063|registration</v>
      </c>
    </row>
    <row r="26" spans="1:9" x14ac:dyDescent="0.3">
      <c r="A26" s="11">
        <v>22</v>
      </c>
      <c r="B26" s="24" t="str">
        <f>IFERROR(INDEX(Kobo_Import!$A$2:$CZ$301,$A26,Field_Map!$B$13)&amp;"","")</f>
        <v>HH-090</v>
      </c>
      <c r="C26" s="24" t="str">
        <f>IFERROR(INDEX(Kobo_Import!$A$2:$CZ$301,$A26,Field_Map!$B$12)&amp;"","")</f>
        <v>yes</v>
      </c>
      <c r="D26" s="28">
        <f>IF(B26="","",IFERROR(IF(ISNUMBER(INDEX(Kobo_Import!$A$2:$CZ$301,$A26,Field_Map!$B$7)),INDEX(Kobo_Import!$A$2:$CZ$301,$A26,Field_Map!$B$7),DATEVALUE(INDEX(Kobo_Import!$A$2:$CZ$301,$A26,Field_Map!$B$7)&amp;"")),""))</f>
        <v>46015</v>
      </c>
      <c r="E26" s="24" t="str">
        <f>IFERROR(INDEX(Kobo_Import!$A$2:$CZ$301,$A26,Field_Map!$B$11)&amp;"","")</f>
        <v>registration</v>
      </c>
      <c r="F26" s="27">
        <f t="shared" si="0"/>
        <v>46015022</v>
      </c>
      <c r="G26" s="24">
        <f t="shared" si="1"/>
        <v>1</v>
      </c>
      <c r="H26" s="24">
        <f t="shared" si="2"/>
        <v>90</v>
      </c>
      <c r="I26" s="24" t="str">
        <f t="shared" si="3"/>
        <v>HH-090|registration</v>
      </c>
    </row>
    <row r="27" spans="1:9" x14ac:dyDescent="0.3">
      <c r="A27" s="11">
        <v>23</v>
      </c>
      <c r="B27" s="24" t="str">
        <f>IFERROR(INDEX(Kobo_Import!$A$2:$CZ$301,$A27,Field_Map!$B$13)&amp;"","")</f>
        <v>HH-075</v>
      </c>
      <c r="C27" s="24" t="str">
        <f>IFERROR(INDEX(Kobo_Import!$A$2:$CZ$301,$A27,Field_Map!$B$12)&amp;"","")</f>
        <v>yes</v>
      </c>
      <c r="D27" s="28">
        <f>IF(B27="","",IFERROR(IF(ISNUMBER(INDEX(Kobo_Import!$A$2:$CZ$301,$A27,Field_Map!$B$7)),INDEX(Kobo_Import!$A$2:$CZ$301,$A27,Field_Map!$B$7),DATEVALUE(INDEX(Kobo_Import!$A$2:$CZ$301,$A27,Field_Map!$B$7)&amp;"")),""))</f>
        <v>46015</v>
      </c>
      <c r="E27" s="24" t="str">
        <f>IFERROR(INDEX(Kobo_Import!$A$2:$CZ$301,$A27,Field_Map!$B$11)&amp;"","")</f>
        <v>registration</v>
      </c>
      <c r="F27" s="27">
        <f t="shared" si="0"/>
        <v>46015023</v>
      </c>
      <c r="G27" s="24">
        <f t="shared" si="1"/>
        <v>0</v>
      </c>
      <c r="H27" s="24" t="str">
        <f t="shared" si="2"/>
        <v/>
      </c>
      <c r="I27" s="24" t="str">
        <f t="shared" si="3"/>
        <v>HH-075|registration</v>
      </c>
    </row>
    <row r="28" spans="1:9" x14ac:dyDescent="0.3">
      <c r="A28" s="11">
        <v>24</v>
      </c>
      <c r="B28" s="24" t="str">
        <f>IFERROR(INDEX(Kobo_Import!$A$2:$CZ$301,$A28,Field_Map!$B$13)&amp;"","")</f>
        <v>HH-048</v>
      </c>
      <c r="C28" s="24" t="str">
        <f>IFERROR(INDEX(Kobo_Import!$A$2:$CZ$301,$A28,Field_Map!$B$12)&amp;"","")</f>
        <v>yes</v>
      </c>
      <c r="D28" s="28">
        <f>IF(B28="","",IFERROR(IF(ISNUMBER(INDEX(Kobo_Import!$A$2:$CZ$301,$A28,Field_Map!$B$7)),INDEX(Kobo_Import!$A$2:$CZ$301,$A28,Field_Map!$B$7),DATEVALUE(INDEX(Kobo_Import!$A$2:$CZ$301,$A28,Field_Map!$B$7)&amp;"")),""))</f>
        <v>46015</v>
      </c>
      <c r="E28" s="24" t="str">
        <f>IFERROR(INDEX(Kobo_Import!$A$2:$CZ$301,$A28,Field_Map!$B$11)&amp;"","")</f>
        <v>registration</v>
      </c>
      <c r="F28" s="27">
        <f t="shared" si="0"/>
        <v>46015024</v>
      </c>
      <c r="G28" s="24">
        <f t="shared" si="1"/>
        <v>0</v>
      </c>
      <c r="H28" s="24" t="str">
        <f t="shared" si="2"/>
        <v/>
      </c>
      <c r="I28" s="24" t="str">
        <f t="shared" si="3"/>
        <v>HH-048|registration</v>
      </c>
    </row>
    <row r="29" spans="1:9" x14ac:dyDescent="0.3">
      <c r="A29" s="11">
        <v>25</v>
      </c>
      <c r="B29" s="24" t="str">
        <f>IFERROR(INDEX(Kobo_Import!$A$2:$CZ$301,$A29,Field_Map!$B$13)&amp;"","")</f>
        <v>HH-025</v>
      </c>
      <c r="C29" s="24" t="str">
        <f>IFERROR(INDEX(Kobo_Import!$A$2:$CZ$301,$A29,Field_Map!$B$12)&amp;"","")</f>
        <v>yes</v>
      </c>
      <c r="D29" s="28">
        <f>IF(B29="","",IFERROR(IF(ISNUMBER(INDEX(Kobo_Import!$A$2:$CZ$301,$A29,Field_Map!$B$7)),INDEX(Kobo_Import!$A$2:$CZ$301,$A29,Field_Map!$B$7),DATEVALUE(INDEX(Kobo_Import!$A$2:$CZ$301,$A29,Field_Map!$B$7)&amp;"")),""))</f>
        <v>46016</v>
      </c>
      <c r="E29" s="24" t="str">
        <f>IFERROR(INDEX(Kobo_Import!$A$2:$CZ$301,$A29,Field_Map!$B$11)&amp;"","")</f>
        <v>registration</v>
      </c>
      <c r="F29" s="27">
        <f t="shared" si="0"/>
        <v>46016025</v>
      </c>
      <c r="G29" s="24">
        <f t="shared" si="1"/>
        <v>1</v>
      </c>
      <c r="H29" s="24">
        <f t="shared" si="2"/>
        <v>25</v>
      </c>
      <c r="I29" s="24" t="str">
        <f t="shared" si="3"/>
        <v>HH-025|registration</v>
      </c>
    </row>
    <row r="30" spans="1:9" x14ac:dyDescent="0.3">
      <c r="A30" s="11">
        <v>26</v>
      </c>
      <c r="B30" s="24" t="str">
        <f>IFERROR(INDEX(Kobo_Import!$A$2:$CZ$301,$A30,Field_Map!$B$13)&amp;"","")</f>
        <v>HH-061</v>
      </c>
      <c r="C30" s="24" t="str">
        <f>IFERROR(INDEX(Kobo_Import!$A$2:$CZ$301,$A30,Field_Map!$B$12)&amp;"","")</f>
        <v>yes</v>
      </c>
      <c r="D30" s="28">
        <f>IF(B30="","",IFERROR(IF(ISNUMBER(INDEX(Kobo_Import!$A$2:$CZ$301,$A30,Field_Map!$B$7)),INDEX(Kobo_Import!$A$2:$CZ$301,$A30,Field_Map!$B$7),DATEVALUE(INDEX(Kobo_Import!$A$2:$CZ$301,$A30,Field_Map!$B$7)&amp;"")),""))</f>
        <v>46016</v>
      </c>
      <c r="E30" s="24" t="str">
        <f>IFERROR(INDEX(Kobo_Import!$A$2:$CZ$301,$A30,Field_Map!$B$11)&amp;"","")</f>
        <v>registration</v>
      </c>
      <c r="F30" s="27">
        <f t="shared" si="0"/>
        <v>46016026</v>
      </c>
      <c r="G30" s="24">
        <f t="shared" si="1"/>
        <v>1</v>
      </c>
      <c r="H30" s="24">
        <f t="shared" si="2"/>
        <v>61</v>
      </c>
      <c r="I30" s="24" t="str">
        <f t="shared" si="3"/>
        <v>HH-061|registration</v>
      </c>
    </row>
    <row r="31" spans="1:9" x14ac:dyDescent="0.3">
      <c r="A31" s="11">
        <v>27</v>
      </c>
      <c r="B31" s="24" t="str">
        <f>IFERROR(INDEX(Kobo_Import!$A$2:$CZ$301,$A31,Field_Map!$B$13)&amp;"","")</f>
        <v>HH-012</v>
      </c>
      <c r="C31" s="24" t="str">
        <f>IFERROR(INDEX(Kobo_Import!$A$2:$CZ$301,$A31,Field_Map!$B$12)&amp;"","")</f>
        <v>yes</v>
      </c>
      <c r="D31" s="28">
        <f>IF(B31="","",IFERROR(IF(ISNUMBER(INDEX(Kobo_Import!$A$2:$CZ$301,$A31,Field_Map!$B$7)),INDEX(Kobo_Import!$A$2:$CZ$301,$A31,Field_Map!$B$7),DATEVALUE(INDEX(Kobo_Import!$A$2:$CZ$301,$A31,Field_Map!$B$7)&amp;"")),""))</f>
        <v>46016</v>
      </c>
      <c r="E31" s="24" t="str">
        <f>IFERROR(INDEX(Kobo_Import!$A$2:$CZ$301,$A31,Field_Map!$B$11)&amp;"","")</f>
        <v>registration</v>
      </c>
      <c r="F31" s="27">
        <f t="shared" si="0"/>
        <v>46016027</v>
      </c>
      <c r="G31" s="24">
        <f t="shared" si="1"/>
        <v>0</v>
      </c>
      <c r="H31" s="24" t="str">
        <f t="shared" si="2"/>
        <v/>
      </c>
      <c r="I31" s="24" t="str">
        <f t="shared" si="3"/>
        <v>HH-012|registration</v>
      </c>
    </row>
    <row r="32" spans="1:9" x14ac:dyDescent="0.3">
      <c r="A32" s="11">
        <v>28</v>
      </c>
      <c r="B32" s="24" t="str">
        <f>IFERROR(INDEX(Kobo_Import!$A$2:$CZ$301,$A32,Field_Map!$B$13)&amp;"","")</f>
        <v>HH-120</v>
      </c>
      <c r="C32" s="24" t="str">
        <f>IFERROR(INDEX(Kobo_Import!$A$2:$CZ$301,$A32,Field_Map!$B$12)&amp;"","")</f>
        <v>yes</v>
      </c>
      <c r="D32" s="28">
        <f>IF(B32="","",IFERROR(IF(ISNUMBER(INDEX(Kobo_Import!$A$2:$CZ$301,$A32,Field_Map!$B$7)),INDEX(Kobo_Import!$A$2:$CZ$301,$A32,Field_Map!$B$7),DATEVALUE(INDEX(Kobo_Import!$A$2:$CZ$301,$A32,Field_Map!$B$7)&amp;"")),""))</f>
        <v>46016</v>
      </c>
      <c r="E32" s="24" t="str">
        <f>IFERROR(INDEX(Kobo_Import!$A$2:$CZ$301,$A32,Field_Map!$B$11)&amp;"","")</f>
        <v>registration</v>
      </c>
      <c r="F32" s="27">
        <f t="shared" si="0"/>
        <v>46016028</v>
      </c>
      <c r="G32" s="24">
        <f t="shared" si="1"/>
        <v>1</v>
      </c>
      <c r="H32" s="24">
        <f t="shared" si="2"/>
        <v>120</v>
      </c>
      <c r="I32" s="24" t="str">
        <f t="shared" si="3"/>
        <v>HH-120|registration</v>
      </c>
    </row>
    <row r="33" spans="1:9" x14ac:dyDescent="0.3">
      <c r="A33" s="11">
        <v>29</v>
      </c>
      <c r="B33" s="24" t="str">
        <f>IFERROR(INDEX(Kobo_Import!$A$2:$CZ$301,$A33,Field_Map!$B$13)&amp;"","")</f>
        <v>HH-016</v>
      </c>
      <c r="C33" s="24" t="str">
        <f>IFERROR(INDEX(Kobo_Import!$A$2:$CZ$301,$A33,Field_Map!$B$12)&amp;"","")</f>
        <v>yes</v>
      </c>
      <c r="D33" s="28">
        <f>IF(B33="","",IFERROR(IF(ISNUMBER(INDEX(Kobo_Import!$A$2:$CZ$301,$A33,Field_Map!$B$7)),INDEX(Kobo_Import!$A$2:$CZ$301,$A33,Field_Map!$B$7),DATEVALUE(INDEX(Kobo_Import!$A$2:$CZ$301,$A33,Field_Map!$B$7)&amp;"")),""))</f>
        <v>46017</v>
      </c>
      <c r="E33" s="24" t="str">
        <f>IFERROR(INDEX(Kobo_Import!$A$2:$CZ$301,$A33,Field_Map!$B$11)&amp;"","")</f>
        <v>registration</v>
      </c>
      <c r="F33" s="27">
        <f t="shared" si="0"/>
        <v>46017029</v>
      </c>
      <c r="G33" s="24">
        <f t="shared" si="1"/>
        <v>1</v>
      </c>
      <c r="H33" s="24">
        <f t="shared" si="2"/>
        <v>16</v>
      </c>
      <c r="I33" s="24" t="str">
        <f t="shared" si="3"/>
        <v>HH-016|registration</v>
      </c>
    </row>
    <row r="34" spans="1:9" x14ac:dyDescent="0.3">
      <c r="A34" s="11">
        <v>30</v>
      </c>
      <c r="B34" s="24" t="str">
        <f>IFERROR(INDEX(Kobo_Import!$A$2:$CZ$301,$A34,Field_Map!$B$13)&amp;"","")</f>
        <v>HH-024</v>
      </c>
      <c r="C34" s="24" t="str">
        <f>IFERROR(INDEX(Kobo_Import!$A$2:$CZ$301,$A34,Field_Map!$B$12)&amp;"","")</f>
        <v>yes</v>
      </c>
      <c r="D34" s="28">
        <f>IF(B34="","",IFERROR(IF(ISNUMBER(INDEX(Kobo_Import!$A$2:$CZ$301,$A34,Field_Map!$B$7)),INDEX(Kobo_Import!$A$2:$CZ$301,$A34,Field_Map!$B$7),DATEVALUE(INDEX(Kobo_Import!$A$2:$CZ$301,$A34,Field_Map!$B$7)&amp;"")),""))</f>
        <v>46017</v>
      </c>
      <c r="E34" s="24" t="str">
        <f>IFERROR(INDEX(Kobo_Import!$A$2:$CZ$301,$A34,Field_Map!$B$11)&amp;"","")</f>
        <v>registration</v>
      </c>
      <c r="F34" s="27">
        <f t="shared" si="0"/>
        <v>46017030</v>
      </c>
      <c r="G34" s="24">
        <f t="shared" si="1"/>
        <v>1</v>
      </c>
      <c r="H34" s="24">
        <f t="shared" si="2"/>
        <v>24</v>
      </c>
      <c r="I34" s="24" t="str">
        <f t="shared" si="3"/>
        <v>HH-024|registration</v>
      </c>
    </row>
    <row r="35" spans="1:9" x14ac:dyDescent="0.3">
      <c r="A35" s="11">
        <v>31</v>
      </c>
      <c r="B35" s="24" t="str">
        <f>IFERROR(INDEX(Kobo_Import!$A$2:$CZ$301,$A35,Field_Map!$B$13)&amp;"","")</f>
        <v>HH-046</v>
      </c>
      <c r="C35" s="24" t="str">
        <f>IFERROR(INDEX(Kobo_Import!$A$2:$CZ$301,$A35,Field_Map!$B$12)&amp;"","")</f>
        <v>yes</v>
      </c>
      <c r="D35" s="28">
        <f>IF(B35="","",IFERROR(IF(ISNUMBER(INDEX(Kobo_Import!$A$2:$CZ$301,$A35,Field_Map!$B$7)),INDEX(Kobo_Import!$A$2:$CZ$301,$A35,Field_Map!$B$7),DATEVALUE(INDEX(Kobo_Import!$A$2:$CZ$301,$A35,Field_Map!$B$7)&amp;"")),""))</f>
        <v>46018</v>
      </c>
      <c r="E35" s="24" t="str">
        <f>IFERROR(INDEX(Kobo_Import!$A$2:$CZ$301,$A35,Field_Map!$B$11)&amp;"","")</f>
        <v>registration</v>
      </c>
      <c r="F35" s="27">
        <f t="shared" si="0"/>
        <v>46018031</v>
      </c>
      <c r="G35" s="24">
        <f t="shared" si="1"/>
        <v>0</v>
      </c>
      <c r="H35" s="24" t="str">
        <f t="shared" si="2"/>
        <v/>
      </c>
      <c r="I35" s="24" t="str">
        <f t="shared" si="3"/>
        <v>HH-046|registration</v>
      </c>
    </row>
    <row r="36" spans="1:9" x14ac:dyDescent="0.3">
      <c r="A36" s="11">
        <v>32</v>
      </c>
      <c r="B36" s="24" t="str">
        <f>IFERROR(INDEX(Kobo_Import!$A$2:$CZ$301,$A36,Field_Map!$B$13)&amp;"","")</f>
        <v>HH-033</v>
      </c>
      <c r="C36" s="24" t="str">
        <f>IFERROR(INDEX(Kobo_Import!$A$2:$CZ$301,$A36,Field_Map!$B$12)&amp;"","")</f>
        <v>yes</v>
      </c>
      <c r="D36" s="28">
        <f>IF(B36="","",IFERROR(IF(ISNUMBER(INDEX(Kobo_Import!$A$2:$CZ$301,$A36,Field_Map!$B$7)),INDEX(Kobo_Import!$A$2:$CZ$301,$A36,Field_Map!$B$7),DATEVALUE(INDEX(Kobo_Import!$A$2:$CZ$301,$A36,Field_Map!$B$7)&amp;"")),""))</f>
        <v>46018</v>
      </c>
      <c r="E36" s="24" t="str">
        <f>IFERROR(INDEX(Kobo_Import!$A$2:$CZ$301,$A36,Field_Map!$B$11)&amp;"","")</f>
        <v>registration</v>
      </c>
      <c r="F36" s="27">
        <f t="shared" si="0"/>
        <v>46018032</v>
      </c>
      <c r="G36" s="24">
        <f t="shared" si="1"/>
        <v>0</v>
      </c>
      <c r="H36" s="24" t="str">
        <f t="shared" si="2"/>
        <v/>
      </c>
      <c r="I36" s="24" t="str">
        <f t="shared" si="3"/>
        <v>HH-033|registration</v>
      </c>
    </row>
    <row r="37" spans="1:9" x14ac:dyDescent="0.3">
      <c r="A37" s="11">
        <v>33</v>
      </c>
      <c r="B37" s="24" t="str">
        <f>IFERROR(INDEX(Kobo_Import!$A$2:$CZ$301,$A37,Field_Map!$B$13)&amp;"","")</f>
        <v>HH-116</v>
      </c>
      <c r="C37" s="24" t="str">
        <f>IFERROR(INDEX(Kobo_Import!$A$2:$CZ$301,$A37,Field_Map!$B$12)&amp;"","")</f>
        <v>yes</v>
      </c>
      <c r="D37" s="28">
        <f>IF(B37="","",IFERROR(IF(ISNUMBER(INDEX(Kobo_Import!$A$2:$CZ$301,$A37,Field_Map!$B$7)),INDEX(Kobo_Import!$A$2:$CZ$301,$A37,Field_Map!$B$7),DATEVALUE(INDEX(Kobo_Import!$A$2:$CZ$301,$A37,Field_Map!$B$7)&amp;"")),""))</f>
        <v>46019</v>
      </c>
      <c r="E37" s="24" t="str">
        <f>IFERROR(INDEX(Kobo_Import!$A$2:$CZ$301,$A37,Field_Map!$B$11)&amp;"","")</f>
        <v>registration</v>
      </c>
      <c r="F37" s="27">
        <f t="shared" si="0"/>
        <v>46019033</v>
      </c>
      <c r="G37" s="24">
        <f t="shared" si="1"/>
        <v>0</v>
      </c>
      <c r="H37" s="24" t="str">
        <f t="shared" si="2"/>
        <v/>
      </c>
      <c r="I37" s="24" t="str">
        <f t="shared" si="3"/>
        <v>HH-116|registration</v>
      </c>
    </row>
    <row r="38" spans="1:9" x14ac:dyDescent="0.3">
      <c r="A38" s="11">
        <v>34</v>
      </c>
      <c r="B38" s="24" t="str">
        <f>IFERROR(INDEX(Kobo_Import!$A$2:$CZ$301,$A38,Field_Map!$B$13)&amp;"","")</f>
        <v>HH-117</v>
      </c>
      <c r="C38" s="24" t="str">
        <f>IFERROR(INDEX(Kobo_Import!$A$2:$CZ$301,$A38,Field_Map!$B$12)&amp;"","")</f>
        <v>yes</v>
      </c>
      <c r="D38" s="28">
        <f>IF(B38="","",IFERROR(IF(ISNUMBER(INDEX(Kobo_Import!$A$2:$CZ$301,$A38,Field_Map!$B$7)),INDEX(Kobo_Import!$A$2:$CZ$301,$A38,Field_Map!$B$7),DATEVALUE(INDEX(Kobo_Import!$A$2:$CZ$301,$A38,Field_Map!$B$7)&amp;"")),""))</f>
        <v>46019</v>
      </c>
      <c r="E38" s="24" t="str">
        <f>IFERROR(INDEX(Kobo_Import!$A$2:$CZ$301,$A38,Field_Map!$B$11)&amp;"","")</f>
        <v>registration</v>
      </c>
      <c r="F38" s="27">
        <f t="shared" si="0"/>
        <v>46019034</v>
      </c>
      <c r="G38" s="24">
        <f t="shared" si="1"/>
        <v>0</v>
      </c>
      <c r="H38" s="24" t="str">
        <f t="shared" si="2"/>
        <v/>
      </c>
      <c r="I38" s="24" t="str">
        <f t="shared" si="3"/>
        <v>HH-117|registration</v>
      </c>
    </row>
    <row r="39" spans="1:9" x14ac:dyDescent="0.3">
      <c r="A39" s="11">
        <v>35</v>
      </c>
      <c r="B39" s="24" t="str">
        <f>IFERROR(INDEX(Kobo_Import!$A$2:$CZ$301,$A39,Field_Map!$B$13)&amp;"","")</f>
        <v>HH-009</v>
      </c>
      <c r="C39" s="24" t="str">
        <f>IFERROR(INDEX(Kobo_Import!$A$2:$CZ$301,$A39,Field_Map!$B$12)&amp;"","")</f>
        <v>yes</v>
      </c>
      <c r="D39" s="28">
        <f>IF(B39="","",IFERROR(IF(ISNUMBER(INDEX(Kobo_Import!$A$2:$CZ$301,$A39,Field_Map!$B$7)),INDEX(Kobo_Import!$A$2:$CZ$301,$A39,Field_Map!$B$7),DATEVALUE(INDEX(Kobo_Import!$A$2:$CZ$301,$A39,Field_Map!$B$7)&amp;"")),""))</f>
        <v>46020</v>
      </c>
      <c r="E39" s="24" t="str">
        <f>IFERROR(INDEX(Kobo_Import!$A$2:$CZ$301,$A39,Field_Map!$B$11)&amp;"","")</f>
        <v>registration</v>
      </c>
      <c r="F39" s="27">
        <f t="shared" si="0"/>
        <v>46020035</v>
      </c>
      <c r="G39" s="24">
        <f t="shared" si="1"/>
        <v>0</v>
      </c>
      <c r="H39" s="24" t="str">
        <f t="shared" si="2"/>
        <v/>
      </c>
      <c r="I39" s="24" t="str">
        <f t="shared" si="3"/>
        <v>HH-009|registration</v>
      </c>
    </row>
    <row r="40" spans="1:9" x14ac:dyDescent="0.3">
      <c r="A40" s="11">
        <v>36</v>
      </c>
      <c r="B40" s="24" t="str">
        <f>IFERROR(INDEX(Kobo_Import!$A$2:$CZ$301,$A40,Field_Map!$B$13)&amp;"","")</f>
        <v>HH-060</v>
      </c>
      <c r="C40" s="24" t="str">
        <f>IFERROR(INDEX(Kobo_Import!$A$2:$CZ$301,$A40,Field_Map!$B$12)&amp;"","")</f>
        <v>yes</v>
      </c>
      <c r="D40" s="28">
        <f>IF(B40="","",IFERROR(IF(ISNUMBER(INDEX(Kobo_Import!$A$2:$CZ$301,$A40,Field_Map!$B$7)),INDEX(Kobo_Import!$A$2:$CZ$301,$A40,Field_Map!$B$7),DATEVALUE(INDEX(Kobo_Import!$A$2:$CZ$301,$A40,Field_Map!$B$7)&amp;"")),""))</f>
        <v>46020</v>
      </c>
      <c r="E40" s="24" t="str">
        <f>IFERROR(INDEX(Kobo_Import!$A$2:$CZ$301,$A40,Field_Map!$B$11)&amp;"","")</f>
        <v>registration</v>
      </c>
      <c r="F40" s="27">
        <f t="shared" si="0"/>
        <v>46020036</v>
      </c>
      <c r="G40" s="24">
        <f t="shared" si="1"/>
        <v>1</v>
      </c>
      <c r="H40" s="24">
        <f t="shared" si="2"/>
        <v>60</v>
      </c>
      <c r="I40" s="24" t="str">
        <f t="shared" si="3"/>
        <v>HH-060|registration</v>
      </c>
    </row>
    <row r="41" spans="1:9" x14ac:dyDescent="0.3">
      <c r="A41" s="11">
        <v>37</v>
      </c>
      <c r="B41" s="24" t="str">
        <f>IFERROR(INDEX(Kobo_Import!$A$2:$CZ$301,$A41,Field_Map!$B$13)&amp;"","")</f>
        <v>HH-031</v>
      </c>
      <c r="C41" s="24" t="str">
        <f>IFERROR(INDEX(Kobo_Import!$A$2:$CZ$301,$A41,Field_Map!$B$12)&amp;"","")</f>
        <v>yes</v>
      </c>
      <c r="D41" s="28">
        <f>IF(B41="","",IFERROR(IF(ISNUMBER(INDEX(Kobo_Import!$A$2:$CZ$301,$A41,Field_Map!$B$7)),INDEX(Kobo_Import!$A$2:$CZ$301,$A41,Field_Map!$B$7),DATEVALUE(INDEX(Kobo_Import!$A$2:$CZ$301,$A41,Field_Map!$B$7)&amp;"")),""))</f>
        <v>46020</v>
      </c>
      <c r="E41" s="24" t="str">
        <f>IFERROR(INDEX(Kobo_Import!$A$2:$CZ$301,$A41,Field_Map!$B$11)&amp;"","")</f>
        <v>registration</v>
      </c>
      <c r="F41" s="27">
        <f t="shared" si="0"/>
        <v>46020037</v>
      </c>
      <c r="G41" s="24">
        <f t="shared" si="1"/>
        <v>0</v>
      </c>
      <c r="H41" s="24" t="str">
        <f t="shared" si="2"/>
        <v/>
      </c>
      <c r="I41" s="24" t="str">
        <f t="shared" si="3"/>
        <v>HH-031|registration</v>
      </c>
    </row>
    <row r="42" spans="1:9" x14ac:dyDescent="0.3">
      <c r="A42" s="11">
        <v>38</v>
      </c>
      <c r="B42" s="24" t="str">
        <f>IFERROR(INDEX(Kobo_Import!$A$2:$CZ$301,$A42,Field_Map!$B$13)&amp;"","")</f>
        <v>HH-069</v>
      </c>
      <c r="C42" s="24" t="str">
        <f>IFERROR(INDEX(Kobo_Import!$A$2:$CZ$301,$A42,Field_Map!$B$12)&amp;"","")</f>
        <v>yes</v>
      </c>
      <c r="D42" s="28">
        <f>IF(B42="","",IFERROR(IF(ISNUMBER(INDEX(Kobo_Import!$A$2:$CZ$301,$A42,Field_Map!$B$7)),INDEX(Kobo_Import!$A$2:$CZ$301,$A42,Field_Map!$B$7),DATEVALUE(INDEX(Kobo_Import!$A$2:$CZ$301,$A42,Field_Map!$B$7)&amp;"")),""))</f>
        <v>46021</v>
      </c>
      <c r="E42" s="24" t="str">
        <f>IFERROR(INDEX(Kobo_Import!$A$2:$CZ$301,$A42,Field_Map!$B$11)&amp;"","")</f>
        <v>registration</v>
      </c>
      <c r="F42" s="27">
        <f t="shared" si="0"/>
        <v>46021038</v>
      </c>
      <c r="G42" s="24">
        <f t="shared" si="1"/>
        <v>0</v>
      </c>
      <c r="H42" s="24" t="str">
        <f t="shared" si="2"/>
        <v/>
      </c>
      <c r="I42" s="24" t="str">
        <f t="shared" si="3"/>
        <v>HH-069|registration</v>
      </c>
    </row>
    <row r="43" spans="1:9" x14ac:dyDescent="0.3">
      <c r="A43" s="11">
        <v>39</v>
      </c>
      <c r="B43" s="24" t="str">
        <f>IFERROR(INDEX(Kobo_Import!$A$2:$CZ$301,$A43,Field_Map!$B$13)&amp;"","")</f>
        <v>HH-004</v>
      </c>
      <c r="C43" s="24" t="str">
        <f>IFERROR(INDEX(Kobo_Import!$A$2:$CZ$301,$A43,Field_Map!$B$12)&amp;"","")</f>
        <v>yes</v>
      </c>
      <c r="D43" s="28">
        <f>IF(B43="","",IFERROR(IF(ISNUMBER(INDEX(Kobo_Import!$A$2:$CZ$301,$A43,Field_Map!$B$7)),INDEX(Kobo_Import!$A$2:$CZ$301,$A43,Field_Map!$B$7),DATEVALUE(INDEX(Kobo_Import!$A$2:$CZ$301,$A43,Field_Map!$B$7)&amp;"")),""))</f>
        <v>46021</v>
      </c>
      <c r="E43" s="24" t="str">
        <f>IFERROR(INDEX(Kobo_Import!$A$2:$CZ$301,$A43,Field_Map!$B$11)&amp;"","")</f>
        <v>registration</v>
      </c>
      <c r="F43" s="27">
        <f t="shared" si="0"/>
        <v>46021039</v>
      </c>
      <c r="G43" s="24">
        <f t="shared" si="1"/>
        <v>0</v>
      </c>
      <c r="H43" s="24" t="str">
        <f t="shared" si="2"/>
        <v/>
      </c>
      <c r="I43" s="24" t="str">
        <f t="shared" si="3"/>
        <v>HH-004|registration</v>
      </c>
    </row>
    <row r="44" spans="1:9" x14ac:dyDescent="0.3">
      <c r="A44" s="11">
        <v>40</v>
      </c>
      <c r="B44" s="24" t="str">
        <f>IFERROR(INDEX(Kobo_Import!$A$2:$CZ$301,$A44,Field_Map!$B$13)&amp;"","")</f>
        <v>HH-078</v>
      </c>
      <c r="C44" s="24" t="str">
        <f>IFERROR(INDEX(Kobo_Import!$A$2:$CZ$301,$A44,Field_Map!$B$12)&amp;"","")</f>
        <v>yes</v>
      </c>
      <c r="D44" s="28">
        <f>IF(B44="","",IFERROR(IF(ISNUMBER(INDEX(Kobo_Import!$A$2:$CZ$301,$A44,Field_Map!$B$7)),INDEX(Kobo_Import!$A$2:$CZ$301,$A44,Field_Map!$B$7),DATEVALUE(INDEX(Kobo_Import!$A$2:$CZ$301,$A44,Field_Map!$B$7)&amp;"")),""))</f>
        <v>46021</v>
      </c>
      <c r="E44" s="24" t="str">
        <f>IFERROR(INDEX(Kobo_Import!$A$2:$CZ$301,$A44,Field_Map!$B$11)&amp;"","")</f>
        <v>registration</v>
      </c>
      <c r="F44" s="27">
        <f t="shared" si="0"/>
        <v>46021040</v>
      </c>
      <c r="G44" s="24">
        <f t="shared" si="1"/>
        <v>0</v>
      </c>
      <c r="H44" s="24" t="str">
        <f t="shared" si="2"/>
        <v/>
      </c>
      <c r="I44" s="24" t="str">
        <f t="shared" si="3"/>
        <v>HH-078|registration</v>
      </c>
    </row>
    <row r="45" spans="1:9" x14ac:dyDescent="0.3">
      <c r="A45" s="11">
        <v>41</v>
      </c>
      <c r="B45" s="24" t="str">
        <f>IFERROR(INDEX(Kobo_Import!$A$2:$CZ$301,$A45,Field_Map!$B$13)&amp;"","")</f>
        <v>HH-059</v>
      </c>
      <c r="C45" s="24" t="str">
        <f>IFERROR(INDEX(Kobo_Import!$A$2:$CZ$301,$A45,Field_Map!$B$12)&amp;"","")</f>
        <v>yes</v>
      </c>
      <c r="D45" s="28">
        <f>IF(B45="","",IFERROR(IF(ISNUMBER(INDEX(Kobo_Import!$A$2:$CZ$301,$A45,Field_Map!$B$7)),INDEX(Kobo_Import!$A$2:$CZ$301,$A45,Field_Map!$B$7),DATEVALUE(INDEX(Kobo_Import!$A$2:$CZ$301,$A45,Field_Map!$B$7)&amp;"")),""))</f>
        <v>46022</v>
      </c>
      <c r="E45" s="24" t="str">
        <f>IFERROR(INDEX(Kobo_Import!$A$2:$CZ$301,$A45,Field_Map!$B$11)&amp;"","")</f>
        <v>registration</v>
      </c>
      <c r="F45" s="27">
        <f t="shared" si="0"/>
        <v>46022041</v>
      </c>
      <c r="G45" s="24">
        <f t="shared" si="1"/>
        <v>0</v>
      </c>
      <c r="H45" s="24" t="str">
        <f t="shared" si="2"/>
        <v/>
      </c>
      <c r="I45" s="24" t="str">
        <f t="shared" si="3"/>
        <v>HH-059|registration</v>
      </c>
    </row>
    <row r="46" spans="1:9" x14ac:dyDescent="0.3">
      <c r="A46" s="11">
        <v>42</v>
      </c>
      <c r="B46" s="24" t="str">
        <f>IFERROR(INDEX(Kobo_Import!$A$2:$CZ$301,$A46,Field_Map!$B$13)&amp;"","")</f>
        <v>HH-001</v>
      </c>
      <c r="C46" s="24" t="str">
        <f>IFERROR(INDEX(Kobo_Import!$A$2:$CZ$301,$A46,Field_Map!$B$12)&amp;"","")</f>
        <v>yes</v>
      </c>
      <c r="D46" s="28">
        <f>IF(B46="","",IFERROR(IF(ISNUMBER(INDEX(Kobo_Import!$A$2:$CZ$301,$A46,Field_Map!$B$7)),INDEX(Kobo_Import!$A$2:$CZ$301,$A46,Field_Map!$B$7),DATEVALUE(INDEX(Kobo_Import!$A$2:$CZ$301,$A46,Field_Map!$B$7)&amp;"")),""))</f>
        <v>46022</v>
      </c>
      <c r="E46" s="24" t="str">
        <f>IFERROR(INDEX(Kobo_Import!$A$2:$CZ$301,$A46,Field_Map!$B$11)&amp;"","")</f>
        <v>registration</v>
      </c>
      <c r="F46" s="27">
        <f t="shared" si="0"/>
        <v>46022042</v>
      </c>
      <c r="G46" s="24">
        <f t="shared" si="1"/>
        <v>1</v>
      </c>
      <c r="H46" s="24">
        <f t="shared" si="2"/>
        <v>1</v>
      </c>
      <c r="I46" s="24" t="str">
        <f t="shared" si="3"/>
        <v>HH-001|registration</v>
      </c>
    </row>
    <row r="47" spans="1:9" x14ac:dyDescent="0.3">
      <c r="A47" s="11">
        <v>43</v>
      </c>
      <c r="B47" s="24" t="str">
        <f>IFERROR(INDEX(Kobo_Import!$A$2:$CZ$301,$A47,Field_Map!$B$13)&amp;"","")</f>
        <v>HH-100</v>
      </c>
      <c r="C47" s="24" t="str">
        <f>IFERROR(INDEX(Kobo_Import!$A$2:$CZ$301,$A47,Field_Map!$B$12)&amp;"","")</f>
        <v>yes</v>
      </c>
      <c r="D47" s="28">
        <f>IF(B47="","",IFERROR(IF(ISNUMBER(INDEX(Kobo_Import!$A$2:$CZ$301,$A47,Field_Map!$B$7)),INDEX(Kobo_Import!$A$2:$CZ$301,$A47,Field_Map!$B$7),DATEVALUE(INDEX(Kobo_Import!$A$2:$CZ$301,$A47,Field_Map!$B$7)&amp;"")),""))</f>
        <v>46022</v>
      </c>
      <c r="E47" s="24" t="str">
        <f>IFERROR(INDEX(Kobo_Import!$A$2:$CZ$301,$A47,Field_Map!$B$11)&amp;"","")</f>
        <v>registration</v>
      </c>
      <c r="F47" s="27">
        <f t="shared" si="0"/>
        <v>46022043</v>
      </c>
      <c r="G47" s="24">
        <f t="shared" si="1"/>
        <v>0</v>
      </c>
      <c r="H47" s="24" t="str">
        <f t="shared" si="2"/>
        <v/>
      </c>
      <c r="I47" s="24" t="str">
        <f t="shared" si="3"/>
        <v>HH-100|registration</v>
      </c>
    </row>
    <row r="48" spans="1:9" x14ac:dyDescent="0.3">
      <c r="A48" s="11">
        <v>44</v>
      </c>
      <c r="B48" s="24" t="str">
        <f>IFERROR(INDEX(Kobo_Import!$A$2:$CZ$301,$A48,Field_Map!$B$13)&amp;"","")</f>
        <v>HH-101</v>
      </c>
      <c r="C48" s="24" t="str">
        <f>IFERROR(INDEX(Kobo_Import!$A$2:$CZ$301,$A48,Field_Map!$B$12)&amp;"","")</f>
        <v>yes</v>
      </c>
      <c r="D48" s="28">
        <f>IF(B48="","",IFERROR(IF(ISNUMBER(INDEX(Kobo_Import!$A$2:$CZ$301,$A48,Field_Map!$B$7)),INDEX(Kobo_Import!$A$2:$CZ$301,$A48,Field_Map!$B$7),DATEVALUE(INDEX(Kobo_Import!$A$2:$CZ$301,$A48,Field_Map!$B$7)&amp;"")),""))</f>
        <v>46024</v>
      </c>
      <c r="E48" s="24" t="str">
        <f>IFERROR(INDEX(Kobo_Import!$A$2:$CZ$301,$A48,Field_Map!$B$11)&amp;"","")</f>
        <v>registration</v>
      </c>
      <c r="F48" s="27">
        <f t="shared" si="0"/>
        <v>46024044</v>
      </c>
      <c r="G48" s="24">
        <f t="shared" si="1"/>
        <v>1</v>
      </c>
      <c r="H48" s="24">
        <f t="shared" si="2"/>
        <v>101</v>
      </c>
      <c r="I48" s="24" t="str">
        <f t="shared" si="3"/>
        <v>HH-101|registration</v>
      </c>
    </row>
    <row r="49" spans="1:9" x14ac:dyDescent="0.3">
      <c r="A49" s="11">
        <v>45</v>
      </c>
      <c r="B49" s="24" t="str">
        <f>IFERROR(INDEX(Kobo_Import!$A$2:$CZ$301,$A49,Field_Map!$B$13)&amp;"","")</f>
        <v>HH-077</v>
      </c>
      <c r="C49" s="24" t="str">
        <f>IFERROR(INDEX(Kobo_Import!$A$2:$CZ$301,$A49,Field_Map!$B$12)&amp;"","")</f>
        <v>yes</v>
      </c>
      <c r="D49" s="28">
        <f>IF(B49="","",IFERROR(IF(ISNUMBER(INDEX(Kobo_Import!$A$2:$CZ$301,$A49,Field_Map!$B$7)),INDEX(Kobo_Import!$A$2:$CZ$301,$A49,Field_Map!$B$7),DATEVALUE(INDEX(Kobo_Import!$A$2:$CZ$301,$A49,Field_Map!$B$7)&amp;"")),""))</f>
        <v>46024</v>
      </c>
      <c r="E49" s="24" t="str">
        <f>IFERROR(INDEX(Kobo_Import!$A$2:$CZ$301,$A49,Field_Map!$B$11)&amp;"","")</f>
        <v>registration</v>
      </c>
      <c r="F49" s="27">
        <f t="shared" si="0"/>
        <v>46024045</v>
      </c>
      <c r="G49" s="24">
        <f t="shared" si="1"/>
        <v>1</v>
      </c>
      <c r="H49" s="24">
        <f t="shared" si="2"/>
        <v>77</v>
      </c>
      <c r="I49" s="24" t="str">
        <f t="shared" si="3"/>
        <v>HH-077|registration</v>
      </c>
    </row>
    <row r="50" spans="1:9" x14ac:dyDescent="0.3">
      <c r="A50" s="11">
        <v>46</v>
      </c>
      <c r="B50" s="24" t="str">
        <f>IFERROR(INDEX(Kobo_Import!$A$2:$CZ$301,$A50,Field_Map!$B$13)&amp;"","")</f>
        <v>HH-076</v>
      </c>
      <c r="C50" s="24" t="str">
        <f>IFERROR(INDEX(Kobo_Import!$A$2:$CZ$301,$A50,Field_Map!$B$12)&amp;"","")</f>
        <v>yes</v>
      </c>
      <c r="D50" s="28">
        <f>IF(B50="","",IFERROR(IF(ISNUMBER(INDEX(Kobo_Import!$A$2:$CZ$301,$A50,Field_Map!$B$7)),INDEX(Kobo_Import!$A$2:$CZ$301,$A50,Field_Map!$B$7),DATEVALUE(INDEX(Kobo_Import!$A$2:$CZ$301,$A50,Field_Map!$B$7)&amp;"")),""))</f>
        <v>46025</v>
      </c>
      <c r="E50" s="24" t="str">
        <f>IFERROR(INDEX(Kobo_Import!$A$2:$CZ$301,$A50,Field_Map!$B$11)&amp;"","")</f>
        <v>registration</v>
      </c>
      <c r="F50" s="27">
        <f t="shared" si="0"/>
        <v>46025046</v>
      </c>
      <c r="G50" s="24">
        <f t="shared" si="1"/>
        <v>1</v>
      </c>
      <c r="H50" s="24">
        <f t="shared" si="2"/>
        <v>76</v>
      </c>
      <c r="I50" s="24" t="str">
        <f t="shared" si="3"/>
        <v>HH-076|registration</v>
      </c>
    </row>
    <row r="51" spans="1:9" x14ac:dyDescent="0.3">
      <c r="A51" s="11">
        <v>47</v>
      </c>
      <c r="B51" s="24" t="str">
        <f>IFERROR(INDEX(Kobo_Import!$A$2:$CZ$301,$A51,Field_Map!$B$13)&amp;"","")</f>
        <v>HH-045</v>
      </c>
      <c r="C51" s="24" t="str">
        <f>IFERROR(INDEX(Kobo_Import!$A$2:$CZ$301,$A51,Field_Map!$B$12)&amp;"","")</f>
        <v>yes</v>
      </c>
      <c r="D51" s="28">
        <f>IF(B51="","",IFERROR(IF(ISNUMBER(INDEX(Kobo_Import!$A$2:$CZ$301,$A51,Field_Map!$B$7)),INDEX(Kobo_Import!$A$2:$CZ$301,$A51,Field_Map!$B$7),DATEVALUE(INDEX(Kobo_Import!$A$2:$CZ$301,$A51,Field_Map!$B$7)&amp;"")),""))</f>
        <v>46025</v>
      </c>
      <c r="E51" s="24" t="str">
        <f>IFERROR(INDEX(Kobo_Import!$A$2:$CZ$301,$A51,Field_Map!$B$11)&amp;"","")</f>
        <v>registration</v>
      </c>
      <c r="F51" s="27">
        <f t="shared" si="0"/>
        <v>46025047</v>
      </c>
      <c r="G51" s="24">
        <f t="shared" si="1"/>
        <v>1</v>
      </c>
      <c r="H51" s="24">
        <f t="shared" si="2"/>
        <v>45</v>
      </c>
      <c r="I51" s="24" t="str">
        <f t="shared" si="3"/>
        <v>HH-045|registration</v>
      </c>
    </row>
    <row r="52" spans="1:9" x14ac:dyDescent="0.3">
      <c r="A52" s="11">
        <v>48</v>
      </c>
      <c r="B52" s="24" t="str">
        <f>IFERROR(INDEX(Kobo_Import!$A$2:$CZ$301,$A52,Field_Map!$B$13)&amp;"","")</f>
        <v>HH-014</v>
      </c>
      <c r="C52" s="24" t="str">
        <f>IFERROR(INDEX(Kobo_Import!$A$2:$CZ$301,$A52,Field_Map!$B$12)&amp;"","")</f>
        <v>yes</v>
      </c>
      <c r="D52" s="28">
        <f>IF(B52="","",IFERROR(IF(ISNUMBER(INDEX(Kobo_Import!$A$2:$CZ$301,$A52,Field_Map!$B$7)),INDEX(Kobo_Import!$A$2:$CZ$301,$A52,Field_Map!$B$7),DATEVALUE(INDEX(Kobo_Import!$A$2:$CZ$301,$A52,Field_Map!$B$7)&amp;"")),""))</f>
        <v>46026</v>
      </c>
      <c r="E52" s="24" t="str">
        <f>IFERROR(INDEX(Kobo_Import!$A$2:$CZ$301,$A52,Field_Map!$B$11)&amp;"","")</f>
        <v>registration</v>
      </c>
      <c r="F52" s="27">
        <f t="shared" si="0"/>
        <v>46026048</v>
      </c>
      <c r="G52" s="24">
        <f t="shared" si="1"/>
        <v>1</v>
      </c>
      <c r="H52" s="24">
        <f t="shared" si="2"/>
        <v>14</v>
      </c>
      <c r="I52" s="24" t="str">
        <f t="shared" si="3"/>
        <v>HH-014|registration</v>
      </c>
    </row>
    <row r="53" spans="1:9" x14ac:dyDescent="0.3">
      <c r="A53" s="11">
        <v>49</v>
      </c>
      <c r="B53" s="24" t="str">
        <f>IFERROR(INDEX(Kobo_Import!$A$2:$CZ$301,$A53,Field_Map!$B$13)&amp;"","")</f>
        <v>HH-096</v>
      </c>
      <c r="C53" s="24" t="str">
        <f>IFERROR(INDEX(Kobo_Import!$A$2:$CZ$301,$A53,Field_Map!$B$12)&amp;"","")</f>
        <v>yes</v>
      </c>
      <c r="D53" s="28">
        <f>IF(B53="","",IFERROR(IF(ISNUMBER(INDEX(Kobo_Import!$A$2:$CZ$301,$A53,Field_Map!$B$7)),INDEX(Kobo_Import!$A$2:$CZ$301,$A53,Field_Map!$B$7),DATEVALUE(INDEX(Kobo_Import!$A$2:$CZ$301,$A53,Field_Map!$B$7)&amp;"")),""))</f>
        <v>46026</v>
      </c>
      <c r="E53" s="24" t="str">
        <f>IFERROR(INDEX(Kobo_Import!$A$2:$CZ$301,$A53,Field_Map!$B$11)&amp;"","")</f>
        <v>registration</v>
      </c>
      <c r="F53" s="27">
        <f t="shared" si="0"/>
        <v>46026049</v>
      </c>
      <c r="G53" s="24">
        <f t="shared" si="1"/>
        <v>1</v>
      </c>
      <c r="H53" s="24">
        <f t="shared" si="2"/>
        <v>96</v>
      </c>
      <c r="I53" s="24" t="str">
        <f t="shared" si="3"/>
        <v>HH-096|registration</v>
      </c>
    </row>
    <row r="54" spans="1:9" x14ac:dyDescent="0.3">
      <c r="A54" s="11">
        <v>50</v>
      </c>
      <c r="B54" s="24" t="str">
        <f>IFERROR(INDEX(Kobo_Import!$A$2:$CZ$301,$A54,Field_Map!$B$13)&amp;"","")</f>
        <v>HH-107</v>
      </c>
      <c r="C54" s="24" t="str">
        <f>IFERROR(INDEX(Kobo_Import!$A$2:$CZ$301,$A54,Field_Map!$B$12)&amp;"","")</f>
        <v>yes</v>
      </c>
      <c r="D54" s="28">
        <f>IF(B54="","",IFERROR(IF(ISNUMBER(INDEX(Kobo_Import!$A$2:$CZ$301,$A54,Field_Map!$B$7)),INDEX(Kobo_Import!$A$2:$CZ$301,$A54,Field_Map!$B$7),DATEVALUE(INDEX(Kobo_Import!$A$2:$CZ$301,$A54,Field_Map!$B$7)&amp;"")),""))</f>
        <v>46027</v>
      </c>
      <c r="E54" s="24" t="str">
        <f>IFERROR(INDEX(Kobo_Import!$A$2:$CZ$301,$A54,Field_Map!$B$11)&amp;"","")</f>
        <v>registration</v>
      </c>
      <c r="F54" s="27">
        <f t="shared" si="0"/>
        <v>46027050</v>
      </c>
      <c r="G54" s="24">
        <f t="shared" si="1"/>
        <v>1</v>
      </c>
      <c r="H54" s="24">
        <f t="shared" si="2"/>
        <v>107</v>
      </c>
      <c r="I54" s="24" t="str">
        <f t="shared" si="3"/>
        <v>HH-107|registration</v>
      </c>
    </row>
    <row r="55" spans="1:9" x14ac:dyDescent="0.3">
      <c r="A55" s="11">
        <v>51</v>
      </c>
      <c r="B55" s="24" t="str">
        <f>IFERROR(INDEX(Kobo_Import!$A$2:$CZ$301,$A55,Field_Map!$B$13)&amp;"","")</f>
        <v>HH-062</v>
      </c>
      <c r="C55" s="24" t="str">
        <f>IFERROR(INDEX(Kobo_Import!$A$2:$CZ$301,$A55,Field_Map!$B$12)&amp;"","")</f>
        <v>yes</v>
      </c>
      <c r="D55" s="28">
        <f>IF(B55="","",IFERROR(IF(ISNUMBER(INDEX(Kobo_Import!$A$2:$CZ$301,$A55,Field_Map!$B$7)),INDEX(Kobo_Import!$A$2:$CZ$301,$A55,Field_Map!$B$7),DATEVALUE(INDEX(Kobo_Import!$A$2:$CZ$301,$A55,Field_Map!$B$7)&amp;"")),""))</f>
        <v>46027</v>
      </c>
      <c r="E55" s="24" t="str">
        <f>IFERROR(INDEX(Kobo_Import!$A$2:$CZ$301,$A55,Field_Map!$B$11)&amp;"","")</f>
        <v>registration</v>
      </c>
      <c r="F55" s="27">
        <f t="shared" si="0"/>
        <v>46027051</v>
      </c>
      <c r="G55" s="24">
        <f t="shared" si="1"/>
        <v>1</v>
      </c>
      <c r="H55" s="24">
        <f t="shared" si="2"/>
        <v>62</v>
      </c>
      <c r="I55" s="24" t="str">
        <f t="shared" si="3"/>
        <v>HH-062|registration</v>
      </c>
    </row>
    <row r="56" spans="1:9" x14ac:dyDescent="0.3">
      <c r="A56" s="11">
        <v>52</v>
      </c>
      <c r="B56" s="24" t="str">
        <f>IFERROR(INDEX(Kobo_Import!$A$2:$CZ$301,$A56,Field_Map!$B$13)&amp;"","")</f>
        <v>HH-018</v>
      </c>
      <c r="C56" s="24" t="str">
        <f>IFERROR(INDEX(Kobo_Import!$A$2:$CZ$301,$A56,Field_Map!$B$12)&amp;"","")</f>
        <v>yes</v>
      </c>
      <c r="D56" s="28">
        <f>IF(B56="","",IFERROR(IF(ISNUMBER(INDEX(Kobo_Import!$A$2:$CZ$301,$A56,Field_Map!$B$7)),INDEX(Kobo_Import!$A$2:$CZ$301,$A56,Field_Map!$B$7),DATEVALUE(INDEX(Kobo_Import!$A$2:$CZ$301,$A56,Field_Map!$B$7)&amp;"")),""))</f>
        <v>46027</v>
      </c>
      <c r="E56" s="24" t="str">
        <f>IFERROR(INDEX(Kobo_Import!$A$2:$CZ$301,$A56,Field_Map!$B$11)&amp;"","")</f>
        <v>registration</v>
      </c>
      <c r="F56" s="27">
        <f t="shared" si="0"/>
        <v>46027052</v>
      </c>
      <c r="G56" s="24">
        <f t="shared" si="1"/>
        <v>1</v>
      </c>
      <c r="H56" s="24">
        <f t="shared" si="2"/>
        <v>18</v>
      </c>
      <c r="I56" s="24" t="str">
        <f t="shared" si="3"/>
        <v>HH-018|registration</v>
      </c>
    </row>
    <row r="57" spans="1:9" x14ac:dyDescent="0.3">
      <c r="A57" s="11">
        <v>53</v>
      </c>
      <c r="B57" s="24" t="str">
        <f>IFERROR(INDEX(Kobo_Import!$A$2:$CZ$301,$A57,Field_Map!$B$13)&amp;"","")</f>
        <v>HH-027</v>
      </c>
      <c r="C57" s="24" t="str">
        <f>IFERROR(INDEX(Kobo_Import!$A$2:$CZ$301,$A57,Field_Map!$B$12)&amp;"","")</f>
        <v>yes</v>
      </c>
      <c r="D57" s="28">
        <f>IF(B57="","",IFERROR(IF(ISNUMBER(INDEX(Kobo_Import!$A$2:$CZ$301,$A57,Field_Map!$B$7)),INDEX(Kobo_Import!$A$2:$CZ$301,$A57,Field_Map!$B$7),DATEVALUE(INDEX(Kobo_Import!$A$2:$CZ$301,$A57,Field_Map!$B$7)&amp;"")),""))</f>
        <v>46027</v>
      </c>
      <c r="E57" s="24" t="str">
        <f>IFERROR(INDEX(Kobo_Import!$A$2:$CZ$301,$A57,Field_Map!$B$11)&amp;"","")</f>
        <v>registration</v>
      </c>
      <c r="F57" s="27">
        <f t="shared" si="0"/>
        <v>46027053</v>
      </c>
      <c r="G57" s="24">
        <f t="shared" si="1"/>
        <v>1</v>
      </c>
      <c r="H57" s="24">
        <f t="shared" si="2"/>
        <v>27</v>
      </c>
      <c r="I57" s="24" t="str">
        <f t="shared" si="3"/>
        <v>HH-027|registration</v>
      </c>
    </row>
    <row r="58" spans="1:9" x14ac:dyDescent="0.3">
      <c r="A58" s="11">
        <v>54</v>
      </c>
      <c r="B58" s="24" t="str">
        <f>IFERROR(INDEX(Kobo_Import!$A$2:$CZ$301,$A58,Field_Map!$B$13)&amp;"","")</f>
        <v>HH-055</v>
      </c>
      <c r="C58" s="24" t="str">
        <f>IFERROR(INDEX(Kobo_Import!$A$2:$CZ$301,$A58,Field_Map!$B$12)&amp;"","")</f>
        <v>yes</v>
      </c>
      <c r="D58" s="28">
        <f>IF(B58="","",IFERROR(IF(ISNUMBER(INDEX(Kobo_Import!$A$2:$CZ$301,$A58,Field_Map!$B$7)),INDEX(Kobo_Import!$A$2:$CZ$301,$A58,Field_Map!$B$7),DATEVALUE(INDEX(Kobo_Import!$A$2:$CZ$301,$A58,Field_Map!$B$7)&amp;"")),""))</f>
        <v>46028</v>
      </c>
      <c r="E58" s="24" t="str">
        <f>IFERROR(INDEX(Kobo_Import!$A$2:$CZ$301,$A58,Field_Map!$B$11)&amp;"","")</f>
        <v>registration</v>
      </c>
      <c r="F58" s="27">
        <f t="shared" si="0"/>
        <v>46028054</v>
      </c>
      <c r="G58" s="24">
        <f t="shared" si="1"/>
        <v>1</v>
      </c>
      <c r="H58" s="24">
        <f t="shared" si="2"/>
        <v>55</v>
      </c>
      <c r="I58" s="24" t="str">
        <f t="shared" si="3"/>
        <v>HH-055|registration</v>
      </c>
    </row>
    <row r="59" spans="1:9" x14ac:dyDescent="0.3">
      <c r="A59" s="11">
        <v>55</v>
      </c>
      <c r="B59" s="24" t="str">
        <f>IFERROR(INDEX(Kobo_Import!$A$2:$CZ$301,$A59,Field_Map!$B$13)&amp;"","")</f>
        <v>HH-105</v>
      </c>
      <c r="C59" s="24" t="str">
        <f>IFERROR(INDEX(Kobo_Import!$A$2:$CZ$301,$A59,Field_Map!$B$12)&amp;"","")</f>
        <v>yes</v>
      </c>
      <c r="D59" s="28">
        <f>IF(B59="","",IFERROR(IF(ISNUMBER(INDEX(Kobo_Import!$A$2:$CZ$301,$A59,Field_Map!$B$7)),INDEX(Kobo_Import!$A$2:$CZ$301,$A59,Field_Map!$B$7),DATEVALUE(INDEX(Kobo_Import!$A$2:$CZ$301,$A59,Field_Map!$B$7)&amp;"")),""))</f>
        <v>46028</v>
      </c>
      <c r="E59" s="24" t="str">
        <f>IFERROR(INDEX(Kobo_Import!$A$2:$CZ$301,$A59,Field_Map!$B$11)&amp;"","")</f>
        <v>registration</v>
      </c>
      <c r="F59" s="27">
        <f t="shared" si="0"/>
        <v>46028055</v>
      </c>
      <c r="G59" s="24">
        <f t="shared" si="1"/>
        <v>1</v>
      </c>
      <c r="H59" s="24">
        <f t="shared" si="2"/>
        <v>105</v>
      </c>
      <c r="I59" s="24" t="str">
        <f t="shared" si="3"/>
        <v>HH-105|registration</v>
      </c>
    </row>
    <row r="60" spans="1:9" x14ac:dyDescent="0.3">
      <c r="A60" s="11">
        <v>56</v>
      </c>
      <c r="B60" s="24" t="str">
        <f>IFERROR(INDEX(Kobo_Import!$A$2:$CZ$301,$A60,Field_Map!$B$13)&amp;"","")</f>
        <v>HH-102</v>
      </c>
      <c r="C60" s="24" t="str">
        <f>IFERROR(INDEX(Kobo_Import!$A$2:$CZ$301,$A60,Field_Map!$B$12)&amp;"","")</f>
        <v>yes</v>
      </c>
      <c r="D60" s="28">
        <f>IF(B60="","",IFERROR(IF(ISNUMBER(INDEX(Kobo_Import!$A$2:$CZ$301,$A60,Field_Map!$B$7)),INDEX(Kobo_Import!$A$2:$CZ$301,$A60,Field_Map!$B$7),DATEVALUE(INDEX(Kobo_Import!$A$2:$CZ$301,$A60,Field_Map!$B$7)&amp;"")),""))</f>
        <v>46029</v>
      </c>
      <c r="E60" s="24" t="str">
        <f>IFERROR(INDEX(Kobo_Import!$A$2:$CZ$301,$A60,Field_Map!$B$11)&amp;"","")</f>
        <v>registration</v>
      </c>
      <c r="F60" s="27">
        <f t="shared" si="0"/>
        <v>46029056</v>
      </c>
      <c r="G60" s="24">
        <f t="shared" si="1"/>
        <v>1</v>
      </c>
      <c r="H60" s="24">
        <f t="shared" si="2"/>
        <v>102</v>
      </c>
      <c r="I60" s="24" t="str">
        <f t="shared" si="3"/>
        <v>HH-102|registration</v>
      </c>
    </row>
    <row r="61" spans="1:9" x14ac:dyDescent="0.3">
      <c r="A61" s="11">
        <v>57</v>
      </c>
      <c r="B61" s="24" t="str">
        <f>IFERROR(INDEX(Kobo_Import!$A$2:$CZ$301,$A61,Field_Map!$B$13)&amp;"","")</f>
        <v>HH-086</v>
      </c>
      <c r="C61" s="24" t="str">
        <f>IFERROR(INDEX(Kobo_Import!$A$2:$CZ$301,$A61,Field_Map!$B$12)&amp;"","")</f>
        <v>yes</v>
      </c>
      <c r="D61" s="28">
        <f>IF(B61="","",IFERROR(IF(ISNUMBER(INDEX(Kobo_Import!$A$2:$CZ$301,$A61,Field_Map!$B$7)),INDEX(Kobo_Import!$A$2:$CZ$301,$A61,Field_Map!$B$7),DATEVALUE(INDEX(Kobo_Import!$A$2:$CZ$301,$A61,Field_Map!$B$7)&amp;"")),""))</f>
        <v>46030</v>
      </c>
      <c r="E61" s="24" t="str">
        <f>IFERROR(INDEX(Kobo_Import!$A$2:$CZ$301,$A61,Field_Map!$B$11)&amp;"","")</f>
        <v>registration</v>
      </c>
      <c r="F61" s="27">
        <f t="shared" si="0"/>
        <v>46030057</v>
      </c>
      <c r="G61" s="24">
        <f t="shared" si="1"/>
        <v>1</v>
      </c>
      <c r="H61" s="24">
        <f t="shared" si="2"/>
        <v>86</v>
      </c>
      <c r="I61" s="24" t="str">
        <f t="shared" si="3"/>
        <v>HH-086|registration</v>
      </c>
    </row>
    <row r="62" spans="1:9" x14ac:dyDescent="0.3">
      <c r="A62" s="11">
        <v>58</v>
      </c>
      <c r="B62" s="24" t="str">
        <f>IFERROR(INDEX(Kobo_Import!$A$2:$CZ$301,$A62,Field_Map!$B$13)&amp;"","")</f>
        <v>HH-003</v>
      </c>
      <c r="C62" s="24" t="str">
        <f>IFERROR(INDEX(Kobo_Import!$A$2:$CZ$301,$A62,Field_Map!$B$12)&amp;"","")</f>
        <v>yes</v>
      </c>
      <c r="D62" s="28">
        <f>IF(B62="","",IFERROR(IF(ISNUMBER(INDEX(Kobo_Import!$A$2:$CZ$301,$A62,Field_Map!$B$7)),INDEX(Kobo_Import!$A$2:$CZ$301,$A62,Field_Map!$B$7),DATEVALUE(INDEX(Kobo_Import!$A$2:$CZ$301,$A62,Field_Map!$B$7)&amp;"")),""))</f>
        <v>46030</v>
      </c>
      <c r="E62" s="24" t="str">
        <f>IFERROR(INDEX(Kobo_Import!$A$2:$CZ$301,$A62,Field_Map!$B$11)&amp;"","")</f>
        <v>registration</v>
      </c>
      <c r="F62" s="27">
        <f t="shared" si="0"/>
        <v>46030058</v>
      </c>
      <c r="G62" s="24">
        <f t="shared" si="1"/>
        <v>1</v>
      </c>
      <c r="H62" s="24">
        <f t="shared" si="2"/>
        <v>3</v>
      </c>
      <c r="I62" s="24" t="str">
        <f t="shared" si="3"/>
        <v>HH-003|registration</v>
      </c>
    </row>
    <row r="63" spans="1:9" x14ac:dyDescent="0.3">
      <c r="A63" s="11">
        <v>59</v>
      </c>
      <c r="B63" s="24" t="str">
        <f>IFERROR(INDEX(Kobo_Import!$A$2:$CZ$301,$A63,Field_Map!$B$13)&amp;"","")</f>
        <v>HH-039</v>
      </c>
      <c r="C63" s="24" t="str">
        <f>IFERROR(INDEX(Kobo_Import!$A$2:$CZ$301,$A63,Field_Map!$B$12)&amp;"","")</f>
        <v>yes</v>
      </c>
      <c r="D63" s="28">
        <f>IF(B63="","",IFERROR(IF(ISNUMBER(INDEX(Kobo_Import!$A$2:$CZ$301,$A63,Field_Map!$B$7)),INDEX(Kobo_Import!$A$2:$CZ$301,$A63,Field_Map!$B$7),DATEVALUE(INDEX(Kobo_Import!$A$2:$CZ$301,$A63,Field_Map!$B$7)&amp;"")),""))</f>
        <v>46031</v>
      </c>
      <c r="E63" s="24" t="str">
        <f>IFERROR(INDEX(Kobo_Import!$A$2:$CZ$301,$A63,Field_Map!$B$11)&amp;"","")</f>
        <v>registration</v>
      </c>
      <c r="F63" s="27">
        <f t="shared" si="0"/>
        <v>46031059</v>
      </c>
      <c r="G63" s="24">
        <f t="shared" si="1"/>
        <v>1</v>
      </c>
      <c r="H63" s="24">
        <f t="shared" si="2"/>
        <v>39</v>
      </c>
      <c r="I63" s="24" t="str">
        <f t="shared" si="3"/>
        <v>HH-039|registration</v>
      </c>
    </row>
    <row r="64" spans="1:9" x14ac:dyDescent="0.3">
      <c r="A64" s="11">
        <v>60</v>
      </c>
      <c r="B64" s="24" t="str">
        <f>IFERROR(INDEX(Kobo_Import!$A$2:$CZ$301,$A64,Field_Map!$B$13)&amp;"","")</f>
        <v>HH-042</v>
      </c>
      <c r="C64" s="24" t="str">
        <f>IFERROR(INDEX(Kobo_Import!$A$2:$CZ$301,$A64,Field_Map!$B$12)&amp;"","")</f>
        <v>yes</v>
      </c>
      <c r="D64" s="28">
        <f>IF(B64="","",IFERROR(IF(ISNUMBER(INDEX(Kobo_Import!$A$2:$CZ$301,$A64,Field_Map!$B$7)),INDEX(Kobo_Import!$A$2:$CZ$301,$A64,Field_Map!$B$7),DATEVALUE(INDEX(Kobo_Import!$A$2:$CZ$301,$A64,Field_Map!$B$7)&amp;"")),""))</f>
        <v>46031</v>
      </c>
      <c r="E64" s="24" t="str">
        <f>IFERROR(INDEX(Kobo_Import!$A$2:$CZ$301,$A64,Field_Map!$B$11)&amp;"","")</f>
        <v>registration</v>
      </c>
      <c r="F64" s="27">
        <f t="shared" si="0"/>
        <v>46031060</v>
      </c>
      <c r="G64" s="24">
        <f t="shared" si="1"/>
        <v>1</v>
      </c>
      <c r="H64" s="24">
        <f t="shared" si="2"/>
        <v>42</v>
      </c>
      <c r="I64" s="24" t="str">
        <f t="shared" si="3"/>
        <v>HH-042|registration</v>
      </c>
    </row>
    <row r="65" spans="1:9" x14ac:dyDescent="0.3">
      <c r="A65" s="11">
        <v>61</v>
      </c>
      <c r="B65" s="24" t="str">
        <f>IFERROR(INDEX(Kobo_Import!$A$2:$CZ$301,$A65,Field_Map!$B$13)&amp;"","")</f>
        <v>HH-088</v>
      </c>
      <c r="C65" s="24" t="str">
        <f>IFERROR(INDEX(Kobo_Import!$A$2:$CZ$301,$A65,Field_Map!$B$12)&amp;"","")</f>
        <v>yes</v>
      </c>
      <c r="D65" s="28">
        <f>IF(B65="","",IFERROR(IF(ISNUMBER(INDEX(Kobo_Import!$A$2:$CZ$301,$A65,Field_Map!$B$7)),INDEX(Kobo_Import!$A$2:$CZ$301,$A65,Field_Map!$B$7),DATEVALUE(INDEX(Kobo_Import!$A$2:$CZ$301,$A65,Field_Map!$B$7)&amp;"")),""))</f>
        <v>46031</v>
      </c>
      <c r="E65" s="24" t="str">
        <f>IFERROR(INDEX(Kobo_Import!$A$2:$CZ$301,$A65,Field_Map!$B$11)&amp;"","")</f>
        <v>registration</v>
      </c>
      <c r="F65" s="27">
        <f t="shared" si="0"/>
        <v>46031061</v>
      </c>
      <c r="G65" s="24">
        <f t="shared" si="1"/>
        <v>1</v>
      </c>
      <c r="H65" s="24">
        <f t="shared" si="2"/>
        <v>88</v>
      </c>
      <c r="I65" s="24" t="str">
        <f t="shared" si="3"/>
        <v>HH-088|registration</v>
      </c>
    </row>
    <row r="66" spans="1:9" x14ac:dyDescent="0.3">
      <c r="A66" s="11">
        <v>62</v>
      </c>
      <c r="B66" s="24" t="str">
        <f>IFERROR(INDEX(Kobo_Import!$A$2:$CZ$301,$A66,Field_Map!$B$13)&amp;"","")</f>
        <v/>
      </c>
      <c r="C66" s="24" t="str">
        <f>IFERROR(INDEX(Kobo_Import!$A$2:$CZ$301,$A66,Field_Map!$B$12)&amp;"","")</f>
        <v>no</v>
      </c>
      <c r="D66" s="28" t="str">
        <f>IF(B66="","",IFERROR(IF(ISNUMBER(INDEX(Kobo_Import!$A$2:$CZ$301,$A66,Field_Map!$B$7)),INDEX(Kobo_Import!$A$2:$CZ$301,$A66,Field_Map!$B$7),DATEVALUE(INDEX(Kobo_Import!$A$2:$CZ$301,$A66,Field_Map!$B$7)&amp;"")),""))</f>
        <v/>
      </c>
      <c r="E66" s="24" t="str">
        <f>IFERROR(INDEX(Kobo_Import!$A$2:$CZ$301,$A66,Field_Map!$B$11)&amp;"","")</f>
        <v>registration</v>
      </c>
      <c r="F66" s="27">
        <f t="shared" si="0"/>
        <v>0</v>
      </c>
      <c r="G66" s="24" t="str">
        <f t="shared" si="1"/>
        <v/>
      </c>
      <c r="H66" s="24" t="str">
        <f t="shared" si="2"/>
        <v/>
      </c>
      <c r="I66" s="24" t="str">
        <f t="shared" si="3"/>
        <v/>
      </c>
    </row>
    <row r="67" spans="1:9" x14ac:dyDescent="0.3">
      <c r="A67" s="11">
        <v>63</v>
      </c>
      <c r="B67" s="24" t="str">
        <f>IFERROR(INDEX(Kobo_Import!$A$2:$CZ$301,$A67,Field_Map!$B$13)&amp;"","")</f>
        <v>HH-030</v>
      </c>
      <c r="C67" s="24" t="str">
        <f>IFERROR(INDEX(Kobo_Import!$A$2:$CZ$301,$A67,Field_Map!$B$12)&amp;"","")</f>
        <v>yes</v>
      </c>
      <c r="D67" s="28">
        <f>IF(B67="","",IFERROR(IF(ISNUMBER(INDEX(Kobo_Import!$A$2:$CZ$301,$A67,Field_Map!$B$7)),INDEX(Kobo_Import!$A$2:$CZ$301,$A67,Field_Map!$B$7),DATEVALUE(INDEX(Kobo_Import!$A$2:$CZ$301,$A67,Field_Map!$B$7)&amp;"")),""))</f>
        <v>46031</v>
      </c>
      <c r="E67" s="24" t="str">
        <f>IFERROR(INDEX(Kobo_Import!$A$2:$CZ$301,$A67,Field_Map!$B$11)&amp;"","")</f>
        <v>registration</v>
      </c>
      <c r="F67" s="27">
        <f t="shared" si="0"/>
        <v>46031063</v>
      </c>
      <c r="G67" s="24">
        <f t="shared" si="1"/>
        <v>1</v>
      </c>
      <c r="H67" s="24">
        <f t="shared" si="2"/>
        <v>30</v>
      </c>
      <c r="I67" s="24" t="str">
        <f t="shared" si="3"/>
        <v>HH-030|registration</v>
      </c>
    </row>
    <row r="68" spans="1:9" x14ac:dyDescent="0.3">
      <c r="A68" s="11">
        <v>64</v>
      </c>
      <c r="B68" s="24" t="str">
        <f>IFERROR(INDEX(Kobo_Import!$A$2:$CZ$301,$A68,Field_Map!$B$13)&amp;"","")</f>
        <v>HH-099</v>
      </c>
      <c r="C68" s="24" t="str">
        <f>IFERROR(INDEX(Kobo_Import!$A$2:$CZ$301,$A68,Field_Map!$B$12)&amp;"","")</f>
        <v>yes</v>
      </c>
      <c r="D68" s="28">
        <f>IF(B68="","",IFERROR(IF(ISNUMBER(INDEX(Kobo_Import!$A$2:$CZ$301,$A68,Field_Map!$B$7)),INDEX(Kobo_Import!$A$2:$CZ$301,$A68,Field_Map!$B$7),DATEVALUE(INDEX(Kobo_Import!$A$2:$CZ$301,$A68,Field_Map!$B$7)&amp;"")),""))</f>
        <v>46031</v>
      </c>
      <c r="E68" s="24" t="str">
        <f>IFERROR(INDEX(Kobo_Import!$A$2:$CZ$301,$A68,Field_Map!$B$11)&amp;"","")</f>
        <v>registration</v>
      </c>
      <c r="F68" s="27">
        <f t="shared" si="0"/>
        <v>46031064</v>
      </c>
      <c r="G68" s="24">
        <f t="shared" si="1"/>
        <v>1</v>
      </c>
      <c r="H68" s="24">
        <f t="shared" si="2"/>
        <v>99</v>
      </c>
      <c r="I68" s="24" t="str">
        <f t="shared" si="3"/>
        <v>HH-099|registration</v>
      </c>
    </row>
    <row r="69" spans="1:9" x14ac:dyDescent="0.3">
      <c r="A69" s="11">
        <v>65</v>
      </c>
      <c r="B69" s="24" t="str">
        <f>IFERROR(INDEX(Kobo_Import!$A$2:$CZ$301,$A69,Field_Map!$B$13)&amp;"","")</f>
        <v>HH-080</v>
      </c>
      <c r="C69" s="24" t="str">
        <f>IFERROR(INDEX(Kobo_Import!$A$2:$CZ$301,$A69,Field_Map!$B$12)&amp;"","")</f>
        <v>yes</v>
      </c>
      <c r="D69" s="28">
        <f>IF(B69="","",IFERROR(IF(ISNUMBER(INDEX(Kobo_Import!$A$2:$CZ$301,$A69,Field_Map!$B$7)),INDEX(Kobo_Import!$A$2:$CZ$301,$A69,Field_Map!$B$7),DATEVALUE(INDEX(Kobo_Import!$A$2:$CZ$301,$A69,Field_Map!$B$7)&amp;"")),""))</f>
        <v>46031</v>
      </c>
      <c r="E69" s="24" t="str">
        <f>IFERROR(INDEX(Kobo_Import!$A$2:$CZ$301,$A69,Field_Map!$B$11)&amp;"","")</f>
        <v>registration</v>
      </c>
      <c r="F69" s="27">
        <f t="shared" ref="F69:F132" si="4">IF(OR(B69="",C69&lt;&gt;"yes",D69=""),0,D69*1000+A69)</f>
        <v>46031065</v>
      </c>
      <c r="G69" s="24">
        <f t="shared" ref="G69:G132" si="5">IF(F69=0,"",IF(F69=SUMPRODUCT(MAX(($B$5:$B$304=B69)*$F$5:$F$304)),1,0))</f>
        <v>1</v>
      </c>
      <c r="H69" s="24">
        <f t="shared" ref="H69:H132" si="6">IF(G69=1,COUNTIFS($B$5:$B$304,"&lt;"&amp;B69,$G$5:$G$304,1)+1,"")</f>
        <v>80</v>
      </c>
      <c r="I69" s="24" t="str">
        <f t="shared" ref="I69:I132" si="7">IF(B69="","",B69&amp;"|"&amp;E69)</f>
        <v>HH-080|registration</v>
      </c>
    </row>
    <row r="70" spans="1:9" x14ac:dyDescent="0.3">
      <c r="A70" s="11">
        <v>66</v>
      </c>
      <c r="B70" s="24" t="str">
        <f>IFERROR(INDEX(Kobo_Import!$A$2:$CZ$301,$A70,Field_Map!$B$13)&amp;"","")</f>
        <v>HH-085</v>
      </c>
      <c r="C70" s="24" t="str">
        <f>IFERROR(INDEX(Kobo_Import!$A$2:$CZ$301,$A70,Field_Map!$B$12)&amp;"","")</f>
        <v>yes</v>
      </c>
      <c r="D70" s="28">
        <f>IF(B70="","",IFERROR(IF(ISNUMBER(INDEX(Kobo_Import!$A$2:$CZ$301,$A70,Field_Map!$B$7)),INDEX(Kobo_Import!$A$2:$CZ$301,$A70,Field_Map!$B$7),DATEVALUE(INDEX(Kobo_Import!$A$2:$CZ$301,$A70,Field_Map!$B$7)&amp;"")),""))</f>
        <v>46031</v>
      </c>
      <c r="E70" s="24" t="str">
        <f>IFERROR(INDEX(Kobo_Import!$A$2:$CZ$301,$A70,Field_Map!$B$11)&amp;"","")</f>
        <v>registration</v>
      </c>
      <c r="F70" s="27">
        <f t="shared" si="4"/>
        <v>46031066</v>
      </c>
      <c r="G70" s="24">
        <f t="shared" si="5"/>
        <v>1</v>
      </c>
      <c r="H70" s="24">
        <f t="shared" si="6"/>
        <v>85</v>
      </c>
      <c r="I70" s="24" t="str">
        <f t="shared" si="7"/>
        <v>HH-085|registration</v>
      </c>
    </row>
    <row r="71" spans="1:9" x14ac:dyDescent="0.3">
      <c r="A71" s="11">
        <v>67</v>
      </c>
      <c r="B71" s="24" t="str">
        <f>IFERROR(INDEX(Kobo_Import!$A$2:$CZ$301,$A71,Field_Map!$B$13)&amp;"","")</f>
        <v>HH-092</v>
      </c>
      <c r="C71" s="24" t="str">
        <f>IFERROR(INDEX(Kobo_Import!$A$2:$CZ$301,$A71,Field_Map!$B$12)&amp;"","")</f>
        <v>yes</v>
      </c>
      <c r="D71" s="28">
        <f>IF(B71="","",IFERROR(IF(ISNUMBER(INDEX(Kobo_Import!$A$2:$CZ$301,$A71,Field_Map!$B$7)),INDEX(Kobo_Import!$A$2:$CZ$301,$A71,Field_Map!$B$7),DATEVALUE(INDEX(Kobo_Import!$A$2:$CZ$301,$A71,Field_Map!$B$7)&amp;"")),""))</f>
        <v>46032</v>
      </c>
      <c r="E71" s="24" t="str">
        <f>IFERROR(INDEX(Kobo_Import!$A$2:$CZ$301,$A71,Field_Map!$B$11)&amp;"","")</f>
        <v>registration</v>
      </c>
      <c r="F71" s="27">
        <f t="shared" si="4"/>
        <v>46032067</v>
      </c>
      <c r="G71" s="24">
        <f t="shared" si="5"/>
        <v>1</v>
      </c>
      <c r="H71" s="24">
        <f t="shared" si="6"/>
        <v>92</v>
      </c>
      <c r="I71" s="24" t="str">
        <f t="shared" si="7"/>
        <v>HH-092|registration</v>
      </c>
    </row>
    <row r="72" spans="1:9" x14ac:dyDescent="0.3">
      <c r="A72" s="11">
        <v>68</v>
      </c>
      <c r="B72" s="24" t="str">
        <f>IFERROR(INDEX(Kobo_Import!$A$2:$CZ$301,$A72,Field_Map!$B$13)&amp;"","")</f>
        <v>HH-047</v>
      </c>
      <c r="C72" s="24" t="str">
        <f>IFERROR(INDEX(Kobo_Import!$A$2:$CZ$301,$A72,Field_Map!$B$12)&amp;"","")</f>
        <v>yes</v>
      </c>
      <c r="D72" s="28">
        <f>IF(B72="","",IFERROR(IF(ISNUMBER(INDEX(Kobo_Import!$A$2:$CZ$301,$A72,Field_Map!$B$7)),INDEX(Kobo_Import!$A$2:$CZ$301,$A72,Field_Map!$B$7),DATEVALUE(INDEX(Kobo_Import!$A$2:$CZ$301,$A72,Field_Map!$B$7)&amp;"")),""))</f>
        <v>46032</v>
      </c>
      <c r="E72" s="24" t="str">
        <f>IFERROR(INDEX(Kobo_Import!$A$2:$CZ$301,$A72,Field_Map!$B$11)&amp;"","")</f>
        <v>registration</v>
      </c>
      <c r="F72" s="27">
        <f t="shared" si="4"/>
        <v>46032068</v>
      </c>
      <c r="G72" s="24">
        <f t="shared" si="5"/>
        <v>1</v>
      </c>
      <c r="H72" s="24">
        <f t="shared" si="6"/>
        <v>47</v>
      </c>
      <c r="I72" s="24" t="str">
        <f t="shared" si="7"/>
        <v>HH-047|registration</v>
      </c>
    </row>
    <row r="73" spans="1:9" x14ac:dyDescent="0.3">
      <c r="A73" s="11">
        <v>69</v>
      </c>
      <c r="B73" s="24" t="str">
        <f>IFERROR(INDEX(Kobo_Import!$A$2:$CZ$301,$A73,Field_Map!$B$13)&amp;"","")</f>
        <v>HH-110</v>
      </c>
      <c r="C73" s="24" t="str">
        <f>IFERROR(INDEX(Kobo_Import!$A$2:$CZ$301,$A73,Field_Map!$B$12)&amp;"","")</f>
        <v>yes</v>
      </c>
      <c r="D73" s="28">
        <f>IF(B73="","",IFERROR(IF(ISNUMBER(INDEX(Kobo_Import!$A$2:$CZ$301,$A73,Field_Map!$B$7)),INDEX(Kobo_Import!$A$2:$CZ$301,$A73,Field_Map!$B$7),DATEVALUE(INDEX(Kobo_Import!$A$2:$CZ$301,$A73,Field_Map!$B$7)&amp;"")),""))</f>
        <v>46032</v>
      </c>
      <c r="E73" s="24" t="str">
        <f>IFERROR(INDEX(Kobo_Import!$A$2:$CZ$301,$A73,Field_Map!$B$11)&amp;"","")</f>
        <v>registration</v>
      </c>
      <c r="F73" s="27">
        <f t="shared" si="4"/>
        <v>46032069</v>
      </c>
      <c r="G73" s="24">
        <f t="shared" si="5"/>
        <v>1</v>
      </c>
      <c r="H73" s="24">
        <f t="shared" si="6"/>
        <v>110</v>
      </c>
      <c r="I73" s="24" t="str">
        <f t="shared" si="7"/>
        <v>HH-110|registration</v>
      </c>
    </row>
    <row r="74" spans="1:9" x14ac:dyDescent="0.3">
      <c r="A74" s="11">
        <v>70</v>
      </c>
      <c r="B74" s="24" t="str">
        <f>IFERROR(INDEX(Kobo_Import!$A$2:$CZ$301,$A74,Field_Map!$B$13)&amp;"","")</f>
        <v>HH-019</v>
      </c>
      <c r="C74" s="24" t="str">
        <f>IFERROR(INDEX(Kobo_Import!$A$2:$CZ$301,$A74,Field_Map!$B$12)&amp;"","")</f>
        <v>yes</v>
      </c>
      <c r="D74" s="28">
        <f>IF(B74="","",IFERROR(IF(ISNUMBER(INDEX(Kobo_Import!$A$2:$CZ$301,$A74,Field_Map!$B$7)),INDEX(Kobo_Import!$A$2:$CZ$301,$A74,Field_Map!$B$7),DATEVALUE(INDEX(Kobo_Import!$A$2:$CZ$301,$A74,Field_Map!$B$7)&amp;"")),""))</f>
        <v>46033</v>
      </c>
      <c r="E74" s="24" t="str">
        <f>IFERROR(INDEX(Kobo_Import!$A$2:$CZ$301,$A74,Field_Map!$B$11)&amp;"","")</f>
        <v>registration</v>
      </c>
      <c r="F74" s="27">
        <f t="shared" si="4"/>
        <v>46033070</v>
      </c>
      <c r="G74" s="24">
        <f t="shared" si="5"/>
        <v>1</v>
      </c>
      <c r="H74" s="24">
        <f t="shared" si="6"/>
        <v>19</v>
      </c>
      <c r="I74" s="24" t="str">
        <f t="shared" si="7"/>
        <v>HH-019|registration</v>
      </c>
    </row>
    <row r="75" spans="1:9" x14ac:dyDescent="0.3">
      <c r="A75" s="11">
        <v>71</v>
      </c>
      <c r="B75" s="24" t="str">
        <f>IFERROR(INDEX(Kobo_Import!$A$2:$CZ$301,$A75,Field_Map!$B$13)&amp;"","")</f>
        <v>HH-066</v>
      </c>
      <c r="C75" s="24" t="str">
        <f>IFERROR(INDEX(Kobo_Import!$A$2:$CZ$301,$A75,Field_Map!$B$12)&amp;"","")</f>
        <v>yes</v>
      </c>
      <c r="D75" s="28">
        <f>IF(B75="","",IFERROR(IF(ISNUMBER(INDEX(Kobo_Import!$A$2:$CZ$301,$A75,Field_Map!$B$7)),INDEX(Kobo_Import!$A$2:$CZ$301,$A75,Field_Map!$B$7),DATEVALUE(INDEX(Kobo_Import!$A$2:$CZ$301,$A75,Field_Map!$B$7)&amp;"")),""))</f>
        <v>46033</v>
      </c>
      <c r="E75" s="24" t="str">
        <f>IFERROR(INDEX(Kobo_Import!$A$2:$CZ$301,$A75,Field_Map!$B$11)&amp;"","")</f>
        <v>registration</v>
      </c>
      <c r="F75" s="27">
        <f t="shared" si="4"/>
        <v>46033071</v>
      </c>
      <c r="G75" s="24">
        <f t="shared" si="5"/>
        <v>1</v>
      </c>
      <c r="H75" s="24">
        <f t="shared" si="6"/>
        <v>66</v>
      </c>
      <c r="I75" s="24" t="str">
        <f t="shared" si="7"/>
        <v>HH-066|registration</v>
      </c>
    </row>
    <row r="76" spans="1:9" x14ac:dyDescent="0.3">
      <c r="A76" s="11">
        <v>72</v>
      </c>
      <c r="B76" s="24" t="str">
        <f>IFERROR(INDEX(Kobo_Import!$A$2:$CZ$301,$A76,Field_Map!$B$13)&amp;"","")</f>
        <v>HH-087</v>
      </c>
      <c r="C76" s="24" t="str">
        <f>IFERROR(INDEX(Kobo_Import!$A$2:$CZ$301,$A76,Field_Map!$B$12)&amp;"","")</f>
        <v>yes</v>
      </c>
      <c r="D76" s="28">
        <f>IF(B76="","",IFERROR(IF(ISNUMBER(INDEX(Kobo_Import!$A$2:$CZ$301,$A76,Field_Map!$B$7)),INDEX(Kobo_Import!$A$2:$CZ$301,$A76,Field_Map!$B$7),DATEVALUE(INDEX(Kobo_Import!$A$2:$CZ$301,$A76,Field_Map!$B$7)&amp;"")),""))</f>
        <v>46034</v>
      </c>
      <c r="E76" s="24" t="str">
        <f>IFERROR(INDEX(Kobo_Import!$A$2:$CZ$301,$A76,Field_Map!$B$11)&amp;"","")</f>
        <v>registration</v>
      </c>
      <c r="F76" s="27">
        <f t="shared" si="4"/>
        <v>46034072</v>
      </c>
      <c r="G76" s="24">
        <f t="shared" si="5"/>
        <v>1</v>
      </c>
      <c r="H76" s="24">
        <f t="shared" si="6"/>
        <v>87</v>
      </c>
      <c r="I76" s="24" t="str">
        <f t="shared" si="7"/>
        <v>HH-087|registration</v>
      </c>
    </row>
    <row r="77" spans="1:9" x14ac:dyDescent="0.3">
      <c r="A77" s="11">
        <v>73</v>
      </c>
      <c r="B77" s="24" t="str">
        <f>IFERROR(INDEX(Kobo_Import!$A$2:$CZ$301,$A77,Field_Map!$B$13)&amp;"","")</f>
        <v>HH-044</v>
      </c>
      <c r="C77" s="24" t="str">
        <f>IFERROR(INDEX(Kobo_Import!$A$2:$CZ$301,$A77,Field_Map!$B$12)&amp;"","")</f>
        <v>yes</v>
      </c>
      <c r="D77" s="28">
        <f>IF(B77="","",IFERROR(IF(ISNUMBER(INDEX(Kobo_Import!$A$2:$CZ$301,$A77,Field_Map!$B$7)),INDEX(Kobo_Import!$A$2:$CZ$301,$A77,Field_Map!$B$7),DATEVALUE(INDEX(Kobo_Import!$A$2:$CZ$301,$A77,Field_Map!$B$7)&amp;"")),""))</f>
        <v>46034</v>
      </c>
      <c r="E77" s="24" t="str">
        <f>IFERROR(INDEX(Kobo_Import!$A$2:$CZ$301,$A77,Field_Map!$B$11)&amp;"","")</f>
        <v>reverification</v>
      </c>
      <c r="F77" s="27">
        <f t="shared" si="4"/>
        <v>46034073</v>
      </c>
      <c r="G77" s="24">
        <f t="shared" si="5"/>
        <v>1</v>
      </c>
      <c r="H77" s="24">
        <f t="shared" si="6"/>
        <v>44</v>
      </c>
      <c r="I77" s="24" t="str">
        <f t="shared" si="7"/>
        <v>HH-044|reverification</v>
      </c>
    </row>
    <row r="78" spans="1:9" x14ac:dyDescent="0.3">
      <c r="A78" s="11">
        <v>74</v>
      </c>
      <c r="B78" s="24" t="str">
        <f>IFERROR(INDEX(Kobo_Import!$A$2:$CZ$301,$A78,Field_Map!$B$13)&amp;"","")</f>
        <v>HH-034</v>
      </c>
      <c r="C78" s="24" t="str">
        <f>IFERROR(INDEX(Kobo_Import!$A$2:$CZ$301,$A78,Field_Map!$B$12)&amp;"","")</f>
        <v>yes</v>
      </c>
      <c r="D78" s="28">
        <f>IF(B78="","",IFERROR(IF(ISNUMBER(INDEX(Kobo_Import!$A$2:$CZ$301,$A78,Field_Map!$B$7)),INDEX(Kobo_Import!$A$2:$CZ$301,$A78,Field_Map!$B$7),DATEVALUE(INDEX(Kobo_Import!$A$2:$CZ$301,$A78,Field_Map!$B$7)&amp;"")),""))</f>
        <v>46034</v>
      </c>
      <c r="E78" s="24" t="str">
        <f>IFERROR(INDEX(Kobo_Import!$A$2:$CZ$301,$A78,Field_Map!$B$11)&amp;"","")</f>
        <v>registration</v>
      </c>
      <c r="F78" s="27">
        <f t="shared" si="4"/>
        <v>46034074</v>
      </c>
      <c r="G78" s="24">
        <f t="shared" si="5"/>
        <v>1</v>
      </c>
      <c r="H78" s="24">
        <f t="shared" si="6"/>
        <v>34</v>
      </c>
      <c r="I78" s="24" t="str">
        <f t="shared" si="7"/>
        <v>HH-034|registration</v>
      </c>
    </row>
    <row r="79" spans="1:9" x14ac:dyDescent="0.3">
      <c r="A79" s="11">
        <v>75</v>
      </c>
      <c r="B79" s="24" t="str">
        <f>IFERROR(INDEX(Kobo_Import!$A$2:$CZ$301,$A79,Field_Map!$B$13)&amp;"","")</f>
        <v>HH-023</v>
      </c>
      <c r="C79" s="24" t="str">
        <f>IFERROR(INDEX(Kobo_Import!$A$2:$CZ$301,$A79,Field_Map!$B$12)&amp;"","")</f>
        <v>yes</v>
      </c>
      <c r="D79" s="28">
        <f>IF(B79="","",IFERROR(IF(ISNUMBER(INDEX(Kobo_Import!$A$2:$CZ$301,$A79,Field_Map!$B$7)),INDEX(Kobo_Import!$A$2:$CZ$301,$A79,Field_Map!$B$7),DATEVALUE(INDEX(Kobo_Import!$A$2:$CZ$301,$A79,Field_Map!$B$7)&amp;"")),""))</f>
        <v>46034</v>
      </c>
      <c r="E79" s="24" t="str">
        <f>IFERROR(INDEX(Kobo_Import!$A$2:$CZ$301,$A79,Field_Map!$B$11)&amp;"","")</f>
        <v>registration</v>
      </c>
      <c r="F79" s="27">
        <f t="shared" si="4"/>
        <v>46034075</v>
      </c>
      <c r="G79" s="24">
        <f t="shared" si="5"/>
        <v>1</v>
      </c>
      <c r="H79" s="24">
        <f t="shared" si="6"/>
        <v>23</v>
      </c>
      <c r="I79" s="24" t="str">
        <f t="shared" si="7"/>
        <v>HH-023|registration</v>
      </c>
    </row>
    <row r="80" spans="1:9" x14ac:dyDescent="0.3">
      <c r="A80" s="11">
        <v>76</v>
      </c>
      <c r="B80" s="24" t="str">
        <f>IFERROR(INDEX(Kobo_Import!$A$2:$CZ$301,$A80,Field_Map!$B$13)&amp;"","")</f>
        <v>HH-004</v>
      </c>
      <c r="C80" s="24" t="str">
        <f>IFERROR(INDEX(Kobo_Import!$A$2:$CZ$301,$A80,Field_Map!$B$12)&amp;"","")</f>
        <v>yes</v>
      </c>
      <c r="D80" s="28">
        <f>IF(B80="","",IFERROR(IF(ISNUMBER(INDEX(Kobo_Import!$A$2:$CZ$301,$A80,Field_Map!$B$7)),INDEX(Kobo_Import!$A$2:$CZ$301,$A80,Field_Map!$B$7),DATEVALUE(INDEX(Kobo_Import!$A$2:$CZ$301,$A80,Field_Map!$B$7)&amp;"")),""))</f>
        <v>46034</v>
      </c>
      <c r="E80" s="24" t="str">
        <f>IFERROR(INDEX(Kobo_Import!$A$2:$CZ$301,$A80,Field_Map!$B$11)&amp;"","")</f>
        <v>reverification</v>
      </c>
      <c r="F80" s="27">
        <f t="shared" si="4"/>
        <v>46034076</v>
      </c>
      <c r="G80" s="24">
        <f t="shared" si="5"/>
        <v>1</v>
      </c>
      <c r="H80" s="24">
        <f t="shared" si="6"/>
        <v>4</v>
      </c>
      <c r="I80" s="24" t="str">
        <f t="shared" si="7"/>
        <v>HH-004|reverification</v>
      </c>
    </row>
    <row r="81" spans="1:9" x14ac:dyDescent="0.3">
      <c r="A81" s="11">
        <v>77</v>
      </c>
      <c r="B81" s="24" t="str">
        <f>IFERROR(INDEX(Kobo_Import!$A$2:$CZ$301,$A81,Field_Map!$B$13)&amp;"","")</f>
        <v>HH-008</v>
      </c>
      <c r="C81" s="24" t="str">
        <f>IFERROR(INDEX(Kobo_Import!$A$2:$CZ$301,$A81,Field_Map!$B$12)&amp;"","")</f>
        <v>yes</v>
      </c>
      <c r="D81" s="28">
        <f>IF(B81="","",IFERROR(IF(ISNUMBER(INDEX(Kobo_Import!$A$2:$CZ$301,$A81,Field_Map!$B$7)),INDEX(Kobo_Import!$A$2:$CZ$301,$A81,Field_Map!$B$7),DATEVALUE(INDEX(Kobo_Import!$A$2:$CZ$301,$A81,Field_Map!$B$7)&amp;"")),""))</f>
        <v>46035</v>
      </c>
      <c r="E81" s="24" t="str">
        <f>IFERROR(INDEX(Kobo_Import!$A$2:$CZ$301,$A81,Field_Map!$B$11)&amp;"","")</f>
        <v>reverification</v>
      </c>
      <c r="F81" s="27">
        <f t="shared" si="4"/>
        <v>46035077</v>
      </c>
      <c r="G81" s="24">
        <f t="shared" si="5"/>
        <v>1</v>
      </c>
      <c r="H81" s="24">
        <f t="shared" si="6"/>
        <v>8</v>
      </c>
      <c r="I81" s="24" t="str">
        <f t="shared" si="7"/>
        <v>HH-008|reverification</v>
      </c>
    </row>
    <row r="82" spans="1:9" x14ac:dyDescent="0.3">
      <c r="A82" s="11">
        <v>78</v>
      </c>
      <c r="B82" s="24" t="str">
        <f>IFERROR(INDEX(Kobo_Import!$A$2:$CZ$301,$A82,Field_Map!$B$13)&amp;"","")</f>
        <v>HH-109</v>
      </c>
      <c r="C82" s="24" t="str">
        <f>IFERROR(INDEX(Kobo_Import!$A$2:$CZ$301,$A82,Field_Map!$B$12)&amp;"","")</f>
        <v>yes</v>
      </c>
      <c r="D82" s="28">
        <f>IF(B82="","",IFERROR(IF(ISNUMBER(INDEX(Kobo_Import!$A$2:$CZ$301,$A82,Field_Map!$B$7)),INDEX(Kobo_Import!$A$2:$CZ$301,$A82,Field_Map!$B$7),DATEVALUE(INDEX(Kobo_Import!$A$2:$CZ$301,$A82,Field_Map!$B$7)&amp;"")),""))</f>
        <v>46035</v>
      </c>
      <c r="E82" s="24" t="str">
        <f>IFERROR(INDEX(Kobo_Import!$A$2:$CZ$301,$A82,Field_Map!$B$11)&amp;"","")</f>
        <v>registration</v>
      </c>
      <c r="F82" s="27">
        <f t="shared" si="4"/>
        <v>46035078</v>
      </c>
      <c r="G82" s="24">
        <f t="shared" si="5"/>
        <v>1</v>
      </c>
      <c r="H82" s="24">
        <f t="shared" si="6"/>
        <v>109</v>
      </c>
      <c r="I82" s="24" t="str">
        <f t="shared" si="7"/>
        <v>HH-109|registration</v>
      </c>
    </row>
    <row r="83" spans="1:9" x14ac:dyDescent="0.3">
      <c r="A83" s="11">
        <v>79</v>
      </c>
      <c r="B83" s="24" t="str">
        <f>IFERROR(INDEX(Kobo_Import!$A$2:$CZ$301,$A83,Field_Map!$B$13)&amp;"","")</f>
        <v>HH-021</v>
      </c>
      <c r="C83" s="24" t="str">
        <f>IFERROR(INDEX(Kobo_Import!$A$2:$CZ$301,$A83,Field_Map!$B$12)&amp;"","")</f>
        <v>yes</v>
      </c>
      <c r="D83" s="28">
        <f>IF(B83="","",IFERROR(IF(ISNUMBER(INDEX(Kobo_Import!$A$2:$CZ$301,$A83,Field_Map!$B$7)),INDEX(Kobo_Import!$A$2:$CZ$301,$A83,Field_Map!$B$7),DATEVALUE(INDEX(Kobo_Import!$A$2:$CZ$301,$A83,Field_Map!$B$7)&amp;"")),""))</f>
        <v>46035</v>
      </c>
      <c r="E83" s="24" t="str">
        <f>IFERROR(INDEX(Kobo_Import!$A$2:$CZ$301,$A83,Field_Map!$B$11)&amp;"","")</f>
        <v>registration</v>
      </c>
      <c r="F83" s="27">
        <f t="shared" si="4"/>
        <v>46035079</v>
      </c>
      <c r="G83" s="24">
        <f t="shared" si="5"/>
        <v>1</v>
      </c>
      <c r="H83" s="24">
        <f t="shared" si="6"/>
        <v>21</v>
      </c>
      <c r="I83" s="24" t="str">
        <f t="shared" si="7"/>
        <v>HH-021|registration</v>
      </c>
    </row>
    <row r="84" spans="1:9" x14ac:dyDescent="0.3">
      <c r="A84" s="11">
        <v>80</v>
      </c>
      <c r="B84" s="24" t="str">
        <f>IFERROR(INDEX(Kobo_Import!$A$2:$CZ$301,$A84,Field_Map!$B$13)&amp;"","")</f>
        <v>HH-036</v>
      </c>
      <c r="C84" s="24" t="str">
        <f>IFERROR(INDEX(Kobo_Import!$A$2:$CZ$301,$A84,Field_Map!$B$12)&amp;"","")</f>
        <v>yes</v>
      </c>
      <c r="D84" s="28">
        <f>IF(B84="","",IFERROR(IF(ISNUMBER(INDEX(Kobo_Import!$A$2:$CZ$301,$A84,Field_Map!$B$7)),INDEX(Kobo_Import!$A$2:$CZ$301,$A84,Field_Map!$B$7),DATEVALUE(INDEX(Kobo_Import!$A$2:$CZ$301,$A84,Field_Map!$B$7)&amp;"")),""))</f>
        <v>46036</v>
      </c>
      <c r="E84" s="24" t="str">
        <f>IFERROR(INDEX(Kobo_Import!$A$2:$CZ$301,$A84,Field_Map!$B$11)&amp;"","")</f>
        <v>registration</v>
      </c>
      <c r="F84" s="27">
        <f t="shared" si="4"/>
        <v>46036080</v>
      </c>
      <c r="G84" s="24">
        <f t="shared" si="5"/>
        <v>1</v>
      </c>
      <c r="H84" s="24">
        <f t="shared" si="6"/>
        <v>36</v>
      </c>
      <c r="I84" s="24" t="str">
        <f t="shared" si="7"/>
        <v>HH-036|registration</v>
      </c>
    </row>
    <row r="85" spans="1:9" x14ac:dyDescent="0.3">
      <c r="A85" s="11">
        <v>81</v>
      </c>
      <c r="B85" s="24" t="str">
        <f>IFERROR(INDEX(Kobo_Import!$A$2:$CZ$301,$A85,Field_Map!$B$13)&amp;"","")</f>
        <v>HH-067</v>
      </c>
      <c r="C85" s="24" t="str">
        <f>IFERROR(INDEX(Kobo_Import!$A$2:$CZ$301,$A85,Field_Map!$B$12)&amp;"","")</f>
        <v>yes</v>
      </c>
      <c r="D85" s="28">
        <f>IF(B85="","",IFERROR(IF(ISNUMBER(INDEX(Kobo_Import!$A$2:$CZ$301,$A85,Field_Map!$B$7)),INDEX(Kobo_Import!$A$2:$CZ$301,$A85,Field_Map!$B$7),DATEVALUE(INDEX(Kobo_Import!$A$2:$CZ$301,$A85,Field_Map!$B$7)&amp;"")),""))</f>
        <v>46036</v>
      </c>
      <c r="E85" s="24" t="str">
        <f>IFERROR(INDEX(Kobo_Import!$A$2:$CZ$301,$A85,Field_Map!$B$11)&amp;"","")</f>
        <v>registration</v>
      </c>
      <c r="F85" s="27">
        <f t="shared" si="4"/>
        <v>46036081</v>
      </c>
      <c r="G85" s="24">
        <f t="shared" si="5"/>
        <v>1</v>
      </c>
      <c r="H85" s="24">
        <f t="shared" si="6"/>
        <v>67</v>
      </c>
      <c r="I85" s="24" t="str">
        <f t="shared" si="7"/>
        <v>HH-067|registration</v>
      </c>
    </row>
    <row r="86" spans="1:9" x14ac:dyDescent="0.3">
      <c r="A86" s="11">
        <v>82</v>
      </c>
      <c r="B86" s="24" t="str">
        <f>IFERROR(INDEX(Kobo_Import!$A$2:$CZ$301,$A86,Field_Map!$B$13)&amp;"","")</f>
        <v>HH-116</v>
      </c>
      <c r="C86" s="24" t="str">
        <f>IFERROR(INDEX(Kobo_Import!$A$2:$CZ$301,$A86,Field_Map!$B$12)&amp;"","")</f>
        <v>yes</v>
      </c>
      <c r="D86" s="28">
        <f>IF(B86="","",IFERROR(IF(ISNUMBER(INDEX(Kobo_Import!$A$2:$CZ$301,$A86,Field_Map!$B$7)),INDEX(Kobo_Import!$A$2:$CZ$301,$A86,Field_Map!$B$7),DATEVALUE(INDEX(Kobo_Import!$A$2:$CZ$301,$A86,Field_Map!$B$7)&amp;"")),""))</f>
        <v>46036</v>
      </c>
      <c r="E86" s="24" t="str">
        <f>IFERROR(INDEX(Kobo_Import!$A$2:$CZ$301,$A86,Field_Map!$B$11)&amp;"","")</f>
        <v>reverification</v>
      </c>
      <c r="F86" s="27">
        <f t="shared" si="4"/>
        <v>46036082</v>
      </c>
      <c r="G86" s="24">
        <f t="shared" si="5"/>
        <v>1</v>
      </c>
      <c r="H86" s="24">
        <f t="shared" si="6"/>
        <v>116</v>
      </c>
      <c r="I86" s="24" t="str">
        <f t="shared" si="7"/>
        <v>HH-116|reverification</v>
      </c>
    </row>
    <row r="87" spans="1:9" x14ac:dyDescent="0.3">
      <c r="A87" s="11">
        <v>83</v>
      </c>
      <c r="B87" s="24" t="str">
        <f>IFERROR(INDEX(Kobo_Import!$A$2:$CZ$301,$A87,Field_Map!$B$13)&amp;"","")</f>
        <v>HH-075</v>
      </c>
      <c r="C87" s="24" t="str">
        <f>IFERROR(INDEX(Kobo_Import!$A$2:$CZ$301,$A87,Field_Map!$B$12)&amp;"","")</f>
        <v>yes</v>
      </c>
      <c r="D87" s="28">
        <f>IF(B87="","",IFERROR(IF(ISNUMBER(INDEX(Kobo_Import!$A$2:$CZ$301,$A87,Field_Map!$B$7)),INDEX(Kobo_Import!$A$2:$CZ$301,$A87,Field_Map!$B$7),DATEVALUE(INDEX(Kobo_Import!$A$2:$CZ$301,$A87,Field_Map!$B$7)&amp;"")),""))</f>
        <v>46036</v>
      </c>
      <c r="E87" s="24" t="str">
        <f>IFERROR(INDEX(Kobo_Import!$A$2:$CZ$301,$A87,Field_Map!$B$11)&amp;"","")</f>
        <v>reverification</v>
      </c>
      <c r="F87" s="27">
        <f t="shared" si="4"/>
        <v>46036083</v>
      </c>
      <c r="G87" s="24">
        <f t="shared" si="5"/>
        <v>1</v>
      </c>
      <c r="H87" s="24">
        <f t="shared" si="6"/>
        <v>75</v>
      </c>
      <c r="I87" s="24" t="str">
        <f t="shared" si="7"/>
        <v>HH-075|reverification</v>
      </c>
    </row>
    <row r="88" spans="1:9" x14ac:dyDescent="0.3">
      <c r="A88" s="11">
        <v>84</v>
      </c>
      <c r="B88" s="24" t="str">
        <f>IFERROR(INDEX(Kobo_Import!$A$2:$CZ$301,$A88,Field_Map!$B$13)&amp;"","")</f>
        <v>HH-056</v>
      </c>
      <c r="C88" s="24" t="str">
        <f>IFERROR(INDEX(Kobo_Import!$A$2:$CZ$301,$A88,Field_Map!$B$12)&amp;"","")</f>
        <v>yes</v>
      </c>
      <c r="D88" s="28">
        <f>IF(B88="","",IFERROR(IF(ISNUMBER(INDEX(Kobo_Import!$A$2:$CZ$301,$A88,Field_Map!$B$7)),INDEX(Kobo_Import!$A$2:$CZ$301,$A88,Field_Map!$B$7),DATEVALUE(INDEX(Kobo_Import!$A$2:$CZ$301,$A88,Field_Map!$B$7)&amp;"")),""))</f>
        <v>46036</v>
      </c>
      <c r="E88" s="24" t="str">
        <f>IFERROR(INDEX(Kobo_Import!$A$2:$CZ$301,$A88,Field_Map!$B$11)&amp;"","")</f>
        <v>registration</v>
      </c>
      <c r="F88" s="27">
        <f t="shared" si="4"/>
        <v>46036084</v>
      </c>
      <c r="G88" s="24">
        <f t="shared" si="5"/>
        <v>1</v>
      </c>
      <c r="H88" s="24">
        <f t="shared" si="6"/>
        <v>56</v>
      </c>
      <c r="I88" s="24" t="str">
        <f t="shared" si="7"/>
        <v>HH-056|registration</v>
      </c>
    </row>
    <row r="89" spans="1:9" x14ac:dyDescent="0.3">
      <c r="A89" s="11">
        <v>85</v>
      </c>
      <c r="B89" s="24" t="str">
        <f>IFERROR(INDEX(Kobo_Import!$A$2:$CZ$301,$A89,Field_Map!$B$13)&amp;"","")</f>
        <v>HH-010</v>
      </c>
      <c r="C89" s="24" t="str">
        <f>IFERROR(INDEX(Kobo_Import!$A$2:$CZ$301,$A89,Field_Map!$B$12)&amp;"","")</f>
        <v>yes</v>
      </c>
      <c r="D89" s="28">
        <f>IF(B89="","",IFERROR(IF(ISNUMBER(INDEX(Kobo_Import!$A$2:$CZ$301,$A89,Field_Map!$B$7)),INDEX(Kobo_Import!$A$2:$CZ$301,$A89,Field_Map!$B$7),DATEVALUE(INDEX(Kobo_Import!$A$2:$CZ$301,$A89,Field_Map!$B$7)&amp;"")),""))</f>
        <v>46037</v>
      </c>
      <c r="E89" s="24" t="str">
        <f>IFERROR(INDEX(Kobo_Import!$A$2:$CZ$301,$A89,Field_Map!$B$11)&amp;"","")</f>
        <v>registration</v>
      </c>
      <c r="F89" s="27">
        <f t="shared" si="4"/>
        <v>46037085</v>
      </c>
      <c r="G89" s="24">
        <f t="shared" si="5"/>
        <v>1</v>
      </c>
      <c r="H89" s="24">
        <f t="shared" si="6"/>
        <v>10</v>
      </c>
      <c r="I89" s="24" t="str">
        <f t="shared" si="7"/>
        <v>HH-010|registration</v>
      </c>
    </row>
    <row r="90" spans="1:9" x14ac:dyDescent="0.3">
      <c r="A90" s="11">
        <v>86</v>
      </c>
      <c r="B90" s="24" t="str">
        <f>IFERROR(INDEX(Kobo_Import!$A$2:$CZ$301,$A90,Field_Map!$B$13)&amp;"","")</f>
        <v>HH-073</v>
      </c>
      <c r="C90" s="24" t="str">
        <f>IFERROR(INDEX(Kobo_Import!$A$2:$CZ$301,$A90,Field_Map!$B$12)&amp;"","")</f>
        <v>yes</v>
      </c>
      <c r="D90" s="28">
        <f>IF(B90="","",IFERROR(IF(ISNUMBER(INDEX(Kobo_Import!$A$2:$CZ$301,$A90,Field_Map!$B$7)),INDEX(Kobo_Import!$A$2:$CZ$301,$A90,Field_Map!$B$7),DATEVALUE(INDEX(Kobo_Import!$A$2:$CZ$301,$A90,Field_Map!$B$7)&amp;"")),""))</f>
        <v>46037</v>
      </c>
      <c r="E90" s="24" t="str">
        <f>IFERROR(INDEX(Kobo_Import!$A$2:$CZ$301,$A90,Field_Map!$B$11)&amp;"","")</f>
        <v>registration</v>
      </c>
      <c r="F90" s="27">
        <f t="shared" si="4"/>
        <v>46037086</v>
      </c>
      <c r="G90" s="24">
        <f t="shared" si="5"/>
        <v>1</v>
      </c>
      <c r="H90" s="24">
        <f t="shared" si="6"/>
        <v>73</v>
      </c>
      <c r="I90" s="24" t="str">
        <f t="shared" si="7"/>
        <v>HH-073|registration</v>
      </c>
    </row>
    <row r="91" spans="1:9" x14ac:dyDescent="0.3">
      <c r="A91" s="11">
        <v>87</v>
      </c>
      <c r="B91" s="24" t="str">
        <f>IFERROR(INDEX(Kobo_Import!$A$2:$CZ$301,$A91,Field_Map!$B$13)&amp;"","")</f>
        <v>HH-084</v>
      </c>
      <c r="C91" s="24" t="str">
        <f>IFERROR(INDEX(Kobo_Import!$A$2:$CZ$301,$A91,Field_Map!$B$12)&amp;"","")</f>
        <v>yes</v>
      </c>
      <c r="D91" s="28">
        <f>IF(B91="","",IFERROR(IF(ISNUMBER(INDEX(Kobo_Import!$A$2:$CZ$301,$A91,Field_Map!$B$7)),INDEX(Kobo_Import!$A$2:$CZ$301,$A91,Field_Map!$B$7),DATEVALUE(INDEX(Kobo_Import!$A$2:$CZ$301,$A91,Field_Map!$B$7)&amp;"")),""))</f>
        <v>46037</v>
      </c>
      <c r="E91" s="24" t="str">
        <f>IFERROR(INDEX(Kobo_Import!$A$2:$CZ$301,$A91,Field_Map!$B$11)&amp;"","")</f>
        <v>registration</v>
      </c>
      <c r="F91" s="27">
        <f t="shared" si="4"/>
        <v>46037087</v>
      </c>
      <c r="G91" s="24">
        <f t="shared" si="5"/>
        <v>1</v>
      </c>
      <c r="H91" s="24">
        <f t="shared" si="6"/>
        <v>84</v>
      </c>
      <c r="I91" s="24" t="str">
        <f t="shared" si="7"/>
        <v>HH-084|registration</v>
      </c>
    </row>
    <row r="92" spans="1:9" x14ac:dyDescent="0.3">
      <c r="A92" s="11">
        <v>88</v>
      </c>
      <c r="B92" s="24" t="str">
        <f>IFERROR(INDEX(Kobo_Import!$A$2:$CZ$301,$A92,Field_Map!$B$13)&amp;"","")</f>
        <v>HH-053</v>
      </c>
      <c r="C92" s="24" t="str">
        <f>IFERROR(INDEX(Kobo_Import!$A$2:$CZ$301,$A92,Field_Map!$B$12)&amp;"","")</f>
        <v>yes</v>
      </c>
      <c r="D92" s="28">
        <f>IF(B92="","",IFERROR(IF(ISNUMBER(INDEX(Kobo_Import!$A$2:$CZ$301,$A92,Field_Map!$B$7)),INDEX(Kobo_Import!$A$2:$CZ$301,$A92,Field_Map!$B$7),DATEVALUE(INDEX(Kobo_Import!$A$2:$CZ$301,$A92,Field_Map!$B$7)&amp;"")),""))</f>
        <v>46037</v>
      </c>
      <c r="E92" s="24" t="str">
        <f>IFERROR(INDEX(Kobo_Import!$A$2:$CZ$301,$A92,Field_Map!$B$11)&amp;"","")</f>
        <v>registration</v>
      </c>
      <c r="F92" s="27">
        <f t="shared" si="4"/>
        <v>46037088</v>
      </c>
      <c r="G92" s="24">
        <f t="shared" si="5"/>
        <v>1</v>
      </c>
      <c r="H92" s="24">
        <f t="shared" si="6"/>
        <v>53</v>
      </c>
      <c r="I92" s="24" t="str">
        <f t="shared" si="7"/>
        <v>HH-053|registration</v>
      </c>
    </row>
    <row r="93" spans="1:9" x14ac:dyDescent="0.3">
      <c r="A93" s="11">
        <v>89</v>
      </c>
      <c r="B93" s="24" t="str">
        <f>IFERROR(INDEX(Kobo_Import!$A$2:$CZ$301,$A93,Field_Map!$B$13)&amp;"","")</f>
        <v>HH-032</v>
      </c>
      <c r="C93" s="24" t="str">
        <f>IFERROR(INDEX(Kobo_Import!$A$2:$CZ$301,$A93,Field_Map!$B$12)&amp;"","")</f>
        <v>yes</v>
      </c>
      <c r="D93" s="28">
        <f>IF(B93="","",IFERROR(IF(ISNUMBER(INDEX(Kobo_Import!$A$2:$CZ$301,$A93,Field_Map!$B$7)),INDEX(Kobo_Import!$A$2:$CZ$301,$A93,Field_Map!$B$7),DATEVALUE(INDEX(Kobo_Import!$A$2:$CZ$301,$A93,Field_Map!$B$7)&amp;"")),""))</f>
        <v>46038</v>
      </c>
      <c r="E93" s="24" t="str">
        <f>IFERROR(INDEX(Kobo_Import!$A$2:$CZ$301,$A93,Field_Map!$B$11)&amp;"","")</f>
        <v>reverification</v>
      </c>
      <c r="F93" s="27">
        <f t="shared" si="4"/>
        <v>46038089</v>
      </c>
      <c r="G93" s="24">
        <f t="shared" si="5"/>
        <v>1</v>
      </c>
      <c r="H93" s="24">
        <f t="shared" si="6"/>
        <v>32</v>
      </c>
      <c r="I93" s="24" t="str">
        <f t="shared" si="7"/>
        <v>HH-032|reverification</v>
      </c>
    </row>
    <row r="94" spans="1:9" x14ac:dyDescent="0.3">
      <c r="A94" s="11">
        <v>90</v>
      </c>
      <c r="B94" s="24" t="str">
        <f>IFERROR(INDEX(Kobo_Import!$A$2:$CZ$301,$A94,Field_Map!$B$13)&amp;"","")</f>
        <v>HH-063</v>
      </c>
      <c r="C94" s="24" t="str">
        <f>IFERROR(INDEX(Kobo_Import!$A$2:$CZ$301,$A94,Field_Map!$B$12)&amp;"","")</f>
        <v>yes</v>
      </c>
      <c r="D94" s="28">
        <f>IF(B94="","",IFERROR(IF(ISNUMBER(INDEX(Kobo_Import!$A$2:$CZ$301,$A94,Field_Map!$B$7)),INDEX(Kobo_Import!$A$2:$CZ$301,$A94,Field_Map!$B$7),DATEVALUE(INDEX(Kobo_Import!$A$2:$CZ$301,$A94,Field_Map!$B$7)&amp;"")),""))</f>
        <v>46038</v>
      </c>
      <c r="E94" s="24" t="str">
        <f>IFERROR(INDEX(Kobo_Import!$A$2:$CZ$301,$A94,Field_Map!$B$11)&amp;"","")</f>
        <v>reverification</v>
      </c>
      <c r="F94" s="27">
        <f t="shared" si="4"/>
        <v>46038090</v>
      </c>
      <c r="G94" s="24">
        <f t="shared" si="5"/>
        <v>1</v>
      </c>
      <c r="H94" s="24">
        <f t="shared" si="6"/>
        <v>63</v>
      </c>
      <c r="I94" s="24" t="str">
        <f t="shared" si="7"/>
        <v>HH-063|reverification</v>
      </c>
    </row>
    <row r="95" spans="1:9" x14ac:dyDescent="0.3">
      <c r="A95" s="11">
        <v>91</v>
      </c>
      <c r="B95" s="24" t="str">
        <f>IFERROR(INDEX(Kobo_Import!$A$2:$CZ$301,$A95,Field_Map!$B$13)&amp;"","")</f>
        <v>HH-070</v>
      </c>
      <c r="C95" s="24" t="str">
        <f>IFERROR(INDEX(Kobo_Import!$A$2:$CZ$301,$A95,Field_Map!$B$12)&amp;"","")</f>
        <v>yes</v>
      </c>
      <c r="D95" s="28">
        <f>IF(B95="","",IFERROR(IF(ISNUMBER(INDEX(Kobo_Import!$A$2:$CZ$301,$A95,Field_Map!$B$7)),INDEX(Kobo_Import!$A$2:$CZ$301,$A95,Field_Map!$B$7),DATEVALUE(INDEX(Kobo_Import!$A$2:$CZ$301,$A95,Field_Map!$B$7)&amp;"")),""))</f>
        <v>46038</v>
      </c>
      <c r="E95" s="24" t="str">
        <f>IFERROR(INDEX(Kobo_Import!$A$2:$CZ$301,$A95,Field_Map!$B$11)&amp;"","")</f>
        <v>reverification</v>
      </c>
      <c r="F95" s="27">
        <f t="shared" si="4"/>
        <v>46038091</v>
      </c>
      <c r="G95" s="24">
        <f t="shared" si="5"/>
        <v>1</v>
      </c>
      <c r="H95" s="24">
        <f t="shared" si="6"/>
        <v>70</v>
      </c>
      <c r="I95" s="24" t="str">
        <f t="shared" si="7"/>
        <v>HH-070|reverification</v>
      </c>
    </row>
    <row r="96" spans="1:9" x14ac:dyDescent="0.3">
      <c r="A96" s="11">
        <v>92</v>
      </c>
      <c r="B96" s="24" t="str">
        <f>IFERROR(INDEX(Kobo_Import!$A$2:$CZ$301,$A96,Field_Map!$B$13)&amp;"","")</f>
        <v>HH-094</v>
      </c>
      <c r="C96" s="24" t="str">
        <f>IFERROR(INDEX(Kobo_Import!$A$2:$CZ$301,$A96,Field_Map!$B$12)&amp;"","")</f>
        <v>yes</v>
      </c>
      <c r="D96" s="28">
        <f>IF(B96="","",IFERROR(IF(ISNUMBER(INDEX(Kobo_Import!$A$2:$CZ$301,$A96,Field_Map!$B$7)),INDEX(Kobo_Import!$A$2:$CZ$301,$A96,Field_Map!$B$7),DATEVALUE(INDEX(Kobo_Import!$A$2:$CZ$301,$A96,Field_Map!$B$7)&amp;"")),""))</f>
        <v>46038</v>
      </c>
      <c r="E96" s="24" t="str">
        <f>IFERROR(INDEX(Kobo_Import!$A$2:$CZ$301,$A96,Field_Map!$B$11)&amp;"","")</f>
        <v>registration</v>
      </c>
      <c r="F96" s="27">
        <f t="shared" si="4"/>
        <v>46038092</v>
      </c>
      <c r="G96" s="24">
        <f t="shared" si="5"/>
        <v>1</v>
      </c>
      <c r="H96" s="24">
        <f t="shared" si="6"/>
        <v>94</v>
      </c>
      <c r="I96" s="24" t="str">
        <f t="shared" si="7"/>
        <v>HH-094|registration</v>
      </c>
    </row>
    <row r="97" spans="1:9" x14ac:dyDescent="0.3">
      <c r="A97" s="11">
        <v>93</v>
      </c>
      <c r="B97" s="24" t="str">
        <f>IFERROR(INDEX(Kobo_Import!$A$2:$CZ$301,$A97,Field_Map!$B$13)&amp;"","")</f>
        <v>HH-081</v>
      </c>
      <c r="C97" s="24" t="str">
        <f>IFERROR(INDEX(Kobo_Import!$A$2:$CZ$301,$A97,Field_Map!$B$12)&amp;"","")</f>
        <v>yes</v>
      </c>
      <c r="D97" s="28">
        <f>IF(B97="","",IFERROR(IF(ISNUMBER(INDEX(Kobo_Import!$A$2:$CZ$301,$A97,Field_Map!$B$7)),INDEX(Kobo_Import!$A$2:$CZ$301,$A97,Field_Map!$B$7),DATEVALUE(INDEX(Kobo_Import!$A$2:$CZ$301,$A97,Field_Map!$B$7)&amp;"")),""))</f>
        <v>46038</v>
      </c>
      <c r="E97" s="24" t="str">
        <f>IFERROR(INDEX(Kobo_Import!$A$2:$CZ$301,$A97,Field_Map!$B$11)&amp;"","")</f>
        <v>reverification</v>
      </c>
      <c r="F97" s="27">
        <f t="shared" si="4"/>
        <v>46038093</v>
      </c>
      <c r="G97" s="24">
        <f t="shared" si="5"/>
        <v>1</v>
      </c>
      <c r="H97" s="24">
        <f t="shared" si="6"/>
        <v>81</v>
      </c>
      <c r="I97" s="24" t="str">
        <f t="shared" si="7"/>
        <v>HH-081|reverification</v>
      </c>
    </row>
    <row r="98" spans="1:9" x14ac:dyDescent="0.3">
      <c r="A98" s="11">
        <v>94</v>
      </c>
      <c r="B98" s="24" t="str">
        <f>IFERROR(INDEX(Kobo_Import!$A$2:$CZ$301,$A98,Field_Map!$B$13)&amp;"","")</f>
        <v>HH-035</v>
      </c>
      <c r="C98" s="24" t="str">
        <f>IFERROR(INDEX(Kobo_Import!$A$2:$CZ$301,$A98,Field_Map!$B$12)&amp;"","")</f>
        <v>yes</v>
      </c>
      <c r="D98" s="28">
        <f>IF(B98="","",IFERROR(IF(ISNUMBER(INDEX(Kobo_Import!$A$2:$CZ$301,$A98,Field_Map!$B$7)),INDEX(Kobo_Import!$A$2:$CZ$301,$A98,Field_Map!$B$7),DATEVALUE(INDEX(Kobo_Import!$A$2:$CZ$301,$A98,Field_Map!$B$7)&amp;"")),""))</f>
        <v>46038</v>
      </c>
      <c r="E98" s="24" t="str">
        <f>IFERROR(INDEX(Kobo_Import!$A$2:$CZ$301,$A98,Field_Map!$B$11)&amp;"","")</f>
        <v>reverification</v>
      </c>
      <c r="F98" s="27">
        <f t="shared" si="4"/>
        <v>46038094</v>
      </c>
      <c r="G98" s="24">
        <f t="shared" si="5"/>
        <v>1</v>
      </c>
      <c r="H98" s="24">
        <f t="shared" si="6"/>
        <v>35</v>
      </c>
      <c r="I98" s="24" t="str">
        <f t="shared" si="7"/>
        <v>HH-035|reverification</v>
      </c>
    </row>
    <row r="99" spans="1:9" x14ac:dyDescent="0.3">
      <c r="A99" s="11">
        <v>95</v>
      </c>
      <c r="B99" s="24" t="str">
        <f>IFERROR(INDEX(Kobo_Import!$A$2:$CZ$301,$A99,Field_Map!$B$13)&amp;"","")</f>
        <v>HH-033</v>
      </c>
      <c r="C99" s="24" t="str">
        <f>IFERROR(INDEX(Kobo_Import!$A$2:$CZ$301,$A99,Field_Map!$B$12)&amp;"","")</f>
        <v>yes</v>
      </c>
      <c r="D99" s="28">
        <f>IF(B99="","",IFERROR(IF(ISNUMBER(INDEX(Kobo_Import!$A$2:$CZ$301,$A99,Field_Map!$B$7)),INDEX(Kobo_Import!$A$2:$CZ$301,$A99,Field_Map!$B$7),DATEVALUE(INDEX(Kobo_Import!$A$2:$CZ$301,$A99,Field_Map!$B$7)&amp;"")),""))</f>
        <v>46039</v>
      </c>
      <c r="E99" s="24" t="str">
        <f>IFERROR(INDEX(Kobo_Import!$A$2:$CZ$301,$A99,Field_Map!$B$11)&amp;"","")</f>
        <v>reverification</v>
      </c>
      <c r="F99" s="27">
        <f t="shared" si="4"/>
        <v>46039095</v>
      </c>
      <c r="G99" s="24">
        <f t="shared" si="5"/>
        <v>1</v>
      </c>
      <c r="H99" s="24">
        <f t="shared" si="6"/>
        <v>33</v>
      </c>
      <c r="I99" s="24" t="str">
        <f t="shared" si="7"/>
        <v>HH-033|reverification</v>
      </c>
    </row>
    <row r="100" spans="1:9" x14ac:dyDescent="0.3">
      <c r="A100" s="11">
        <v>96</v>
      </c>
      <c r="B100" s="24" t="str">
        <f>IFERROR(INDEX(Kobo_Import!$A$2:$CZ$301,$A100,Field_Map!$B$13)&amp;"","")</f>
        <v>HH-049</v>
      </c>
      <c r="C100" s="24" t="str">
        <f>IFERROR(INDEX(Kobo_Import!$A$2:$CZ$301,$A100,Field_Map!$B$12)&amp;"","")</f>
        <v>yes</v>
      </c>
      <c r="D100" s="28">
        <f>IF(B100="","",IFERROR(IF(ISNUMBER(INDEX(Kobo_Import!$A$2:$CZ$301,$A100,Field_Map!$B$7)),INDEX(Kobo_Import!$A$2:$CZ$301,$A100,Field_Map!$B$7),DATEVALUE(INDEX(Kobo_Import!$A$2:$CZ$301,$A100,Field_Map!$B$7)&amp;"")),""))</f>
        <v>46039</v>
      </c>
      <c r="E100" s="24" t="str">
        <f>IFERROR(INDEX(Kobo_Import!$A$2:$CZ$301,$A100,Field_Map!$B$11)&amp;"","")</f>
        <v>reverification</v>
      </c>
      <c r="F100" s="27">
        <f t="shared" si="4"/>
        <v>46039096</v>
      </c>
      <c r="G100" s="24">
        <f t="shared" si="5"/>
        <v>1</v>
      </c>
      <c r="H100" s="24">
        <f t="shared" si="6"/>
        <v>49</v>
      </c>
      <c r="I100" s="24" t="str">
        <f t="shared" si="7"/>
        <v>HH-049|reverification</v>
      </c>
    </row>
    <row r="101" spans="1:9" x14ac:dyDescent="0.3">
      <c r="A101" s="11">
        <v>97</v>
      </c>
      <c r="B101" s="24" t="str">
        <f>IFERROR(INDEX(Kobo_Import!$A$2:$CZ$301,$A101,Field_Map!$B$13)&amp;"","")</f>
        <v>HH-095</v>
      </c>
      <c r="C101" s="24" t="str">
        <f>IFERROR(INDEX(Kobo_Import!$A$2:$CZ$301,$A101,Field_Map!$B$12)&amp;"","")</f>
        <v>yes</v>
      </c>
      <c r="D101" s="28">
        <f>IF(B101="","",IFERROR(IF(ISNUMBER(INDEX(Kobo_Import!$A$2:$CZ$301,$A101,Field_Map!$B$7)),INDEX(Kobo_Import!$A$2:$CZ$301,$A101,Field_Map!$B$7),DATEVALUE(INDEX(Kobo_Import!$A$2:$CZ$301,$A101,Field_Map!$B$7)&amp;"")),""))</f>
        <v>46039</v>
      </c>
      <c r="E101" s="24" t="str">
        <f>IFERROR(INDEX(Kobo_Import!$A$2:$CZ$301,$A101,Field_Map!$B$11)&amp;"","")</f>
        <v>registration</v>
      </c>
      <c r="F101" s="27">
        <f t="shared" si="4"/>
        <v>46039097</v>
      </c>
      <c r="G101" s="24">
        <f t="shared" si="5"/>
        <v>1</v>
      </c>
      <c r="H101" s="24">
        <f t="shared" si="6"/>
        <v>95</v>
      </c>
      <c r="I101" s="24" t="str">
        <f t="shared" si="7"/>
        <v>HH-095|registration</v>
      </c>
    </row>
    <row r="102" spans="1:9" x14ac:dyDescent="0.3">
      <c r="A102" s="11">
        <v>98</v>
      </c>
      <c r="B102" s="24" t="str">
        <f>IFERROR(INDEX(Kobo_Import!$A$2:$CZ$301,$A102,Field_Map!$B$13)&amp;"","")</f>
        <v>HH-040</v>
      </c>
      <c r="C102" s="24" t="str">
        <f>IFERROR(INDEX(Kobo_Import!$A$2:$CZ$301,$A102,Field_Map!$B$12)&amp;"","")</f>
        <v>yes</v>
      </c>
      <c r="D102" s="28">
        <f>IF(B102="","",IFERROR(IF(ISNUMBER(INDEX(Kobo_Import!$A$2:$CZ$301,$A102,Field_Map!$B$7)),INDEX(Kobo_Import!$A$2:$CZ$301,$A102,Field_Map!$B$7),DATEVALUE(INDEX(Kobo_Import!$A$2:$CZ$301,$A102,Field_Map!$B$7)&amp;"")),""))</f>
        <v>46039</v>
      </c>
      <c r="E102" s="24" t="str">
        <f>IFERROR(INDEX(Kobo_Import!$A$2:$CZ$301,$A102,Field_Map!$B$11)&amp;"","")</f>
        <v>registration</v>
      </c>
      <c r="F102" s="27">
        <f t="shared" si="4"/>
        <v>46039098</v>
      </c>
      <c r="G102" s="24">
        <f t="shared" si="5"/>
        <v>1</v>
      </c>
      <c r="H102" s="24">
        <f t="shared" si="6"/>
        <v>40</v>
      </c>
      <c r="I102" s="24" t="str">
        <f t="shared" si="7"/>
        <v>HH-040|registration</v>
      </c>
    </row>
    <row r="103" spans="1:9" x14ac:dyDescent="0.3">
      <c r="A103" s="11">
        <v>99</v>
      </c>
      <c r="B103" s="24" t="str">
        <f>IFERROR(INDEX(Kobo_Import!$A$2:$CZ$301,$A103,Field_Map!$B$13)&amp;"","")</f>
        <v>HH-069</v>
      </c>
      <c r="C103" s="24" t="str">
        <f>IFERROR(INDEX(Kobo_Import!$A$2:$CZ$301,$A103,Field_Map!$B$12)&amp;"","")</f>
        <v>yes</v>
      </c>
      <c r="D103" s="28">
        <f>IF(B103="","",IFERROR(IF(ISNUMBER(INDEX(Kobo_Import!$A$2:$CZ$301,$A103,Field_Map!$B$7)),INDEX(Kobo_Import!$A$2:$CZ$301,$A103,Field_Map!$B$7),DATEVALUE(INDEX(Kobo_Import!$A$2:$CZ$301,$A103,Field_Map!$B$7)&amp;"")),""))</f>
        <v>46040</v>
      </c>
      <c r="E103" s="24" t="str">
        <f>IFERROR(INDEX(Kobo_Import!$A$2:$CZ$301,$A103,Field_Map!$B$11)&amp;"","")</f>
        <v>reverification</v>
      </c>
      <c r="F103" s="27">
        <f t="shared" si="4"/>
        <v>46040099</v>
      </c>
      <c r="G103" s="24">
        <f t="shared" si="5"/>
        <v>1</v>
      </c>
      <c r="H103" s="24">
        <f t="shared" si="6"/>
        <v>69</v>
      </c>
      <c r="I103" s="24" t="str">
        <f t="shared" si="7"/>
        <v>HH-069|reverification</v>
      </c>
    </row>
    <row r="104" spans="1:9" x14ac:dyDescent="0.3">
      <c r="A104" s="11">
        <v>100</v>
      </c>
      <c r="B104" s="24" t="str">
        <f>IFERROR(INDEX(Kobo_Import!$A$2:$CZ$301,$A104,Field_Map!$B$13)&amp;"","")</f>
        <v>HH-072</v>
      </c>
      <c r="C104" s="24" t="str">
        <f>IFERROR(INDEX(Kobo_Import!$A$2:$CZ$301,$A104,Field_Map!$B$12)&amp;"","")</f>
        <v>yes</v>
      </c>
      <c r="D104" s="28">
        <f>IF(B104="","",IFERROR(IF(ISNUMBER(INDEX(Kobo_Import!$A$2:$CZ$301,$A104,Field_Map!$B$7)),INDEX(Kobo_Import!$A$2:$CZ$301,$A104,Field_Map!$B$7),DATEVALUE(INDEX(Kobo_Import!$A$2:$CZ$301,$A104,Field_Map!$B$7)&amp;"")),""))</f>
        <v>46040</v>
      </c>
      <c r="E104" s="24" t="str">
        <f>IFERROR(INDEX(Kobo_Import!$A$2:$CZ$301,$A104,Field_Map!$B$11)&amp;"","")</f>
        <v>registration</v>
      </c>
      <c r="F104" s="27">
        <f t="shared" si="4"/>
        <v>46040100</v>
      </c>
      <c r="G104" s="24">
        <f t="shared" si="5"/>
        <v>1</v>
      </c>
      <c r="H104" s="24">
        <f t="shared" si="6"/>
        <v>72</v>
      </c>
      <c r="I104" s="24" t="str">
        <f t="shared" si="7"/>
        <v>HH-072|registration</v>
      </c>
    </row>
    <row r="105" spans="1:9" x14ac:dyDescent="0.3">
      <c r="A105" s="11">
        <v>101</v>
      </c>
      <c r="B105" s="24" t="str">
        <f>IFERROR(INDEX(Kobo_Import!$A$2:$CZ$301,$A105,Field_Map!$B$13)&amp;"","")</f>
        <v>HH-011</v>
      </c>
      <c r="C105" s="24" t="str">
        <f>IFERROR(INDEX(Kobo_Import!$A$2:$CZ$301,$A105,Field_Map!$B$12)&amp;"","")</f>
        <v>yes</v>
      </c>
      <c r="D105" s="28">
        <f>IF(B105="","",IFERROR(IF(ISNUMBER(INDEX(Kobo_Import!$A$2:$CZ$301,$A105,Field_Map!$B$7)),INDEX(Kobo_Import!$A$2:$CZ$301,$A105,Field_Map!$B$7),DATEVALUE(INDEX(Kobo_Import!$A$2:$CZ$301,$A105,Field_Map!$B$7)&amp;"")),""))</f>
        <v>46040</v>
      </c>
      <c r="E105" s="24" t="str">
        <f>IFERROR(INDEX(Kobo_Import!$A$2:$CZ$301,$A105,Field_Map!$B$11)&amp;"","")</f>
        <v>reverification</v>
      </c>
      <c r="F105" s="27">
        <f t="shared" si="4"/>
        <v>46040101</v>
      </c>
      <c r="G105" s="24">
        <f t="shared" si="5"/>
        <v>1</v>
      </c>
      <c r="H105" s="24">
        <f t="shared" si="6"/>
        <v>11</v>
      </c>
      <c r="I105" s="24" t="str">
        <f t="shared" si="7"/>
        <v>HH-011|reverification</v>
      </c>
    </row>
    <row r="106" spans="1:9" x14ac:dyDescent="0.3">
      <c r="A106" s="11">
        <v>102</v>
      </c>
      <c r="B106" s="24" t="str">
        <f>IFERROR(INDEX(Kobo_Import!$A$2:$CZ$301,$A106,Field_Map!$B$13)&amp;"","")</f>
        <v>HH-031</v>
      </c>
      <c r="C106" s="24" t="str">
        <f>IFERROR(INDEX(Kobo_Import!$A$2:$CZ$301,$A106,Field_Map!$B$12)&amp;"","")</f>
        <v>yes</v>
      </c>
      <c r="D106" s="28">
        <f>IF(B106="","",IFERROR(IF(ISNUMBER(INDEX(Kobo_Import!$A$2:$CZ$301,$A106,Field_Map!$B$7)),INDEX(Kobo_Import!$A$2:$CZ$301,$A106,Field_Map!$B$7),DATEVALUE(INDEX(Kobo_Import!$A$2:$CZ$301,$A106,Field_Map!$B$7)&amp;"")),""))</f>
        <v>46040</v>
      </c>
      <c r="E106" s="24" t="str">
        <f>IFERROR(INDEX(Kobo_Import!$A$2:$CZ$301,$A106,Field_Map!$B$11)&amp;"","")</f>
        <v>reverification</v>
      </c>
      <c r="F106" s="27">
        <f t="shared" si="4"/>
        <v>46040102</v>
      </c>
      <c r="G106" s="24">
        <f t="shared" si="5"/>
        <v>1</v>
      </c>
      <c r="H106" s="24">
        <f t="shared" si="6"/>
        <v>31</v>
      </c>
      <c r="I106" s="24" t="str">
        <f t="shared" si="7"/>
        <v>HH-031|reverification</v>
      </c>
    </row>
    <row r="107" spans="1:9" x14ac:dyDescent="0.3">
      <c r="A107" s="11">
        <v>103</v>
      </c>
      <c r="B107" s="24" t="str">
        <f>IFERROR(INDEX(Kobo_Import!$A$2:$CZ$301,$A107,Field_Map!$B$13)&amp;"","")</f>
        <v>HH-108</v>
      </c>
      <c r="C107" s="24" t="str">
        <f>IFERROR(INDEX(Kobo_Import!$A$2:$CZ$301,$A107,Field_Map!$B$12)&amp;"","")</f>
        <v>yes</v>
      </c>
      <c r="D107" s="28">
        <f>IF(B107="","",IFERROR(IF(ISNUMBER(INDEX(Kobo_Import!$A$2:$CZ$301,$A107,Field_Map!$B$7)),INDEX(Kobo_Import!$A$2:$CZ$301,$A107,Field_Map!$B$7),DATEVALUE(INDEX(Kobo_Import!$A$2:$CZ$301,$A107,Field_Map!$B$7)&amp;"")),""))</f>
        <v>46041</v>
      </c>
      <c r="E107" s="24" t="str">
        <f>IFERROR(INDEX(Kobo_Import!$A$2:$CZ$301,$A107,Field_Map!$B$11)&amp;"","")</f>
        <v>registration</v>
      </c>
      <c r="F107" s="27">
        <f t="shared" si="4"/>
        <v>46041103</v>
      </c>
      <c r="G107" s="24">
        <f t="shared" si="5"/>
        <v>1</v>
      </c>
      <c r="H107" s="24">
        <f t="shared" si="6"/>
        <v>108</v>
      </c>
      <c r="I107" s="24" t="str">
        <f t="shared" si="7"/>
        <v>HH-108|registration</v>
      </c>
    </row>
    <row r="108" spans="1:9" x14ac:dyDescent="0.3">
      <c r="A108" s="11">
        <v>104</v>
      </c>
      <c r="B108" s="24" t="str">
        <f>IFERROR(INDEX(Kobo_Import!$A$2:$CZ$301,$A108,Field_Map!$B$13)&amp;"","")</f>
        <v>HH-057</v>
      </c>
      <c r="C108" s="24" t="str">
        <f>IFERROR(INDEX(Kobo_Import!$A$2:$CZ$301,$A108,Field_Map!$B$12)&amp;"","")</f>
        <v>yes</v>
      </c>
      <c r="D108" s="28">
        <f>IF(B108="","",IFERROR(IF(ISNUMBER(INDEX(Kobo_Import!$A$2:$CZ$301,$A108,Field_Map!$B$7)),INDEX(Kobo_Import!$A$2:$CZ$301,$A108,Field_Map!$B$7),DATEVALUE(INDEX(Kobo_Import!$A$2:$CZ$301,$A108,Field_Map!$B$7)&amp;"")),""))</f>
        <v>46041</v>
      </c>
      <c r="E108" s="24" t="str">
        <f>IFERROR(INDEX(Kobo_Import!$A$2:$CZ$301,$A108,Field_Map!$B$11)&amp;"","")</f>
        <v>registration</v>
      </c>
      <c r="F108" s="27">
        <f t="shared" si="4"/>
        <v>46041104</v>
      </c>
      <c r="G108" s="24">
        <f t="shared" si="5"/>
        <v>1</v>
      </c>
      <c r="H108" s="24">
        <f t="shared" si="6"/>
        <v>57</v>
      </c>
      <c r="I108" s="24" t="str">
        <f t="shared" si="7"/>
        <v>HH-057|registration</v>
      </c>
    </row>
    <row r="109" spans="1:9" x14ac:dyDescent="0.3">
      <c r="A109" s="11">
        <v>105</v>
      </c>
      <c r="B109" s="24" t="str">
        <f>IFERROR(INDEX(Kobo_Import!$A$2:$CZ$301,$A109,Field_Map!$B$13)&amp;"","")</f>
        <v>HH-071</v>
      </c>
      <c r="C109" s="24" t="str">
        <f>IFERROR(INDEX(Kobo_Import!$A$2:$CZ$301,$A109,Field_Map!$B$12)&amp;"","")</f>
        <v>yes</v>
      </c>
      <c r="D109" s="28">
        <f>IF(B109="","",IFERROR(IF(ISNUMBER(INDEX(Kobo_Import!$A$2:$CZ$301,$A109,Field_Map!$B$7)),INDEX(Kobo_Import!$A$2:$CZ$301,$A109,Field_Map!$B$7),DATEVALUE(INDEX(Kobo_Import!$A$2:$CZ$301,$A109,Field_Map!$B$7)&amp;"")),""))</f>
        <v>46041</v>
      </c>
      <c r="E109" s="24" t="str">
        <f>IFERROR(INDEX(Kobo_Import!$A$2:$CZ$301,$A109,Field_Map!$B$11)&amp;"","")</f>
        <v>registration</v>
      </c>
      <c r="F109" s="27">
        <f t="shared" si="4"/>
        <v>46041105</v>
      </c>
      <c r="G109" s="24">
        <f t="shared" si="5"/>
        <v>1</v>
      </c>
      <c r="H109" s="24">
        <f t="shared" si="6"/>
        <v>71</v>
      </c>
      <c r="I109" s="24" t="str">
        <f t="shared" si="7"/>
        <v>HH-071|registration</v>
      </c>
    </row>
    <row r="110" spans="1:9" x14ac:dyDescent="0.3">
      <c r="A110" s="11">
        <v>106</v>
      </c>
      <c r="B110" s="24" t="str">
        <f>IFERROR(INDEX(Kobo_Import!$A$2:$CZ$301,$A110,Field_Map!$B$13)&amp;"","")</f>
        <v>HH-103</v>
      </c>
      <c r="C110" s="24" t="str">
        <f>IFERROR(INDEX(Kobo_Import!$A$2:$CZ$301,$A110,Field_Map!$B$12)&amp;"","")</f>
        <v>yes</v>
      </c>
      <c r="D110" s="28">
        <f>IF(B110="","",IFERROR(IF(ISNUMBER(INDEX(Kobo_Import!$A$2:$CZ$301,$A110,Field_Map!$B$7)),INDEX(Kobo_Import!$A$2:$CZ$301,$A110,Field_Map!$B$7),DATEVALUE(INDEX(Kobo_Import!$A$2:$CZ$301,$A110,Field_Map!$B$7)&amp;"")),""))</f>
        <v>46041</v>
      </c>
      <c r="E110" s="24" t="str">
        <f>IFERROR(INDEX(Kobo_Import!$A$2:$CZ$301,$A110,Field_Map!$B$11)&amp;"","")</f>
        <v>registration</v>
      </c>
      <c r="F110" s="27">
        <f t="shared" si="4"/>
        <v>46041106</v>
      </c>
      <c r="G110" s="24">
        <f t="shared" si="5"/>
        <v>1</v>
      </c>
      <c r="H110" s="24">
        <f t="shared" si="6"/>
        <v>103</v>
      </c>
      <c r="I110" s="24" t="str">
        <f t="shared" si="7"/>
        <v>HH-103|registration</v>
      </c>
    </row>
    <row r="111" spans="1:9" x14ac:dyDescent="0.3">
      <c r="A111" s="11">
        <v>107</v>
      </c>
      <c r="B111" s="24" t="str">
        <f>IFERROR(INDEX(Kobo_Import!$A$2:$CZ$301,$A111,Field_Map!$B$13)&amp;"","")</f>
        <v>HH-041</v>
      </c>
      <c r="C111" s="24" t="str">
        <f>IFERROR(INDEX(Kobo_Import!$A$2:$CZ$301,$A111,Field_Map!$B$12)&amp;"","")</f>
        <v>yes</v>
      </c>
      <c r="D111" s="28">
        <f>IF(B111="","",IFERROR(IF(ISNUMBER(INDEX(Kobo_Import!$A$2:$CZ$301,$A111,Field_Map!$B$7)),INDEX(Kobo_Import!$A$2:$CZ$301,$A111,Field_Map!$B$7),DATEVALUE(INDEX(Kobo_Import!$A$2:$CZ$301,$A111,Field_Map!$B$7)&amp;"")),""))</f>
        <v>46041</v>
      </c>
      <c r="E111" s="24" t="str">
        <f>IFERROR(INDEX(Kobo_Import!$A$2:$CZ$301,$A111,Field_Map!$B$11)&amp;"","")</f>
        <v>registration</v>
      </c>
      <c r="F111" s="27">
        <f t="shared" si="4"/>
        <v>46041107</v>
      </c>
      <c r="G111" s="24">
        <f t="shared" si="5"/>
        <v>1</v>
      </c>
      <c r="H111" s="24">
        <f t="shared" si="6"/>
        <v>41</v>
      </c>
      <c r="I111" s="24" t="str">
        <f t="shared" si="7"/>
        <v>HH-041|registration</v>
      </c>
    </row>
    <row r="112" spans="1:9" x14ac:dyDescent="0.3">
      <c r="A112" s="11">
        <v>108</v>
      </c>
      <c r="B112" s="24" t="str">
        <f>IFERROR(INDEX(Kobo_Import!$A$2:$CZ$301,$A112,Field_Map!$B$13)&amp;"","")</f>
        <v>HH-100</v>
      </c>
      <c r="C112" s="24" t="str">
        <f>IFERROR(INDEX(Kobo_Import!$A$2:$CZ$301,$A112,Field_Map!$B$12)&amp;"","")</f>
        <v>yes</v>
      </c>
      <c r="D112" s="28">
        <f>IF(B112="","",IFERROR(IF(ISNUMBER(INDEX(Kobo_Import!$A$2:$CZ$301,$A112,Field_Map!$B$7)),INDEX(Kobo_Import!$A$2:$CZ$301,$A112,Field_Map!$B$7),DATEVALUE(INDEX(Kobo_Import!$A$2:$CZ$301,$A112,Field_Map!$B$7)&amp;"")),""))</f>
        <v>46042</v>
      </c>
      <c r="E112" s="24" t="str">
        <f>IFERROR(INDEX(Kobo_Import!$A$2:$CZ$301,$A112,Field_Map!$B$11)&amp;"","")</f>
        <v>reverification</v>
      </c>
      <c r="F112" s="27">
        <f t="shared" si="4"/>
        <v>46042108</v>
      </c>
      <c r="G112" s="24">
        <f t="shared" si="5"/>
        <v>1</v>
      </c>
      <c r="H112" s="24">
        <f t="shared" si="6"/>
        <v>100</v>
      </c>
      <c r="I112" s="24" t="str">
        <f t="shared" si="7"/>
        <v>HH-100|reverification</v>
      </c>
    </row>
    <row r="113" spans="1:9" x14ac:dyDescent="0.3">
      <c r="A113" s="11">
        <v>109</v>
      </c>
      <c r="B113" s="24" t="str">
        <f>IFERROR(INDEX(Kobo_Import!$A$2:$CZ$301,$A113,Field_Map!$B$13)&amp;"","")</f>
        <v>HH-089</v>
      </c>
      <c r="C113" s="24" t="str">
        <f>IFERROR(INDEX(Kobo_Import!$A$2:$CZ$301,$A113,Field_Map!$B$12)&amp;"","")</f>
        <v>yes</v>
      </c>
      <c r="D113" s="28">
        <f>IF(B113="","",IFERROR(IF(ISNUMBER(INDEX(Kobo_Import!$A$2:$CZ$301,$A113,Field_Map!$B$7)),INDEX(Kobo_Import!$A$2:$CZ$301,$A113,Field_Map!$B$7),DATEVALUE(INDEX(Kobo_Import!$A$2:$CZ$301,$A113,Field_Map!$B$7)&amp;"")),""))</f>
        <v>46042</v>
      </c>
      <c r="E113" s="24" t="str">
        <f>IFERROR(INDEX(Kobo_Import!$A$2:$CZ$301,$A113,Field_Map!$B$11)&amp;"","")</f>
        <v>registration</v>
      </c>
      <c r="F113" s="27">
        <f t="shared" si="4"/>
        <v>46042109</v>
      </c>
      <c r="G113" s="24">
        <f t="shared" si="5"/>
        <v>1</v>
      </c>
      <c r="H113" s="24">
        <f t="shared" si="6"/>
        <v>89</v>
      </c>
      <c r="I113" s="24" t="str">
        <f t="shared" si="7"/>
        <v>HH-089|registration</v>
      </c>
    </row>
    <row r="114" spans="1:9" x14ac:dyDescent="0.3">
      <c r="A114" s="11">
        <v>110</v>
      </c>
      <c r="B114" s="24" t="str">
        <f>IFERROR(INDEX(Kobo_Import!$A$2:$CZ$301,$A114,Field_Map!$B$13)&amp;"","")</f>
        <v>HH-064</v>
      </c>
      <c r="C114" s="24" t="str">
        <f>IFERROR(INDEX(Kobo_Import!$A$2:$CZ$301,$A114,Field_Map!$B$12)&amp;"","")</f>
        <v>yes</v>
      </c>
      <c r="D114" s="28">
        <f>IF(B114="","",IFERROR(IF(ISNUMBER(INDEX(Kobo_Import!$A$2:$CZ$301,$A114,Field_Map!$B$7)),INDEX(Kobo_Import!$A$2:$CZ$301,$A114,Field_Map!$B$7),DATEVALUE(INDEX(Kobo_Import!$A$2:$CZ$301,$A114,Field_Map!$B$7)&amp;"")),""))</f>
        <v>46042</v>
      </c>
      <c r="E114" s="24" t="str">
        <f>IFERROR(INDEX(Kobo_Import!$A$2:$CZ$301,$A114,Field_Map!$B$11)&amp;"","")</f>
        <v>registration</v>
      </c>
      <c r="F114" s="27">
        <f t="shared" si="4"/>
        <v>46042110</v>
      </c>
      <c r="G114" s="24">
        <f t="shared" si="5"/>
        <v>1</v>
      </c>
      <c r="H114" s="24">
        <f t="shared" si="6"/>
        <v>64</v>
      </c>
      <c r="I114" s="24" t="str">
        <f t="shared" si="7"/>
        <v>HH-064|registration</v>
      </c>
    </row>
    <row r="115" spans="1:9" x14ac:dyDescent="0.3">
      <c r="A115" s="11">
        <v>111</v>
      </c>
      <c r="B115" s="24" t="str">
        <f>IFERROR(INDEX(Kobo_Import!$A$2:$CZ$301,$A115,Field_Map!$B$13)&amp;"","")</f>
        <v>HH-115</v>
      </c>
      <c r="C115" s="24" t="str">
        <f>IFERROR(INDEX(Kobo_Import!$A$2:$CZ$301,$A115,Field_Map!$B$12)&amp;"","")</f>
        <v>yes</v>
      </c>
      <c r="D115" s="28">
        <f>IF(B115="","",IFERROR(IF(ISNUMBER(INDEX(Kobo_Import!$A$2:$CZ$301,$A115,Field_Map!$B$7)),INDEX(Kobo_Import!$A$2:$CZ$301,$A115,Field_Map!$B$7),DATEVALUE(INDEX(Kobo_Import!$A$2:$CZ$301,$A115,Field_Map!$B$7)&amp;"")),""))</f>
        <v>46042</v>
      </c>
      <c r="E115" s="24" t="str">
        <f>IFERROR(INDEX(Kobo_Import!$A$2:$CZ$301,$A115,Field_Map!$B$11)&amp;"","")</f>
        <v>registration</v>
      </c>
      <c r="F115" s="27">
        <f t="shared" si="4"/>
        <v>46042111</v>
      </c>
      <c r="G115" s="24">
        <f t="shared" si="5"/>
        <v>1</v>
      </c>
      <c r="H115" s="24">
        <f t="shared" si="6"/>
        <v>115</v>
      </c>
      <c r="I115" s="24" t="str">
        <f t="shared" si="7"/>
        <v>HH-115|registration</v>
      </c>
    </row>
    <row r="116" spans="1:9" x14ac:dyDescent="0.3">
      <c r="A116" s="11">
        <v>112</v>
      </c>
      <c r="B116" s="24" t="str">
        <f>IFERROR(INDEX(Kobo_Import!$A$2:$CZ$301,$A116,Field_Map!$B$13)&amp;"","")</f>
        <v>HH-013</v>
      </c>
      <c r="C116" s="24" t="str">
        <f>IFERROR(INDEX(Kobo_Import!$A$2:$CZ$301,$A116,Field_Map!$B$12)&amp;"","")</f>
        <v>yes</v>
      </c>
      <c r="D116" s="28">
        <f>IF(B116="","",IFERROR(IF(ISNUMBER(INDEX(Kobo_Import!$A$2:$CZ$301,$A116,Field_Map!$B$7)),INDEX(Kobo_Import!$A$2:$CZ$301,$A116,Field_Map!$B$7),DATEVALUE(INDEX(Kobo_Import!$A$2:$CZ$301,$A116,Field_Map!$B$7)&amp;"")),""))</f>
        <v>46043</v>
      </c>
      <c r="E116" s="24" t="str">
        <f>IFERROR(INDEX(Kobo_Import!$A$2:$CZ$301,$A116,Field_Map!$B$11)&amp;"","")</f>
        <v>registration</v>
      </c>
      <c r="F116" s="27">
        <f t="shared" si="4"/>
        <v>46043112</v>
      </c>
      <c r="G116" s="24">
        <f t="shared" si="5"/>
        <v>1</v>
      </c>
      <c r="H116" s="24">
        <f t="shared" si="6"/>
        <v>13</v>
      </c>
      <c r="I116" s="24" t="str">
        <f t="shared" si="7"/>
        <v>HH-013|registration</v>
      </c>
    </row>
    <row r="117" spans="1:9" x14ac:dyDescent="0.3">
      <c r="A117" s="11">
        <v>113</v>
      </c>
      <c r="B117" s="24" t="str">
        <f>IFERROR(INDEX(Kobo_Import!$A$2:$CZ$301,$A117,Field_Map!$B$13)&amp;"","")</f>
        <v>HH-048</v>
      </c>
      <c r="C117" s="24" t="str">
        <f>IFERROR(INDEX(Kobo_Import!$A$2:$CZ$301,$A117,Field_Map!$B$12)&amp;"","")</f>
        <v>yes</v>
      </c>
      <c r="D117" s="28">
        <f>IF(B117="","",IFERROR(IF(ISNUMBER(INDEX(Kobo_Import!$A$2:$CZ$301,$A117,Field_Map!$B$7)),INDEX(Kobo_Import!$A$2:$CZ$301,$A117,Field_Map!$B$7),DATEVALUE(INDEX(Kobo_Import!$A$2:$CZ$301,$A117,Field_Map!$B$7)&amp;"")),""))</f>
        <v>46043</v>
      </c>
      <c r="E117" s="24" t="str">
        <f>IFERROR(INDEX(Kobo_Import!$A$2:$CZ$301,$A117,Field_Map!$B$11)&amp;"","")</f>
        <v>reverification</v>
      </c>
      <c r="F117" s="27">
        <f t="shared" si="4"/>
        <v>46043113</v>
      </c>
      <c r="G117" s="24">
        <f t="shared" si="5"/>
        <v>1</v>
      </c>
      <c r="H117" s="24">
        <f t="shared" si="6"/>
        <v>48</v>
      </c>
      <c r="I117" s="24" t="str">
        <f t="shared" si="7"/>
        <v>HH-048|reverification</v>
      </c>
    </row>
    <row r="118" spans="1:9" x14ac:dyDescent="0.3">
      <c r="A118" s="11">
        <v>114</v>
      </c>
      <c r="B118" s="24" t="str">
        <f>IFERROR(INDEX(Kobo_Import!$A$2:$CZ$301,$A118,Field_Map!$B$13)&amp;"","")</f>
        <v/>
      </c>
      <c r="C118" s="24" t="str">
        <f>IFERROR(INDEX(Kobo_Import!$A$2:$CZ$301,$A118,Field_Map!$B$12)&amp;"","")</f>
        <v>no</v>
      </c>
      <c r="D118" s="28" t="str">
        <f>IF(B118="","",IFERROR(IF(ISNUMBER(INDEX(Kobo_Import!$A$2:$CZ$301,$A118,Field_Map!$B$7)),INDEX(Kobo_Import!$A$2:$CZ$301,$A118,Field_Map!$B$7),DATEVALUE(INDEX(Kobo_Import!$A$2:$CZ$301,$A118,Field_Map!$B$7)&amp;"")),""))</f>
        <v/>
      </c>
      <c r="E118" s="24" t="str">
        <f>IFERROR(INDEX(Kobo_Import!$A$2:$CZ$301,$A118,Field_Map!$B$11)&amp;"","")</f>
        <v>registration</v>
      </c>
      <c r="F118" s="27">
        <f t="shared" si="4"/>
        <v>0</v>
      </c>
      <c r="G118" s="24" t="str">
        <f t="shared" si="5"/>
        <v/>
      </c>
      <c r="H118" s="24" t="str">
        <f t="shared" si="6"/>
        <v/>
      </c>
      <c r="I118" s="24" t="str">
        <f t="shared" si="7"/>
        <v/>
      </c>
    </row>
    <row r="119" spans="1:9" x14ac:dyDescent="0.3">
      <c r="A119" s="11">
        <v>115</v>
      </c>
      <c r="B119" s="24" t="str">
        <f>IFERROR(INDEX(Kobo_Import!$A$2:$CZ$301,$A119,Field_Map!$B$13)&amp;"","")</f>
        <v>HH-082</v>
      </c>
      <c r="C119" s="24" t="str">
        <f>IFERROR(INDEX(Kobo_Import!$A$2:$CZ$301,$A119,Field_Map!$B$12)&amp;"","")</f>
        <v>yes</v>
      </c>
      <c r="D119" s="28">
        <f>IF(B119="","",IFERROR(IF(ISNUMBER(INDEX(Kobo_Import!$A$2:$CZ$301,$A119,Field_Map!$B$7)),INDEX(Kobo_Import!$A$2:$CZ$301,$A119,Field_Map!$B$7),DATEVALUE(INDEX(Kobo_Import!$A$2:$CZ$301,$A119,Field_Map!$B$7)&amp;"")),""))</f>
        <v>46044</v>
      </c>
      <c r="E119" s="24" t="str">
        <f>IFERROR(INDEX(Kobo_Import!$A$2:$CZ$301,$A119,Field_Map!$B$11)&amp;"","")</f>
        <v>registration</v>
      </c>
      <c r="F119" s="27">
        <f t="shared" si="4"/>
        <v>46044115</v>
      </c>
      <c r="G119" s="24">
        <f t="shared" si="5"/>
        <v>1</v>
      </c>
      <c r="H119" s="24">
        <f t="shared" si="6"/>
        <v>82</v>
      </c>
      <c r="I119" s="24" t="str">
        <f t="shared" si="7"/>
        <v>HH-082|registration</v>
      </c>
    </row>
    <row r="120" spans="1:9" x14ac:dyDescent="0.3">
      <c r="A120" s="11">
        <v>116</v>
      </c>
      <c r="B120" s="24" t="str">
        <f>IFERROR(INDEX(Kobo_Import!$A$2:$CZ$301,$A120,Field_Map!$B$13)&amp;"","")</f>
        <v>HH-097</v>
      </c>
      <c r="C120" s="24" t="str">
        <f>IFERROR(INDEX(Kobo_Import!$A$2:$CZ$301,$A120,Field_Map!$B$12)&amp;"","")</f>
        <v>yes</v>
      </c>
      <c r="D120" s="28">
        <f>IF(B120="","",IFERROR(IF(ISNUMBER(INDEX(Kobo_Import!$A$2:$CZ$301,$A120,Field_Map!$B$7)),INDEX(Kobo_Import!$A$2:$CZ$301,$A120,Field_Map!$B$7),DATEVALUE(INDEX(Kobo_Import!$A$2:$CZ$301,$A120,Field_Map!$B$7)&amp;"")),""))</f>
        <v>46044</v>
      </c>
      <c r="E120" s="24" t="str">
        <f>IFERROR(INDEX(Kobo_Import!$A$2:$CZ$301,$A120,Field_Map!$B$11)&amp;"","")</f>
        <v>registration</v>
      </c>
      <c r="F120" s="27">
        <f t="shared" si="4"/>
        <v>46044116</v>
      </c>
      <c r="G120" s="24">
        <f t="shared" si="5"/>
        <v>1</v>
      </c>
      <c r="H120" s="24">
        <f t="shared" si="6"/>
        <v>97</v>
      </c>
      <c r="I120" s="24" t="str">
        <f t="shared" si="7"/>
        <v>HH-097|registration</v>
      </c>
    </row>
    <row r="121" spans="1:9" x14ac:dyDescent="0.3">
      <c r="A121" s="11">
        <v>117</v>
      </c>
      <c r="B121" s="24" t="str">
        <f>IFERROR(INDEX(Kobo_Import!$A$2:$CZ$301,$A121,Field_Map!$B$13)&amp;"","")</f>
        <v>HH-022</v>
      </c>
      <c r="C121" s="24" t="str">
        <f>IFERROR(INDEX(Kobo_Import!$A$2:$CZ$301,$A121,Field_Map!$B$12)&amp;"","")</f>
        <v>yes</v>
      </c>
      <c r="D121" s="28">
        <f>IF(B121="","",IFERROR(IF(ISNUMBER(INDEX(Kobo_Import!$A$2:$CZ$301,$A121,Field_Map!$B$7)),INDEX(Kobo_Import!$A$2:$CZ$301,$A121,Field_Map!$B$7),DATEVALUE(INDEX(Kobo_Import!$A$2:$CZ$301,$A121,Field_Map!$B$7)&amp;"")),""))</f>
        <v>46044</v>
      </c>
      <c r="E121" s="24" t="str">
        <f>IFERROR(INDEX(Kobo_Import!$A$2:$CZ$301,$A121,Field_Map!$B$11)&amp;"","")</f>
        <v>registration</v>
      </c>
      <c r="F121" s="27">
        <f t="shared" si="4"/>
        <v>46044117</v>
      </c>
      <c r="G121" s="24">
        <f t="shared" si="5"/>
        <v>1</v>
      </c>
      <c r="H121" s="24">
        <f t="shared" si="6"/>
        <v>22</v>
      </c>
      <c r="I121" s="24" t="str">
        <f t="shared" si="7"/>
        <v>HH-022|registration</v>
      </c>
    </row>
    <row r="122" spans="1:9" x14ac:dyDescent="0.3">
      <c r="A122" s="11">
        <v>118</v>
      </c>
      <c r="B122" s="24" t="str">
        <f>IFERROR(INDEX(Kobo_Import!$A$2:$CZ$301,$A122,Field_Map!$B$13)&amp;"","")</f>
        <v>HH-028</v>
      </c>
      <c r="C122" s="24" t="str">
        <f>IFERROR(INDEX(Kobo_Import!$A$2:$CZ$301,$A122,Field_Map!$B$12)&amp;"","")</f>
        <v>yes</v>
      </c>
      <c r="D122" s="28">
        <f>IF(B122="","",IFERROR(IF(ISNUMBER(INDEX(Kobo_Import!$A$2:$CZ$301,$A122,Field_Map!$B$7)),INDEX(Kobo_Import!$A$2:$CZ$301,$A122,Field_Map!$B$7),DATEVALUE(INDEX(Kobo_Import!$A$2:$CZ$301,$A122,Field_Map!$B$7)&amp;"")),""))</f>
        <v>46044</v>
      </c>
      <c r="E122" s="24" t="str">
        <f>IFERROR(INDEX(Kobo_Import!$A$2:$CZ$301,$A122,Field_Map!$B$11)&amp;"","")</f>
        <v>registration</v>
      </c>
      <c r="F122" s="27">
        <f t="shared" si="4"/>
        <v>46044118</v>
      </c>
      <c r="G122" s="24">
        <f t="shared" si="5"/>
        <v>1</v>
      </c>
      <c r="H122" s="24">
        <f t="shared" si="6"/>
        <v>28</v>
      </c>
      <c r="I122" s="24" t="str">
        <f t="shared" si="7"/>
        <v>HH-028|registration</v>
      </c>
    </row>
    <row r="123" spans="1:9" x14ac:dyDescent="0.3">
      <c r="A123" s="11">
        <v>119</v>
      </c>
      <c r="B123" s="24" t="str">
        <f>IFERROR(INDEX(Kobo_Import!$A$2:$CZ$301,$A123,Field_Map!$B$13)&amp;"","")</f>
        <v>HH-083</v>
      </c>
      <c r="C123" s="24" t="str">
        <f>IFERROR(INDEX(Kobo_Import!$A$2:$CZ$301,$A123,Field_Map!$B$12)&amp;"","")</f>
        <v>yes</v>
      </c>
      <c r="D123" s="28">
        <f>IF(B123="","",IFERROR(IF(ISNUMBER(INDEX(Kobo_Import!$A$2:$CZ$301,$A123,Field_Map!$B$7)),INDEX(Kobo_Import!$A$2:$CZ$301,$A123,Field_Map!$B$7),DATEVALUE(INDEX(Kobo_Import!$A$2:$CZ$301,$A123,Field_Map!$B$7)&amp;"")),""))</f>
        <v>46045</v>
      </c>
      <c r="E123" s="24" t="str">
        <f>IFERROR(INDEX(Kobo_Import!$A$2:$CZ$301,$A123,Field_Map!$B$11)&amp;"","")</f>
        <v>registration</v>
      </c>
      <c r="F123" s="27">
        <f t="shared" si="4"/>
        <v>46045119</v>
      </c>
      <c r="G123" s="24">
        <f t="shared" si="5"/>
        <v>1</v>
      </c>
      <c r="H123" s="24">
        <f t="shared" si="6"/>
        <v>83</v>
      </c>
      <c r="I123" s="24" t="str">
        <f t="shared" si="7"/>
        <v>HH-083|registration</v>
      </c>
    </row>
    <row r="124" spans="1:9" x14ac:dyDescent="0.3">
      <c r="A124" s="11">
        <v>120</v>
      </c>
      <c r="B124" s="24" t="str">
        <f>IFERROR(INDEX(Kobo_Import!$A$2:$CZ$301,$A124,Field_Map!$B$13)&amp;"","")</f>
        <v>HH-112</v>
      </c>
      <c r="C124" s="24" t="str">
        <f>IFERROR(INDEX(Kobo_Import!$A$2:$CZ$301,$A124,Field_Map!$B$12)&amp;"","")</f>
        <v>yes</v>
      </c>
      <c r="D124" s="28">
        <f>IF(B124="","",IFERROR(IF(ISNUMBER(INDEX(Kobo_Import!$A$2:$CZ$301,$A124,Field_Map!$B$7)),INDEX(Kobo_Import!$A$2:$CZ$301,$A124,Field_Map!$B$7),DATEVALUE(INDEX(Kobo_Import!$A$2:$CZ$301,$A124,Field_Map!$B$7)&amp;"")),""))</f>
        <v>46045</v>
      </c>
      <c r="E124" s="24" t="str">
        <f>IFERROR(INDEX(Kobo_Import!$A$2:$CZ$301,$A124,Field_Map!$B$11)&amp;"","")</f>
        <v>registration</v>
      </c>
      <c r="F124" s="27">
        <f t="shared" si="4"/>
        <v>46045120</v>
      </c>
      <c r="G124" s="24">
        <f t="shared" si="5"/>
        <v>1</v>
      </c>
      <c r="H124" s="24">
        <f t="shared" si="6"/>
        <v>112</v>
      </c>
      <c r="I124" s="24" t="str">
        <f t="shared" si="7"/>
        <v>HH-112|registration</v>
      </c>
    </row>
    <row r="125" spans="1:9" x14ac:dyDescent="0.3">
      <c r="A125" s="11">
        <v>121</v>
      </c>
      <c r="B125" s="24" t="str">
        <f>IFERROR(INDEX(Kobo_Import!$A$2:$CZ$301,$A125,Field_Map!$B$13)&amp;"","")</f>
        <v>HH-093</v>
      </c>
      <c r="C125" s="24" t="str">
        <f>IFERROR(INDEX(Kobo_Import!$A$2:$CZ$301,$A125,Field_Map!$B$12)&amp;"","")</f>
        <v>yes</v>
      </c>
      <c r="D125" s="28">
        <f>IF(B125="","",IFERROR(IF(ISNUMBER(INDEX(Kobo_Import!$A$2:$CZ$301,$A125,Field_Map!$B$7)),INDEX(Kobo_Import!$A$2:$CZ$301,$A125,Field_Map!$B$7),DATEVALUE(INDEX(Kobo_Import!$A$2:$CZ$301,$A125,Field_Map!$B$7)&amp;"")),""))</f>
        <v>46045</v>
      </c>
      <c r="E125" s="24" t="str">
        <f>IFERROR(INDEX(Kobo_Import!$A$2:$CZ$301,$A125,Field_Map!$B$11)&amp;"","")</f>
        <v>registration</v>
      </c>
      <c r="F125" s="27">
        <f t="shared" si="4"/>
        <v>46045121</v>
      </c>
      <c r="G125" s="24">
        <f t="shared" si="5"/>
        <v>1</v>
      </c>
      <c r="H125" s="24">
        <f t="shared" si="6"/>
        <v>93</v>
      </c>
      <c r="I125" s="24" t="str">
        <f t="shared" si="7"/>
        <v>HH-093|registration</v>
      </c>
    </row>
    <row r="126" spans="1:9" x14ac:dyDescent="0.3">
      <c r="A126" s="11">
        <v>122</v>
      </c>
      <c r="B126" s="24" t="str">
        <f>IFERROR(INDEX(Kobo_Import!$A$2:$CZ$301,$A126,Field_Map!$B$13)&amp;"","")</f>
        <v>HH-037</v>
      </c>
      <c r="C126" s="24" t="str">
        <f>IFERROR(INDEX(Kobo_Import!$A$2:$CZ$301,$A126,Field_Map!$B$12)&amp;"","")</f>
        <v>yes</v>
      </c>
      <c r="D126" s="28">
        <f>IF(B126="","",IFERROR(IF(ISNUMBER(INDEX(Kobo_Import!$A$2:$CZ$301,$A126,Field_Map!$B$7)),INDEX(Kobo_Import!$A$2:$CZ$301,$A126,Field_Map!$B$7),DATEVALUE(INDEX(Kobo_Import!$A$2:$CZ$301,$A126,Field_Map!$B$7)&amp;"")),""))</f>
        <v>46045</v>
      </c>
      <c r="E126" s="24" t="str">
        <f>IFERROR(INDEX(Kobo_Import!$A$2:$CZ$301,$A126,Field_Map!$B$11)&amp;"","")</f>
        <v>reverification</v>
      </c>
      <c r="F126" s="27">
        <f t="shared" si="4"/>
        <v>46045122</v>
      </c>
      <c r="G126" s="24">
        <f t="shared" si="5"/>
        <v>1</v>
      </c>
      <c r="H126" s="24">
        <f t="shared" si="6"/>
        <v>37</v>
      </c>
      <c r="I126" s="24" t="str">
        <f t="shared" si="7"/>
        <v>HH-037|reverification</v>
      </c>
    </row>
    <row r="127" spans="1:9" x14ac:dyDescent="0.3">
      <c r="A127" s="11">
        <v>123</v>
      </c>
      <c r="B127" s="24" t="str">
        <f>IFERROR(INDEX(Kobo_Import!$A$2:$CZ$301,$A127,Field_Map!$B$13)&amp;"","")</f>
        <v>HH-059</v>
      </c>
      <c r="C127" s="24" t="str">
        <f>IFERROR(INDEX(Kobo_Import!$A$2:$CZ$301,$A127,Field_Map!$B$12)&amp;"","")</f>
        <v>yes</v>
      </c>
      <c r="D127" s="28">
        <f>IF(B127="","",IFERROR(IF(ISNUMBER(INDEX(Kobo_Import!$A$2:$CZ$301,$A127,Field_Map!$B$7)),INDEX(Kobo_Import!$A$2:$CZ$301,$A127,Field_Map!$B$7),DATEVALUE(INDEX(Kobo_Import!$A$2:$CZ$301,$A127,Field_Map!$B$7)&amp;"")),""))</f>
        <v>46045</v>
      </c>
      <c r="E127" s="24" t="str">
        <f>IFERROR(INDEX(Kobo_Import!$A$2:$CZ$301,$A127,Field_Map!$B$11)&amp;"","")</f>
        <v>reverification</v>
      </c>
      <c r="F127" s="27">
        <f t="shared" si="4"/>
        <v>46045123</v>
      </c>
      <c r="G127" s="24">
        <f t="shared" si="5"/>
        <v>1</v>
      </c>
      <c r="H127" s="24">
        <f t="shared" si="6"/>
        <v>59</v>
      </c>
      <c r="I127" s="24" t="str">
        <f t="shared" si="7"/>
        <v>HH-059|reverification</v>
      </c>
    </row>
    <row r="128" spans="1:9" x14ac:dyDescent="0.3">
      <c r="A128" s="11">
        <v>124</v>
      </c>
      <c r="B128" s="24" t="str">
        <f>IFERROR(INDEX(Kobo_Import!$A$2:$CZ$301,$A128,Field_Map!$B$13)&amp;"","")</f>
        <v>HH-005</v>
      </c>
      <c r="C128" s="24" t="str">
        <f>IFERROR(INDEX(Kobo_Import!$A$2:$CZ$301,$A128,Field_Map!$B$12)&amp;"","")</f>
        <v>yes</v>
      </c>
      <c r="D128" s="28">
        <f>IF(B128="","",IFERROR(IF(ISNUMBER(INDEX(Kobo_Import!$A$2:$CZ$301,$A128,Field_Map!$B$7)),INDEX(Kobo_Import!$A$2:$CZ$301,$A128,Field_Map!$B$7),DATEVALUE(INDEX(Kobo_Import!$A$2:$CZ$301,$A128,Field_Map!$B$7)&amp;"")),""))</f>
        <v>46045</v>
      </c>
      <c r="E128" s="24" t="str">
        <f>IFERROR(INDEX(Kobo_Import!$A$2:$CZ$301,$A128,Field_Map!$B$11)&amp;"","")</f>
        <v>reverification</v>
      </c>
      <c r="F128" s="27">
        <f t="shared" si="4"/>
        <v>46045124</v>
      </c>
      <c r="G128" s="24">
        <f t="shared" si="5"/>
        <v>1</v>
      </c>
      <c r="H128" s="24">
        <f t="shared" si="6"/>
        <v>5</v>
      </c>
      <c r="I128" s="24" t="str">
        <f t="shared" si="7"/>
        <v>HH-005|reverification</v>
      </c>
    </row>
    <row r="129" spans="1:9" x14ac:dyDescent="0.3">
      <c r="A129" s="11">
        <v>125</v>
      </c>
      <c r="B129" s="24" t="str">
        <f>IFERROR(INDEX(Kobo_Import!$A$2:$CZ$301,$A129,Field_Map!$B$13)&amp;"","")</f>
        <v>HH-119</v>
      </c>
      <c r="C129" s="24" t="str">
        <f>IFERROR(INDEX(Kobo_Import!$A$2:$CZ$301,$A129,Field_Map!$B$12)&amp;"","")</f>
        <v>yes</v>
      </c>
      <c r="D129" s="28">
        <f>IF(B129="","",IFERROR(IF(ISNUMBER(INDEX(Kobo_Import!$A$2:$CZ$301,$A129,Field_Map!$B$7)),INDEX(Kobo_Import!$A$2:$CZ$301,$A129,Field_Map!$B$7),DATEVALUE(INDEX(Kobo_Import!$A$2:$CZ$301,$A129,Field_Map!$B$7)&amp;"")),""))</f>
        <v>46045</v>
      </c>
      <c r="E129" s="24" t="str">
        <f>IFERROR(INDEX(Kobo_Import!$A$2:$CZ$301,$A129,Field_Map!$B$11)&amp;"","")</f>
        <v>registration</v>
      </c>
      <c r="F129" s="27">
        <f t="shared" si="4"/>
        <v>46045125</v>
      </c>
      <c r="G129" s="24">
        <f t="shared" si="5"/>
        <v>1</v>
      </c>
      <c r="H129" s="24">
        <f t="shared" si="6"/>
        <v>119</v>
      </c>
      <c r="I129" s="24" t="str">
        <f t="shared" si="7"/>
        <v>HH-119|registration</v>
      </c>
    </row>
    <row r="130" spans="1:9" x14ac:dyDescent="0.3">
      <c r="A130" s="11">
        <v>126</v>
      </c>
      <c r="B130" s="24" t="str">
        <f>IFERROR(INDEX(Kobo_Import!$A$2:$CZ$301,$A130,Field_Map!$B$13)&amp;"","")</f>
        <v>HH-043</v>
      </c>
      <c r="C130" s="24" t="str">
        <f>IFERROR(INDEX(Kobo_Import!$A$2:$CZ$301,$A130,Field_Map!$B$12)&amp;"","")</f>
        <v>yes</v>
      </c>
      <c r="D130" s="28">
        <f>IF(B130="","",IFERROR(IF(ISNUMBER(INDEX(Kobo_Import!$A$2:$CZ$301,$A130,Field_Map!$B$7)),INDEX(Kobo_Import!$A$2:$CZ$301,$A130,Field_Map!$B$7),DATEVALUE(INDEX(Kobo_Import!$A$2:$CZ$301,$A130,Field_Map!$B$7)&amp;"")),""))</f>
        <v>46045</v>
      </c>
      <c r="E130" s="24" t="str">
        <f>IFERROR(INDEX(Kobo_Import!$A$2:$CZ$301,$A130,Field_Map!$B$11)&amp;"","")</f>
        <v>registration</v>
      </c>
      <c r="F130" s="27">
        <f t="shared" si="4"/>
        <v>46045126</v>
      </c>
      <c r="G130" s="24">
        <f t="shared" si="5"/>
        <v>1</v>
      </c>
      <c r="H130" s="24">
        <f t="shared" si="6"/>
        <v>43</v>
      </c>
      <c r="I130" s="24" t="str">
        <f t="shared" si="7"/>
        <v>HH-043|registration</v>
      </c>
    </row>
    <row r="131" spans="1:9" x14ac:dyDescent="0.3">
      <c r="A131" s="11">
        <v>127</v>
      </c>
      <c r="B131" s="24" t="str">
        <f>IFERROR(INDEX(Kobo_Import!$A$2:$CZ$301,$A131,Field_Map!$B$13)&amp;"","")</f>
        <v>HH-006</v>
      </c>
      <c r="C131" s="24" t="str">
        <f>IFERROR(INDEX(Kobo_Import!$A$2:$CZ$301,$A131,Field_Map!$B$12)&amp;"","")</f>
        <v>yes</v>
      </c>
      <c r="D131" s="28">
        <f>IF(B131="","",IFERROR(IF(ISNUMBER(INDEX(Kobo_Import!$A$2:$CZ$301,$A131,Field_Map!$B$7)),INDEX(Kobo_Import!$A$2:$CZ$301,$A131,Field_Map!$B$7),DATEVALUE(INDEX(Kobo_Import!$A$2:$CZ$301,$A131,Field_Map!$B$7)&amp;"")),""))</f>
        <v>46046</v>
      </c>
      <c r="E131" s="24" t="str">
        <f>IFERROR(INDEX(Kobo_Import!$A$2:$CZ$301,$A131,Field_Map!$B$11)&amp;"","")</f>
        <v>registration</v>
      </c>
      <c r="F131" s="27">
        <f t="shared" si="4"/>
        <v>46046127</v>
      </c>
      <c r="G131" s="24">
        <f t="shared" si="5"/>
        <v>1</v>
      </c>
      <c r="H131" s="24">
        <f t="shared" si="6"/>
        <v>6</v>
      </c>
      <c r="I131" s="24" t="str">
        <f t="shared" si="7"/>
        <v>HH-006|registration</v>
      </c>
    </row>
    <row r="132" spans="1:9" x14ac:dyDescent="0.3">
      <c r="A132" s="11">
        <v>128</v>
      </c>
      <c r="B132" s="24" t="str">
        <f>IFERROR(INDEX(Kobo_Import!$A$2:$CZ$301,$A132,Field_Map!$B$13)&amp;"","")</f>
        <v>HH-117</v>
      </c>
      <c r="C132" s="24" t="str">
        <f>IFERROR(INDEX(Kobo_Import!$A$2:$CZ$301,$A132,Field_Map!$B$12)&amp;"","")</f>
        <v>yes</v>
      </c>
      <c r="D132" s="28">
        <f>IF(B132="","",IFERROR(IF(ISNUMBER(INDEX(Kobo_Import!$A$2:$CZ$301,$A132,Field_Map!$B$7)),INDEX(Kobo_Import!$A$2:$CZ$301,$A132,Field_Map!$B$7),DATEVALUE(INDEX(Kobo_Import!$A$2:$CZ$301,$A132,Field_Map!$B$7)&amp;"")),""))</f>
        <v>46046</v>
      </c>
      <c r="E132" s="24" t="str">
        <f>IFERROR(INDEX(Kobo_Import!$A$2:$CZ$301,$A132,Field_Map!$B$11)&amp;"","")</f>
        <v>reverification</v>
      </c>
      <c r="F132" s="27">
        <f t="shared" si="4"/>
        <v>46046128</v>
      </c>
      <c r="G132" s="24">
        <f t="shared" si="5"/>
        <v>1</v>
      </c>
      <c r="H132" s="24">
        <f t="shared" si="6"/>
        <v>117</v>
      </c>
      <c r="I132" s="24" t="str">
        <f t="shared" si="7"/>
        <v>HH-117|reverification</v>
      </c>
    </row>
    <row r="133" spans="1:9" x14ac:dyDescent="0.3">
      <c r="A133" s="11">
        <v>129</v>
      </c>
      <c r="B133" s="24" t="str">
        <f>IFERROR(INDEX(Kobo_Import!$A$2:$CZ$301,$A133,Field_Map!$B$13)&amp;"","")</f>
        <v>HH-114</v>
      </c>
      <c r="C133" s="24" t="str">
        <f>IFERROR(INDEX(Kobo_Import!$A$2:$CZ$301,$A133,Field_Map!$B$12)&amp;"","")</f>
        <v>yes</v>
      </c>
      <c r="D133" s="28">
        <f>IF(B133="","",IFERROR(IF(ISNUMBER(INDEX(Kobo_Import!$A$2:$CZ$301,$A133,Field_Map!$B$7)),INDEX(Kobo_Import!$A$2:$CZ$301,$A133,Field_Map!$B$7),DATEVALUE(INDEX(Kobo_Import!$A$2:$CZ$301,$A133,Field_Map!$B$7)&amp;"")),""))</f>
        <v>46046</v>
      </c>
      <c r="E133" s="24" t="str">
        <f>IFERROR(INDEX(Kobo_Import!$A$2:$CZ$301,$A133,Field_Map!$B$11)&amp;"","")</f>
        <v>registration</v>
      </c>
      <c r="F133" s="27">
        <f t="shared" ref="F133:F196" si="8">IF(OR(B133="",C133&lt;&gt;"yes",D133=""),0,D133*1000+A133)</f>
        <v>46046129</v>
      </c>
      <c r="G133" s="24">
        <f t="shared" ref="G133:G196" si="9">IF(F133=0,"",IF(F133=SUMPRODUCT(MAX(($B$5:$B$304=B133)*$F$5:$F$304)),1,0))</f>
        <v>1</v>
      </c>
      <c r="H133" s="24">
        <f t="shared" ref="H133:H196" si="10">IF(G133=1,COUNTIFS($B$5:$B$304,"&lt;"&amp;B133,$G$5:$G$304,1)+1,"")</f>
        <v>114</v>
      </c>
      <c r="I133" s="24" t="str">
        <f t="shared" ref="I133:I196" si="11">IF(B133="","",B133&amp;"|"&amp;E133)</f>
        <v>HH-114|registration</v>
      </c>
    </row>
    <row r="134" spans="1:9" x14ac:dyDescent="0.3">
      <c r="A134" s="11">
        <v>130</v>
      </c>
      <c r="B134" s="24" t="str">
        <f>IFERROR(INDEX(Kobo_Import!$A$2:$CZ$301,$A134,Field_Map!$B$13)&amp;"","")</f>
        <v>HH-106</v>
      </c>
      <c r="C134" s="24" t="str">
        <f>IFERROR(INDEX(Kobo_Import!$A$2:$CZ$301,$A134,Field_Map!$B$12)&amp;"","")</f>
        <v>yes</v>
      </c>
      <c r="D134" s="28">
        <f>IF(B134="","",IFERROR(IF(ISNUMBER(INDEX(Kobo_Import!$A$2:$CZ$301,$A134,Field_Map!$B$7)),INDEX(Kobo_Import!$A$2:$CZ$301,$A134,Field_Map!$B$7),DATEVALUE(INDEX(Kobo_Import!$A$2:$CZ$301,$A134,Field_Map!$B$7)&amp;"")),""))</f>
        <v>46046</v>
      </c>
      <c r="E134" s="24" t="str">
        <f>IFERROR(INDEX(Kobo_Import!$A$2:$CZ$301,$A134,Field_Map!$B$11)&amp;"","")</f>
        <v>registration</v>
      </c>
      <c r="F134" s="27">
        <f t="shared" si="8"/>
        <v>46046130</v>
      </c>
      <c r="G134" s="24">
        <f t="shared" si="9"/>
        <v>1</v>
      </c>
      <c r="H134" s="24">
        <f t="shared" si="10"/>
        <v>106</v>
      </c>
      <c r="I134" s="24" t="str">
        <f t="shared" si="11"/>
        <v>HH-106|registration</v>
      </c>
    </row>
    <row r="135" spans="1:9" x14ac:dyDescent="0.3">
      <c r="A135" s="11">
        <v>131</v>
      </c>
      <c r="B135" s="24" t="str">
        <f>IFERROR(INDEX(Kobo_Import!$A$2:$CZ$301,$A135,Field_Map!$B$13)&amp;"","")</f>
        <v>HH-052</v>
      </c>
      <c r="C135" s="24" t="str">
        <f>IFERROR(INDEX(Kobo_Import!$A$2:$CZ$301,$A135,Field_Map!$B$12)&amp;"","")</f>
        <v>yes</v>
      </c>
      <c r="D135" s="28">
        <f>IF(B135="","",IFERROR(IF(ISNUMBER(INDEX(Kobo_Import!$A$2:$CZ$301,$A135,Field_Map!$B$7)),INDEX(Kobo_Import!$A$2:$CZ$301,$A135,Field_Map!$B$7),DATEVALUE(INDEX(Kobo_Import!$A$2:$CZ$301,$A135,Field_Map!$B$7)&amp;"")),""))</f>
        <v>46047</v>
      </c>
      <c r="E135" s="24" t="str">
        <f>IFERROR(INDEX(Kobo_Import!$A$2:$CZ$301,$A135,Field_Map!$B$11)&amp;"","")</f>
        <v>registration</v>
      </c>
      <c r="F135" s="27">
        <f t="shared" si="8"/>
        <v>46047131</v>
      </c>
      <c r="G135" s="24">
        <f t="shared" si="9"/>
        <v>1</v>
      </c>
      <c r="H135" s="24">
        <f t="shared" si="10"/>
        <v>52</v>
      </c>
      <c r="I135" s="24" t="str">
        <f t="shared" si="11"/>
        <v>HH-052|registration</v>
      </c>
    </row>
    <row r="136" spans="1:9" x14ac:dyDescent="0.3">
      <c r="A136" s="11">
        <v>132</v>
      </c>
      <c r="B136" s="24" t="str">
        <f>IFERROR(INDEX(Kobo_Import!$A$2:$CZ$301,$A136,Field_Map!$B$13)&amp;"","")</f>
        <v>HH-113</v>
      </c>
      <c r="C136" s="24" t="str">
        <f>IFERROR(INDEX(Kobo_Import!$A$2:$CZ$301,$A136,Field_Map!$B$12)&amp;"","")</f>
        <v>yes</v>
      </c>
      <c r="D136" s="28">
        <f>IF(B136="","",IFERROR(IF(ISNUMBER(INDEX(Kobo_Import!$A$2:$CZ$301,$A136,Field_Map!$B$7)),INDEX(Kobo_Import!$A$2:$CZ$301,$A136,Field_Map!$B$7),DATEVALUE(INDEX(Kobo_Import!$A$2:$CZ$301,$A136,Field_Map!$B$7)&amp;"")),""))</f>
        <v>46047</v>
      </c>
      <c r="E136" s="24" t="str">
        <f>IFERROR(INDEX(Kobo_Import!$A$2:$CZ$301,$A136,Field_Map!$B$11)&amp;"","")</f>
        <v>registration</v>
      </c>
      <c r="F136" s="27">
        <f t="shared" si="8"/>
        <v>46047132</v>
      </c>
      <c r="G136" s="24">
        <f t="shared" si="9"/>
        <v>1</v>
      </c>
      <c r="H136" s="24">
        <f t="shared" si="10"/>
        <v>113</v>
      </c>
      <c r="I136" s="24" t="str">
        <f t="shared" si="11"/>
        <v>HH-113|registration</v>
      </c>
    </row>
    <row r="137" spans="1:9" x14ac:dyDescent="0.3">
      <c r="A137" s="11">
        <v>133</v>
      </c>
      <c r="B137" s="24" t="str">
        <f>IFERROR(INDEX(Kobo_Import!$A$2:$CZ$301,$A137,Field_Map!$B$13)&amp;"","")</f>
        <v>HH-015</v>
      </c>
      <c r="C137" s="24" t="str">
        <f>IFERROR(INDEX(Kobo_Import!$A$2:$CZ$301,$A137,Field_Map!$B$12)&amp;"","")</f>
        <v>yes</v>
      </c>
      <c r="D137" s="28">
        <f>IF(B137="","",IFERROR(IF(ISNUMBER(INDEX(Kobo_Import!$A$2:$CZ$301,$A137,Field_Map!$B$7)),INDEX(Kobo_Import!$A$2:$CZ$301,$A137,Field_Map!$B$7),DATEVALUE(INDEX(Kobo_Import!$A$2:$CZ$301,$A137,Field_Map!$B$7)&amp;"")),""))</f>
        <v>46048</v>
      </c>
      <c r="E137" s="24" t="str">
        <f>IFERROR(INDEX(Kobo_Import!$A$2:$CZ$301,$A137,Field_Map!$B$11)&amp;"","")</f>
        <v>registration</v>
      </c>
      <c r="F137" s="27">
        <f t="shared" si="8"/>
        <v>46048133</v>
      </c>
      <c r="G137" s="24">
        <f t="shared" si="9"/>
        <v>1</v>
      </c>
      <c r="H137" s="24">
        <f t="shared" si="10"/>
        <v>15</v>
      </c>
      <c r="I137" s="24" t="str">
        <f t="shared" si="11"/>
        <v>HH-015|registration</v>
      </c>
    </row>
    <row r="138" spans="1:9" x14ac:dyDescent="0.3">
      <c r="A138" s="11">
        <v>134</v>
      </c>
      <c r="B138" s="24" t="str">
        <f>IFERROR(INDEX(Kobo_Import!$A$2:$CZ$301,$A138,Field_Map!$B$13)&amp;"","")</f>
        <v>HH-078</v>
      </c>
      <c r="C138" s="24" t="str">
        <f>IFERROR(INDEX(Kobo_Import!$A$2:$CZ$301,$A138,Field_Map!$B$12)&amp;"","")</f>
        <v>yes</v>
      </c>
      <c r="D138" s="28">
        <f>IF(B138="","",IFERROR(IF(ISNUMBER(INDEX(Kobo_Import!$A$2:$CZ$301,$A138,Field_Map!$B$7)),INDEX(Kobo_Import!$A$2:$CZ$301,$A138,Field_Map!$B$7),DATEVALUE(INDEX(Kobo_Import!$A$2:$CZ$301,$A138,Field_Map!$B$7)&amp;"")),""))</f>
        <v>46048</v>
      </c>
      <c r="E138" s="24" t="str">
        <f>IFERROR(INDEX(Kobo_Import!$A$2:$CZ$301,$A138,Field_Map!$B$11)&amp;"","")</f>
        <v>reverification</v>
      </c>
      <c r="F138" s="27">
        <f t="shared" si="8"/>
        <v>46048134</v>
      </c>
      <c r="G138" s="24">
        <f t="shared" si="9"/>
        <v>1</v>
      </c>
      <c r="H138" s="24">
        <f t="shared" si="10"/>
        <v>78</v>
      </c>
      <c r="I138" s="24" t="str">
        <f t="shared" si="11"/>
        <v>HH-078|reverification</v>
      </c>
    </row>
    <row r="139" spans="1:9" x14ac:dyDescent="0.3">
      <c r="A139" s="11">
        <v>135</v>
      </c>
      <c r="B139" s="24" t="str">
        <f>IFERROR(INDEX(Kobo_Import!$A$2:$CZ$301,$A139,Field_Map!$B$13)&amp;"","")</f>
        <v>HH-118</v>
      </c>
      <c r="C139" s="24" t="str">
        <f>IFERROR(INDEX(Kobo_Import!$A$2:$CZ$301,$A139,Field_Map!$B$12)&amp;"","")</f>
        <v>yes</v>
      </c>
      <c r="D139" s="28">
        <f>IF(B139="","",IFERROR(IF(ISNUMBER(INDEX(Kobo_Import!$A$2:$CZ$301,$A139,Field_Map!$B$7)),INDEX(Kobo_Import!$A$2:$CZ$301,$A139,Field_Map!$B$7),DATEVALUE(INDEX(Kobo_Import!$A$2:$CZ$301,$A139,Field_Map!$B$7)&amp;"")),""))</f>
        <v>46048</v>
      </c>
      <c r="E139" s="24" t="str">
        <f>IFERROR(INDEX(Kobo_Import!$A$2:$CZ$301,$A139,Field_Map!$B$11)&amp;"","")</f>
        <v>registration</v>
      </c>
      <c r="F139" s="27">
        <f t="shared" si="8"/>
        <v>46048135</v>
      </c>
      <c r="G139" s="24">
        <f t="shared" si="9"/>
        <v>1</v>
      </c>
      <c r="H139" s="24">
        <f t="shared" si="10"/>
        <v>118</v>
      </c>
      <c r="I139" s="24" t="str">
        <f t="shared" si="11"/>
        <v>HH-118|registration</v>
      </c>
    </row>
    <row r="140" spans="1:9" x14ac:dyDescent="0.3">
      <c r="A140" s="11">
        <v>136</v>
      </c>
      <c r="B140" s="24" t="str">
        <f>IFERROR(INDEX(Kobo_Import!$A$2:$CZ$301,$A140,Field_Map!$B$13)&amp;"","")</f>
        <v>HH-026</v>
      </c>
      <c r="C140" s="24" t="str">
        <f>IFERROR(INDEX(Kobo_Import!$A$2:$CZ$301,$A140,Field_Map!$B$12)&amp;"","")</f>
        <v>yes</v>
      </c>
      <c r="D140" s="28">
        <f>IF(B140="","",IFERROR(IF(ISNUMBER(INDEX(Kobo_Import!$A$2:$CZ$301,$A140,Field_Map!$B$7)),INDEX(Kobo_Import!$A$2:$CZ$301,$A140,Field_Map!$B$7),DATEVALUE(INDEX(Kobo_Import!$A$2:$CZ$301,$A140,Field_Map!$B$7)&amp;"")),""))</f>
        <v>46048</v>
      </c>
      <c r="E140" s="24" t="str">
        <f>IFERROR(INDEX(Kobo_Import!$A$2:$CZ$301,$A140,Field_Map!$B$11)&amp;"","")</f>
        <v>registration</v>
      </c>
      <c r="F140" s="27">
        <f t="shared" si="8"/>
        <v>46048136</v>
      </c>
      <c r="G140" s="24">
        <f t="shared" si="9"/>
        <v>1</v>
      </c>
      <c r="H140" s="24">
        <f t="shared" si="10"/>
        <v>26</v>
      </c>
      <c r="I140" s="24" t="str">
        <f t="shared" si="11"/>
        <v>HH-026|registration</v>
      </c>
    </row>
    <row r="141" spans="1:9" x14ac:dyDescent="0.3">
      <c r="A141" s="11">
        <v>137</v>
      </c>
      <c r="B141" s="24" t="str">
        <f>IFERROR(INDEX(Kobo_Import!$A$2:$CZ$301,$A141,Field_Map!$B$13)&amp;"","")</f>
        <v>HH-009</v>
      </c>
      <c r="C141" s="24" t="str">
        <f>IFERROR(INDEX(Kobo_Import!$A$2:$CZ$301,$A141,Field_Map!$B$12)&amp;"","")</f>
        <v>yes</v>
      </c>
      <c r="D141" s="28">
        <f>IF(B141="","",IFERROR(IF(ISNUMBER(INDEX(Kobo_Import!$A$2:$CZ$301,$A141,Field_Map!$B$7)),INDEX(Kobo_Import!$A$2:$CZ$301,$A141,Field_Map!$B$7),DATEVALUE(INDEX(Kobo_Import!$A$2:$CZ$301,$A141,Field_Map!$B$7)&amp;"")),""))</f>
        <v>46048</v>
      </c>
      <c r="E141" s="24" t="str">
        <f>IFERROR(INDEX(Kobo_Import!$A$2:$CZ$301,$A141,Field_Map!$B$11)&amp;"","")</f>
        <v>reverification</v>
      </c>
      <c r="F141" s="27">
        <f t="shared" si="8"/>
        <v>46048137</v>
      </c>
      <c r="G141" s="24">
        <f t="shared" si="9"/>
        <v>1</v>
      </c>
      <c r="H141" s="24">
        <f t="shared" si="10"/>
        <v>9</v>
      </c>
      <c r="I141" s="24" t="str">
        <f t="shared" si="11"/>
        <v>HH-009|reverification</v>
      </c>
    </row>
    <row r="142" spans="1:9" x14ac:dyDescent="0.3">
      <c r="A142" s="11">
        <v>138</v>
      </c>
      <c r="B142" s="24" t="str">
        <f>IFERROR(INDEX(Kobo_Import!$A$2:$CZ$301,$A142,Field_Map!$B$13)&amp;"","")</f>
        <v>HH-012</v>
      </c>
      <c r="C142" s="24" t="str">
        <f>IFERROR(INDEX(Kobo_Import!$A$2:$CZ$301,$A142,Field_Map!$B$12)&amp;"","")</f>
        <v>yes</v>
      </c>
      <c r="D142" s="28">
        <f>IF(B142="","",IFERROR(IF(ISNUMBER(INDEX(Kobo_Import!$A$2:$CZ$301,$A142,Field_Map!$B$7)),INDEX(Kobo_Import!$A$2:$CZ$301,$A142,Field_Map!$B$7),DATEVALUE(INDEX(Kobo_Import!$A$2:$CZ$301,$A142,Field_Map!$B$7)&amp;"")),""))</f>
        <v>46048</v>
      </c>
      <c r="E142" s="24" t="str">
        <f>IFERROR(INDEX(Kobo_Import!$A$2:$CZ$301,$A142,Field_Map!$B$11)&amp;"","")</f>
        <v>reverification</v>
      </c>
      <c r="F142" s="27">
        <f t="shared" si="8"/>
        <v>46048138</v>
      </c>
      <c r="G142" s="24">
        <f t="shared" si="9"/>
        <v>1</v>
      </c>
      <c r="H142" s="24">
        <f t="shared" si="10"/>
        <v>12</v>
      </c>
      <c r="I142" s="24" t="str">
        <f t="shared" si="11"/>
        <v>HH-012|reverification</v>
      </c>
    </row>
    <row r="143" spans="1:9" x14ac:dyDescent="0.3">
      <c r="A143" s="11">
        <v>139</v>
      </c>
      <c r="B143" s="24" t="str">
        <f>IFERROR(INDEX(Kobo_Import!$A$2:$CZ$301,$A143,Field_Map!$B$13)&amp;"","")</f>
        <v>HH-051</v>
      </c>
      <c r="C143" s="24" t="str">
        <f>IFERROR(INDEX(Kobo_Import!$A$2:$CZ$301,$A143,Field_Map!$B$12)&amp;"","")</f>
        <v>yes</v>
      </c>
      <c r="D143" s="28">
        <f>IF(B143="","",IFERROR(IF(ISNUMBER(INDEX(Kobo_Import!$A$2:$CZ$301,$A143,Field_Map!$B$7)),INDEX(Kobo_Import!$A$2:$CZ$301,$A143,Field_Map!$B$7),DATEVALUE(INDEX(Kobo_Import!$A$2:$CZ$301,$A143,Field_Map!$B$7)&amp;"")),""))</f>
        <v>46048</v>
      </c>
      <c r="E143" s="24" t="str">
        <f>IFERROR(INDEX(Kobo_Import!$A$2:$CZ$301,$A143,Field_Map!$B$11)&amp;"","")</f>
        <v>registration</v>
      </c>
      <c r="F143" s="27">
        <f t="shared" si="8"/>
        <v>46048139</v>
      </c>
      <c r="G143" s="24">
        <f t="shared" si="9"/>
        <v>1</v>
      </c>
      <c r="H143" s="24">
        <f t="shared" si="10"/>
        <v>51</v>
      </c>
      <c r="I143" s="24" t="str">
        <f t="shared" si="11"/>
        <v>HH-051|registration</v>
      </c>
    </row>
    <row r="144" spans="1:9" x14ac:dyDescent="0.3">
      <c r="A144" s="11">
        <v>140</v>
      </c>
      <c r="B144" s="24" t="str">
        <f>IFERROR(INDEX(Kobo_Import!$A$2:$CZ$301,$A144,Field_Map!$B$13)&amp;"","")</f>
        <v>HH-091</v>
      </c>
      <c r="C144" s="24" t="str">
        <f>IFERROR(INDEX(Kobo_Import!$A$2:$CZ$301,$A144,Field_Map!$B$12)&amp;"","")</f>
        <v>yes</v>
      </c>
      <c r="D144" s="28">
        <f>IF(B144="","",IFERROR(IF(ISNUMBER(INDEX(Kobo_Import!$A$2:$CZ$301,$A144,Field_Map!$B$7)),INDEX(Kobo_Import!$A$2:$CZ$301,$A144,Field_Map!$B$7),DATEVALUE(INDEX(Kobo_Import!$A$2:$CZ$301,$A144,Field_Map!$B$7)&amp;"")),""))</f>
        <v>46049</v>
      </c>
      <c r="E144" s="24" t="str">
        <f>IFERROR(INDEX(Kobo_Import!$A$2:$CZ$301,$A144,Field_Map!$B$11)&amp;"","")</f>
        <v>registration</v>
      </c>
      <c r="F144" s="27">
        <f t="shared" si="8"/>
        <v>46049140</v>
      </c>
      <c r="G144" s="24">
        <f t="shared" si="9"/>
        <v>1</v>
      </c>
      <c r="H144" s="24">
        <f t="shared" si="10"/>
        <v>91</v>
      </c>
      <c r="I144" s="24" t="str">
        <f t="shared" si="11"/>
        <v>HH-091|registration</v>
      </c>
    </row>
    <row r="145" spans="1:9" x14ac:dyDescent="0.3">
      <c r="A145" s="11">
        <v>141</v>
      </c>
      <c r="B145" s="24" t="str">
        <f>IFERROR(INDEX(Kobo_Import!$A$2:$CZ$301,$A145,Field_Map!$B$13)&amp;"","")</f>
        <v>HH-002</v>
      </c>
      <c r="C145" s="24" t="str">
        <f>IFERROR(INDEX(Kobo_Import!$A$2:$CZ$301,$A145,Field_Map!$B$12)&amp;"","")</f>
        <v>yes</v>
      </c>
      <c r="D145" s="28">
        <f>IF(B145="","",IFERROR(IF(ISNUMBER(INDEX(Kobo_Import!$A$2:$CZ$301,$A145,Field_Map!$B$7)),INDEX(Kobo_Import!$A$2:$CZ$301,$A145,Field_Map!$B$7),DATEVALUE(INDEX(Kobo_Import!$A$2:$CZ$301,$A145,Field_Map!$B$7)&amp;"")),""))</f>
        <v>46049</v>
      </c>
      <c r="E145" s="24" t="str">
        <f>IFERROR(INDEX(Kobo_Import!$A$2:$CZ$301,$A145,Field_Map!$B$11)&amp;"","")</f>
        <v>registration</v>
      </c>
      <c r="F145" s="27">
        <f t="shared" si="8"/>
        <v>46049141</v>
      </c>
      <c r="G145" s="24">
        <f t="shared" si="9"/>
        <v>1</v>
      </c>
      <c r="H145" s="24">
        <f t="shared" si="10"/>
        <v>2</v>
      </c>
      <c r="I145" s="24" t="str">
        <f t="shared" si="11"/>
        <v>HH-002|registration</v>
      </c>
    </row>
    <row r="146" spans="1:9" x14ac:dyDescent="0.3">
      <c r="A146" s="11">
        <v>142</v>
      </c>
      <c r="B146" s="24" t="str">
        <f>IFERROR(INDEX(Kobo_Import!$A$2:$CZ$301,$A146,Field_Map!$B$13)&amp;"","")</f>
        <v>HH-104</v>
      </c>
      <c r="C146" s="24" t="str">
        <f>IFERROR(INDEX(Kobo_Import!$A$2:$CZ$301,$A146,Field_Map!$B$12)&amp;"","")</f>
        <v>yes</v>
      </c>
      <c r="D146" s="28">
        <f>IF(B146="","",IFERROR(IF(ISNUMBER(INDEX(Kobo_Import!$A$2:$CZ$301,$A146,Field_Map!$B$7)),INDEX(Kobo_Import!$A$2:$CZ$301,$A146,Field_Map!$B$7),DATEVALUE(INDEX(Kobo_Import!$A$2:$CZ$301,$A146,Field_Map!$B$7)&amp;"")),""))</f>
        <v>46050</v>
      </c>
      <c r="E146" s="24" t="str">
        <f>IFERROR(INDEX(Kobo_Import!$A$2:$CZ$301,$A146,Field_Map!$B$11)&amp;"","")</f>
        <v>registration</v>
      </c>
      <c r="F146" s="27">
        <f t="shared" si="8"/>
        <v>46050142</v>
      </c>
      <c r="G146" s="24">
        <f t="shared" si="9"/>
        <v>1</v>
      </c>
      <c r="H146" s="24">
        <f t="shared" si="10"/>
        <v>104</v>
      </c>
      <c r="I146" s="24" t="str">
        <f t="shared" si="11"/>
        <v>HH-104|registration</v>
      </c>
    </row>
    <row r="147" spans="1:9" x14ac:dyDescent="0.3">
      <c r="A147" s="11">
        <v>143</v>
      </c>
      <c r="B147" s="24" t="str">
        <f>IFERROR(INDEX(Kobo_Import!$A$2:$CZ$301,$A147,Field_Map!$B$13)&amp;"","")</f>
        <v>HH-068</v>
      </c>
      <c r="C147" s="24" t="str">
        <f>IFERROR(INDEX(Kobo_Import!$A$2:$CZ$301,$A147,Field_Map!$B$12)&amp;"","")</f>
        <v>yes</v>
      </c>
      <c r="D147" s="28">
        <f>IF(B147="","",IFERROR(IF(ISNUMBER(INDEX(Kobo_Import!$A$2:$CZ$301,$A147,Field_Map!$B$7)),INDEX(Kobo_Import!$A$2:$CZ$301,$A147,Field_Map!$B$7),DATEVALUE(INDEX(Kobo_Import!$A$2:$CZ$301,$A147,Field_Map!$B$7)&amp;"")),""))</f>
        <v>46050</v>
      </c>
      <c r="E147" s="24" t="str">
        <f>IFERROR(INDEX(Kobo_Import!$A$2:$CZ$301,$A147,Field_Map!$B$11)&amp;"","")</f>
        <v>registration</v>
      </c>
      <c r="F147" s="27">
        <f t="shared" si="8"/>
        <v>46050143</v>
      </c>
      <c r="G147" s="24">
        <f t="shared" si="9"/>
        <v>1</v>
      </c>
      <c r="H147" s="24">
        <f t="shared" si="10"/>
        <v>68</v>
      </c>
      <c r="I147" s="24" t="str">
        <f t="shared" si="11"/>
        <v>HH-068|registration</v>
      </c>
    </row>
    <row r="148" spans="1:9" x14ac:dyDescent="0.3">
      <c r="A148" s="11">
        <v>144</v>
      </c>
      <c r="B148" s="24" t="str">
        <f>IFERROR(INDEX(Kobo_Import!$A$2:$CZ$301,$A148,Field_Map!$B$13)&amp;"","")</f>
        <v>HH-050</v>
      </c>
      <c r="C148" s="24" t="str">
        <f>IFERROR(INDEX(Kobo_Import!$A$2:$CZ$301,$A148,Field_Map!$B$12)&amp;"","")</f>
        <v>yes</v>
      </c>
      <c r="D148" s="28">
        <f>IF(B148="","",IFERROR(IF(ISNUMBER(INDEX(Kobo_Import!$A$2:$CZ$301,$A148,Field_Map!$B$7)),INDEX(Kobo_Import!$A$2:$CZ$301,$A148,Field_Map!$B$7),DATEVALUE(INDEX(Kobo_Import!$A$2:$CZ$301,$A148,Field_Map!$B$7)&amp;"")),""))</f>
        <v>46050</v>
      </c>
      <c r="E148" s="24" t="str">
        <f>IFERROR(INDEX(Kobo_Import!$A$2:$CZ$301,$A148,Field_Map!$B$11)&amp;"","")</f>
        <v>registration</v>
      </c>
      <c r="F148" s="27">
        <f t="shared" si="8"/>
        <v>46050144</v>
      </c>
      <c r="G148" s="24">
        <f t="shared" si="9"/>
        <v>1</v>
      </c>
      <c r="H148" s="24">
        <f t="shared" si="10"/>
        <v>50</v>
      </c>
      <c r="I148" s="24" t="str">
        <f t="shared" si="11"/>
        <v>HH-050|registration</v>
      </c>
    </row>
    <row r="149" spans="1:9" x14ac:dyDescent="0.3">
      <c r="A149" s="11">
        <v>145</v>
      </c>
      <c r="B149" s="24" t="str">
        <f>IFERROR(INDEX(Kobo_Import!$A$2:$CZ$301,$A149,Field_Map!$B$13)&amp;"","")</f>
        <v>HH-046</v>
      </c>
      <c r="C149" s="24" t="str">
        <f>IFERROR(INDEX(Kobo_Import!$A$2:$CZ$301,$A149,Field_Map!$B$12)&amp;"","")</f>
        <v>yes</v>
      </c>
      <c r="D149" s="28">
        <f>IF(B149="","",IFERROR(IF(ISNUMBER(INDEX(Kobo_Import!$A$2:$CZ$301,$A149,Field_Map!$B$7)),INDEX(Kobo_Import!$A$2:$CZ$301,$A149,Field_Map!$B$7),DATEVALUE(INDEX(Kobo_Import!$A$2:$CZ$301,$A149,Field_Map!$B$7)&amp;"")),""))</f>
        <v>46050</v>
      </c>
      <c r="E149" s="24" t="str">
        <f>IFERROR(INDEX(Kobo_Import!$A$2:$CZ$301,$A149,Field_Map!$B$11)&amp;"","")</f>
        <v>reverification</v>
      </c>
      <c r="F149" s="27">
        <f t="shared" si="8"/>
        <v>46050145</v>
      </c>
      <c r="G149" s="24">
        <f t="shared" si="9"/>
        <v>1</v>
      </c>
      <c r="H149" s="24">
        <f t="shared" si="10"/>
        <v>46</v>
      </c>
      <c r="I149" s="24" t="str">
        <f t="shared" si="11"/>
        <v>HH-046|reverification</v>
      </c>
    </row>
    <row r="150" spans="1:9" x14ac:dyDescent="0.3">
      <c r="A150" s="11">
        <v>146</v>
      </c>
      <c r="B150" s="24" t="str">
        <f>IFERROR(INDEX(Kobo_Import!$A$2:$CZ$301,$A150,Field_Map!$B$13)&amp;"","")</f>
        <v>HH-054</v>
      </c>
      <c r="C150" s="24" t="str">
        <f>IFERROR(INDEX(Kobo_Import!$A$2:$CZ$301,$A150,Field_Map!$B$12)&amp;"","")</f>
        <v>yes</v>
      </c>
      <c r="D150" s="28">
        <f>IF(B150="","",IFERROR(IF(ISNUMBER(INDEX(Kobo_Import!$A$2:$CZ$301,$A150,Field_Map!$B$7)),INDEX(Kobo_Import!$A$2:$CZ$301,$A150,Field_Map!$B$7),DATEVALUE(INDEX(Kobo_Import!$A$2:$CZ$301,$A150,Field_Map!$B$7)&amp;"")),""))</f>
        <v>46051</v>
      </c>
      <c r="E150" s="24" t="str">
        <f>IFERROR(INDEX(Kobo_Import!$A$2:$CZ$301,$A150,Field_Map!$B$11)&amp;"","")</f>
        <v>reverification</v>
      </c>
      <c r="F150" s="27">
        <f t="shared" si="8"/>
        <v>46051146</v>
      </c>
      <c r="G150" s="24">
        <f t="shared" si="9"/>
        <v>1</v>
      </c>
      <c r="H150" s="24">
        <f t="shared" si="10"/>
        <v>54</v>
      </c>
      <c r="I150" s="24" t="str">
        <f t="shared" si="11"/>
        <v>HH-054|reverification</v>
      </c>
    </row>
    <row r="151" spans="1:9" x14ac:dyDescent="0.3">
      <c r="A151" s="11">
        <v>147</v>
      </c>
      <c r="B151" s="24" t="str">
        <f>IFERROR(INDEX(Kobo_Import!$A$2:$CZ$301,$A151,Field_Map!$B$13)&amp;"","")</f>
        <v>HH-007</v>
      </c>
      <c r="C151" s="24" t="str">
        <f>IFERROR(INDEX(Kobo_Import!$A$2:$CZ$301,$A151,Field_Map!$B$12)&amp;"","")</f>
        <v>yes</v>
      </c>
      <c r="D151" s="28">
        <f>IF(B151="","",IFERROR(IF(ISNUMBER(INDEX(Kobo_Import!$A$2:$CZ$301,$A151,Field_Map!$B$7)),INDEX(Kobo_Import!$A$2:$CZ$301,$A151,Field_Map!$B$7),DATEVALUE(INDEX(Kobo_Import!$A$2:$CZ$301,$A151,Field_Map!$B$7)&amp;"")),""))</f>
        <v>46051</v>
      </c>
      <c r="E151" s="24" t="str">
        <f>IFERROR(INDEX(Kobo_Import!$A$2:$CZ$301,$A151,Field_Map!$B$11)&amp;"","")</f>
        <v>registration</v>
      </c>
      <c r="F151" s="27">
        <f t="shared" si="8"/>
        <v>46051147</v>
      </c>
      <c r="G151" s="24">
        <f t="shared" si="9"/>
        <v>1</v>
      </c>
      <c r="H151" s="24">
        <f t="shared" si="10"/>
        <v>7</v>
      </c>
      <c r="I151" s="24" t="str">
        <f t="shared" si="11"/>
        <v>HH-007|registration</v>
      </c>
    </row>
    <row r="152" spans="1:9" x14ac:dyDescent="0.3">
      <c r="A152" s="11">
        <v>148</v>
      </c>
      <c r="B152" s="24" t="str">
        <f>IFERROR(INDEX(Kobo_Import!$A$2:$CZ$301,$A152,Field_Map!$B$13)&amp;"","")</f>
        <v>HH-017</v>
      </c>
      <c r="C152" s="24" t="str">
        <f>IFERROR(INDEX(Kobo_Import!$A$2:$CZ$301,$A152,Field_Map!$B$12)&amp;"","")</f>
        <v>yes</v>
      </c>
      <c r="D152" s="28">
        <f>IF(B152="","",IFERROR(IF(ISNUMBER(INDEX(Kobo_Import!$A$2:$CZ$301,$A152,Field_Map!$B$7)),INDEX(Kobo_Import!$A$2:$CZ$301,$A152,Field_Map!$B$7),DATEVALUE(INDEX(Kobo_Import!$A$2:$CZ$301,$A152,Field_Map!$B$7)&amp;"")),""))</f>
        <v>46052</v>
      </c>
      <c r="E152" s="24" t="str">
        <f>IFERROR(INDEX(Kobo_Import!$A$2:$CZ$301,$A152,Field_Map!$B$11)&amp;"","")</f>
        <v>registration</v>
      </c>
      <c r="F152" s="27">
        <f t="shared" si="8"/>
        <v>46052148</v>
      </c>
      <c r="G152" s="24">
        <f t="shared" si="9"/>
        <v>1</v>
      </c>
      <c r="H152" s="24">
        <f t="shared" si="10"/>
        <v>17</v>
      </c>
      <c r="I152" s="24" t="str">
        <f t="shared" si="11"/>
        <v>HH-017|registration</v>
      </c>
    </row>
    <row r="153" spans="1:9" x14ac:dyDescent="0.3">
      <c r="A153" s="11">
        <v>149</v>
      </c>
      <c r="B153" s="24" t="str">
        <f>IFERROR(INDEX(Kobo_Import!$A$2:$CZ$301,$A153,Field_Map!$B$13)&amp;"","")</f>
        <v/>
      </c>
      <c r="C153" s="24" t="str">
        <f>IFERROR(INDEX(Kobo_Import!$A$2:$CZ$301,$A153,Field_Map!$B$12)&amp;"","")</f>
        <v/>
      </c>
      <c r="D153" s="28" t="str">
        <f>IF(B153="","",IFERROR(IF(ISNUMBER(INDEX(Kobo_Import!$A$2:$CZ$301,$A153,Field_Map!$B$7)),INDEX(Kobo_Import!$A$2:$CZ$301,$A153,Field_Map!$B$7),DATEVALUE(INDEX(Kobo_Import!$A$2:$CZ$301,$A153,Field_Map!$B$7)&amp;"")),""))</f>
        <v/>
      </c>
      <c r="E153" s="24" t="str">
        <f>IFERROR(INDEX(Kobo_Import!$A$2:$CZ$301,$A153,Field_Map!$B$11)&amp;"","")</f>
        <v/>
      </c>
      <c r="F153" s="27">
        <f t="shared" si="8"/>
        <v>0</v>
      </c>
      <c r="G153" s="24" t="str">
        <f t="shared" si="9"/>
        <v/>
      </c>
      <c r="H153" s="24" t="str">
        <f t="shared" si="10"/>
        <v/>
      </c>
      <c r="I153" s="24" t="str">
        <f t="shared" si="11"/>
        <v/>
      </c>
    </row>
    <row r="154" spans="1:9" x14ac:dyDescent="0.3">
      <c r="A154" s="11">
        <v>150</v>
      </c>
      <c r="B154" s="24" t="str">
        <f>IFERROR(INDEX(Kobo_Import!$A$2:$CZ$301,$A154,Field_Map!$B$13)&amp;"","")</f>
        <v/>
      </c>
      <c r="C154" s="24" t="str">
        <f>IFERROR(INDEX(Kobo_Import!$A$2:$CZ$301,$A154,Field_Map!$B$12)&amp;"","")</f>
        <v/>
      </c>
      <c r="D154" s="28" t="str">
        <f>IF(B154="","",IFERROR(IF(ISNUMBER(INDEX(Kobo_Import!$A$2:$CZ$301,$A154,Field_Map!$B$7)),INDEX(Kobo_Import!$A$2:$CZ$301,$A154,Field_Map!$B$7),DATEVALUE(INDEX(Kobo_Import!$A$2:$CZ$301,$A154,Field_Map!$B$7)&amp;"")),""))</f>
        <v/>
      </c>
      <c r="E154" s="24" t="str">
        <f>IFERROR(INDEX(Kobo_Import!$A$2:$CZ$301,$A154,Field_Map!$B$11)&amp;"","")</f>
        <v/>
      </c>
      <c r="F154" s="27">
        <f t="shared" si="8"/>
        <v>0</v>
      </c>
      <c r="G154" s="24" t="str">
        <f t="shared" si="9"/>
        <v/>
      </c>
      <c r="H154" s="24" t="str">
        <f t="shared" si="10"/>
        <v/>
      </c>
      <c r="I154" s="24" t="str">
        <f t="shared" si="11"/>
        <v/>
      </c>
    </row>
    <row r="155" spans="1:9" x14ac:dyDescent="0.3">
      <c r="A155" s="11">
        <v>151</v>
      </c>
      <c r="B155" s="24" t="str">
        <f>IFERROR(INDEX(Kobo_Import!$A$2:$CZ$301,$A155,Field_Map!$B$13)&amp;"","")</f>
        <v/>
      </c>
      <c r="C155" s="24" t="str">
        <f>IFERROR(INDEX(Kobo_Import!$A$2:$CZ$301,$A155,Field_Map!$B$12)&amp;"","")</f>
        <v/>
      </c>
      <c r="D155" s="28" t="str">
        <f>IF(B155="","",IFERROR(IF(ISNUMBER(INDEX(Kobo_Import!$A$2:$CZ$301,$A155,Field_Map!$B$7)),INDEX(Kobo_Import!$A$2:$CZ$301,$A155,Field_Map!$B$7),DATEVALUE(INDEX(Kobo_Import!$A$2:$CZ$301,$A155,Field_Map!$B$7)&amp;"")),""))</f>
        <v/>
      </c>
      <c r="E155" s="24" t="str">
        <f>IFERROR(INDEX(Kobo_Import!$A$2:$CZ$301,$A155,Field_Map!$B$11)&amp;"","")</f>
        <v/>
      </c>
      <c r="F155" s="27">
        <f t="shared" si="8"/>
        <v>0</v>
      </c>
      <c r="G155" s="24" t="str">
        <f t="shared" si="9"/>
        <v/>
      </c>
      <c r="H155" s="24" t="str">
        <f t="shared" si="10"/>
        <v/>
      </c>
      <c r="I155" s="24" t="str">
        <f t="shared" si="11"/>
        <v/>
      </c>
    </row>
    <row r="156" spans="1:9" x14ac:dyDescent="0.3">
      <c r="A156" s="11">
        <v>152</v>
      </c>
      <c r="B156" s="24" t="str">
        <f>IFERROR(INDEX(Kobo_Import!$A$2:$CZ$301,$A156,Field_Map!$B$13)&amp;"","")</f>
        <v/>
      </c>
      <c r="C156" s="24" t="str">
        <f>IFERROR(INDEX(Kobo_Import!$A$2:$CZ$301,$A156,Field_Map!$B$12)&amp;"","")</f>
        <v/>
      </c>
      <c r="D156" s="28" t="str">
        <f>IF(B156="","",IFERROR(IF(ISNUMBER(INDEX(Kobo_Import!$A$2:$CZ$301,$A156,Field_Map!$B$7)),INDEX(Kobo_Import!$A$2:$CZ$301,$A156,Field_Map!$B$7),DATEVALUE(INDEX(Kobo_Import!$A$2:$CZ$301,$A156,Field_Map!$B$7)&amp;"")),""))</f>
        <v/>
      </c>
      <c r="E156" s="24" t="str">
        <f>IFERROR(INDEX(Kobo_Import!$A$2:$CZ$301,$A156,Field_Map!$B$11)&amp;"","")</f>
        <v/>
      </c>
      <c r="F156" s="27">
        <f t="shared" si="8"/>
        <v>0</v>
      </c>
      <c r="G156" s="24" t="str">
        <f t="shared" si="9"/>
        <v/>
      </c>
      <c r="H156" s="24" t="str">
        <f t="shared" si="10"/>
        <v/>
      </c>
      <c r="I156" s="24" t="str">
        <f t="shared" si="11"/>
        <v/>
      </c>
    </row>
    <row r="157" spans="1:9" x14ac:dyDescent="0.3">
      <c r="A157" s="11">
        <v>153</v>
      </c>
      <c r="B157" s="24" t="str">
        <f>IFERROR(INDEX(Kobo_Import!$A$2:$CZ$301,$A157,Field_Map!$B$13)&amp;"","")</f>
        <v/>
      </c>
      <c r="C157" s="24" t="str">
        <f>IFERROR(INDEX(Kobo_Import!$A$2:$CZ$301,$A157,Field_Map!$B$12)&amp;"","")</f>
        <v/>
      </c>
      <c r="D157" s="28" t="str">
        <f>IF(B157="","",IFERROR(IF(ISNUMBER(INDEX(Kobo_Import!$A$2:$CZ$301,$A157,Field_Map!$B$7)),INDEX(Kobo_Import!$A$2:$CZ$301,$A157,Field_Map!$B$7),DATEVALUE(INDEX(Kobo_Import!$A$2:$CZ$301,$A157,Field_Map!$B$7)&amp;"")),""))</f>
        <v/>
      </c>
      <c r="E157" s="24" t="str">
        <f>IFERROR(INDEX(Kobo_Import!$A$2:$CZ$301,$A157,Field_Map!$B$11)&amp;"","")</f>
        <v/>
      </c>
      <c r="F157" s="27">
        <f t="shared" si="8"/>
        <v>0</v>
      </c>
      <c r="G157" s="24" t="str">
        <f t="shared" si="9"/>
        <v/>
      </c>
      <c r="H157" s="24" t="str">
        <f t="shared" si="10"/>
        <v/>
      </c>
      <c r="I157" s="24" t="str">
        <f t="shared" si="11"/>
        <v/>
      </c>
    </row>
    <row r="158" spans="1:9" x14ac:dyDescent="0.3">
      <c r="A158" s="11">
        <v>154</v>
      </c>
      <c r="B158" s="24" t="str">
        <f>IFERROR(INDEX(Kobo_Import!$A$2:$CZ$301,$A158,Field_Map!$B$13)&amp;"","")</f>
        <v/>
      </c>
      <c r="C158" s="24" t="str">
        <f>IFERROR(INDEX(Kobo_Import!$A$2:$CZ$301,$A158,Field_Map!$B$12)&amp;"","")</f>
        <v/>
      </c>
      <c r="D158" s="28" t="str">
        <f>IF(B158="","",IFERROR(IF(ISNUMBER(INDEX(Kobo_Import!$A$2:$CZ$301,$A158,Field_Map!$B$7)),INDEX(Kobo_Import!$A$2:$CZ$301,$A158,Field_Map!$B$7),DATEVALUE(INDEX(Kobo_Import!$A$2:$CZ$301,$A158,Field_Map!$B$7)&amp;"")),""))</f>
        <v/>
      </c>
      <c r="E158" s="24" t="str">
        <f>IFERROR(INDEX(Kobo_Import!$A$2:$CZ$301,$A158,Field_Map!$B$11)&amp;"","")</f>
        <v/>
      </c>
      <c r="F158" s="27">
        <f t="shared" si="8"/>
        <v>0</v>
      </c>
      <c r="G158" s="24" t="str">
        <f t="shared" si="9"/>
        <v/>
      </c>
      <c r="H158" s="24" t="str">
        <f t="shared" si="10"/>
        <v/>
      </c>
      <c r="I158" s="24" t="str">
        <f t="shared" si="11"/>
        <v/>
      </c>
    </row>
    <row r="159" spans="1:9" x14ac:dyDescent="0.3">
      <c r="A159" s="11">
        <v>155</v>
      </c>
      <c r="B159" s="24" t="str">
        <f>IFERROR(INDEX(Kobo_Import!$A$2:$CZ$301,$A159,Field_Map!$B$13)&amp;"","")</f>
        <v/>
      </c>
      <c r="C159" s="24" t="str">
        <f>IFERROR(INDEX(Kobo_Import!$A$2:$CZ$301,$A159,Field_Map!$B$12)&amp;"","")</f>
        <v/>
      </c>
      <c r="D159" s="28" t="str">
        <f>IF(B159="","",IFERROR(IF(ISNUMBER(INDEX(Kobo_Import!$A$2:$CZ$301,$A159,Field_Map!$B$7)),INDEX(Kobo_Import!$A$2:$CZ$301,$A159,Field_Map!$B$7),DATEVALUE(INDEX(Kobo_Import!$A$2:$CZ$301,$A159,Field_Map!$B$7)&amp;"")),""))</f>
        <v/>
      </c>
      <c r="E159" s="24" t="str">
        <f>IFERROR(INDEX(Kobo_Import!$A$2:$CZ$301,$A159,Field_Map!$B$11)&amp;"","")</f>
        <v/>
      </c>
      <c r="F159" s="27">
        <f t="shared" si="8"/>
        <v>0</v>
      </c>
      <c r="G159" s="24" t="str">
        <f t="shared" si="9"/>
        <v/>
      </c>
      <c r="H159" s="24" t="str">
        <f t="shared" si="10"/>
        <v/>
      </c>
      <c r="I159" s="24" t="str">
        <f t="shared" si="11"/>
        <v/>
      </c>
    </row>
    <row r="160" spans="1:9" x14ac:dyDescent="0.3">
      <c r="A160" s="11">
        <v>156</v>
      </c>
      <c r="B160" s="24" t="str">
        <f>IFERROR(INDEX(Kobo_Import!$A$2:$CZ$301,$A160,Field_Map!$B$13)&amp;"","")</f>
        <v/>
      </c>
      <c r="C160" s="24" t="str">
        <f>IFERROR(INDEX(Kobo_Import!$A$2:$CZ$301,$A160,Field_Map!$B$12)&amp;"","")</f>
        <v/>
      </c>
      <c r="D160" s="28" t="str">
        <f>IF(B160="","",IFERROR(IF(ISNUMBER(INDEX(Kobo_Import!$A$2:$CZ$301,$A160,Field_Map!$B$7)),INDEX(Kobo_Import!$A$2:$CZ$301,$A160,Field_Map!$B$7),DATEVALUE(INDEX(Kobo_Import!$A$2:$CZ$301,$A160,Field_Map!$B$7)&amp;"")),""))</f>
        <v/>
      </c>
      <c r="E160" s="24" t="str">
        <f>IFERROR(INDEX(Kobo_Import!$A$2:$CZ$301,$A160,Field_Map!$B$11)&amp;"","")</f>
        <v/>
      </c>
      <c r="F160" s="27">
        <f t="shared" si="8"/>
        <v>0</v>
      </c>
      <c r="G160" s="24" t="str">
        <f t="shared" si="9"/>
        <v/>
      </c>
      <c r="H160" s="24" t="str">
        <f t="shared" si="10"/>
        <v/>
      </c>
      <c r="I160" s="24" t="str">
        <f t="shared" si="11"/>
        <v/>
      </c>
    </row>
    <row r="161" spans="1:9" x14ac:dyDescent="0.3">
      <c r="A161" s="11">
        <v>157</v>
      </c>
      <c r="B161" s="24" t="str">
        <f>IFERROR(INDEX(Kobo_Import!$A$2:$CZ$301,$A161,Field_Map!$B$13)&amp;"","")</f>
        <v/>
      </c>
      <c r="C161" s="24" t="str">
        <f>IFERROR(INDEX(Kobo_Import!$A$2:$CZ$301,$A161,Field_Map!$B$12)&amp;"","")</f>
        <v/>
      </c>
      <c r="D161" s="28" t="str">
        <f>IF(B161="","",IFERROR(IF(ISNUMBER(INDEX(Kobo_Import!$A$2:$CZ$301,$A161,Field_Map!$B$7)),INDEX(Kobo_Import!$A$2:$CZ$301,$A161,Field_Map!$B$7),DATEVALUE(INDEX(Kobo_Import!$A$2:$CZ$301,$A161,Field_Map!$B$7)&amp;"")),""))</f>
        <v/>
      </c>
      <c r="E161" s="24" t="str">
        <f>IFERROR(INDEX(Kobo_Import!$A$2:$CZ$301,$A161,Field_Map!$B$11)&amp;"","")</f>
        <v/>
      </c>
      <c r="F161" s="27">
        <f t="shared" si="8"/>
        <v>0</v>
      </c>
      <c r="G161" s="24" t="str">
        <f t="shared" si="9"/>
        <v/>
      </c>
      <c r="H161" s="24" t="str">
        <f t="shared" si="10"/>
        <v/>
      </c>
      <c r="I161" s="24" t="str">
        <f t="shared" si="11"/>
        <v/>
      </c>
    </row>
    <row r="162" spans="1:9" x14ac:dyDescent="0.3">
      <c r="A162" s="11">
        <v>158</v>
      </c>
      <c r="B162" s="24" t="str">
        <f>IFERROR(INDEX(Kobo_Import!$A$2:$CZ$301,$A162,Field_Map!$B$13)&amp;"","")</f>
        <v/>
      </c>
      <c r="C162" s="24" t="str">
        <f>IFERROR(INDEX(Kobo_Import!$A$2:$CZ$301,$A162,Field_Map!$B$12)&amp;"","")</f>
        <v/>
      </c>
      <c r="D162" s="28" t="str">
        <f>IF(B162="","",IFERROR(IF(ISNUMBER(INDEX(Kobo_Import!$A$2:$CZ$301,$A162,Field_Map!$B$7)),INDEX(Kobo_Import!$A$2:$CZ$301,$A162,Field_Map!$B$7),DATEVALUE(INDEX(Kobo_Import!$A$2:$CZ$301,$A162,Field_Map!$B$7)&amp;"")),""))</f>
        <v/>
      </c>
      <c r="E162" s="24" t="str">
        <f>IFERROR(INDEX(Kobo_Import!$A$2:$CZ$301,$A162,Field_Map!$B$11)&amp;"","")</f>
        <v/>
      </c>
      <c r="F162" s="27">
        <f t="shared" si="8"/>
        <v>0</v>
      </c>
      <c r="G162" s="24" t="str">
        <f t="shared" si="9"/>
        <v/>
      </c>
      <c r="H162" s="24" t="str">
        <f t="shared" si="10"/>
        <v/>
      </c>
      <c r="I162" s="24" t="str">
        <f t="shared" si="11"/>
        <v/>
      </c>
    </row>
    <row r="163" spans="1:9" x14ac:dyDescent="0.3">
      <c r="A163" s="11">
        <v>159</v>
      </c>
      <c r="B163" s="24" t="str">
        <f>IFERROR(INDEX(Kobo_Import!$A$2:$CZ$301,$A163,Field_Map!$B$13)&amp;"","")</f>
        <v/>
      </c>
      <c r="C163" s="24" t="str">
        <f>IFERROR(INDEX(Kobo_Import!$A$2:$CZ$301,$A163,Field_Map!$B$12)&amp;"","")</f>
        <v/>
      </c>
      <c r="D163" s="28" t="str">
        <f>IF(B163="","",IFERROR(IF(ISNUMBER(INDEX(Kobo_Import!$A$2:$CZ$301,$A163,Field_Map!$B$7)),INDEX(Kobo_Import!$A$2:$CZ$301,$A163,Field_Map!$B$7),DATEVALUE(INDEX(Kobo_Import!$A$2:$CZ$301,$A163,Field_Map!$B$7)&amp;"")),""))</f>
        <v/>
      </c>
      <c r="E163" s="24" t="str">
        <f>IFERROR(INDEX(Kobo_Import!$A$2:$CZ$301,$A163,Field_Map!$B$11)&amp;"","")</f>
        <v/>
      </c>
      <c r="F163" s="27">
        <f t="shared" si="8"/>
        <v>0</v>
      </c>
      <c r="G163" s="24" t="str">
        <f t="shared" si="9"/>
        <v/>
      </c>
      <c r="H163" s="24" t="str">
        <f t="shared" si="10"/>
        <v/>
      </c>
      <c r="I163" s="24" t="str">
        <f t="shared" si="11"/>
        <v/>
      </c>
    </row>
    <row r="164" spans="1:9" x14ac:dyDescent="0.3">
      <c r="A164" s="11">
        <v>160</v>
      </c>
      <c r="B164" s="24" t="str">
        <f>IFERROR(INDEX(Kobo_Import!$A$2:$CZ$301,$A164,Field_Map!$B$13)&amp;"","")</f>
        <v/>
      </c>
      <c r="C164" s="24" t="str">
        <f>IFERROR(INDEX(Kobo_Import!$A$2:$CZ$301,$A164,Field_Map!$B$12)&amp;"","")</f>
        <v/>
      </c>
      <c r="D164" s="28" t="str">
        <f>IF(B164="","",IFERROR(IF(ISNUMBER(INDEX(Kobo_Import!$A$2:$CZ$301,$A164,Field_Map!$B$7)),INDEX(Kobo_Import!$A$2:$CZ$301,$A164,Field_Map!$B$7),DATEVALUE(INDEX(Kobo_Import!$A$2:$CZ$301,$A164,Field_Map!$B$7)&amp;"")),""))</f>
        <v/>
      </c>
      <c r="E164" s="24" t="str">
        <f>IFERROR(INDEX(Kobo_Import!$A$2:$CZ$301,$A164,Field_Map!$B$11)&amp;"","")</f>
        <v/>
      </c>
      <c r="F164" s="27">
        <f t="shared" si="8"/>
        <v>0</v>
      </c>
      <c r="G164" s="24" t="str">
        <f t="shared" si="9"/>
        <v/>
      </c>
      <c r="H164" s="24" t="str">
        <f t="shared" si="10"/>
        <v/>
      </c>
      <c r="I164" s="24" t="str">
        <f t="shared" si="11"/>
        <v/>
      </c>
    </row>
    <row r="165" spans="1:9" x14ac:dyDescent="0.3">
      <c r="A165" s="11">
        <v>161</v>
      </c>
      <c r="B165" s="24" t="str">
        <f>IFERROR(INDEX(Kobo_Import!$A$2:$CZ$301,$A165,Field_Map!$B$13)&amp;"","")</f>
        <v/>
      </c>
      <c r="C165" s="24" t="str">
        <f>IFERROR(INDEX(Kobo_Import!$A$2:$CZ$301,$A165,Field_Map!$B$12)&amp;"","")</f>
        <v/>
      </c>
      <c r="D165" s="28" t="str">
        <f>IF(B165="","",IFERROR(IF(ISNUMBER(INDEX(Kobo_Import!$A$2:$CZ$301,$A165,Field_Map!$B$7)),INDEX(Kobo_Import!$A$2:$CZ$301,$A165,Field_Map!$B$7),DATEVALUE(INDEX(Kobo_Import!$A$2:$CZ$301,$A165,Field_Map!$B$7)&amp;"")),""))</f>
        <v/>
      </c>
      <c r="E165" s="24" t="str">
        <f>IFERROR(INDEX(Kobo_Import!$A$2:$CZ$301,$A165,Field_Map!$B$11)&amp;"","")</f>
        <v/>
      </c>
      <c r="F165" s="27">
        <f t="shared" si="8"/>
        <v>0</v>
      </c>
      <c r="G165" s="24" t="str">
        <f t="shared" si="9"/>
        <v/>
      </c>
      <c r="H165" s="24" t="str">
        <f t="shared" si="10"/>
        <v/>
      </c>
      <c r="I165" s="24" t="str">
        <f t="shared" si="11"/>
        <v/>
      </c>
    </row>
    <row r="166" spans="1:9" x14ac:dyDescent="0.3">
      <c r="A166" s="11">
        <v>162</v>
      </c>
      <c r="B166" s="24" t="str">
        <f>IFERROR(INDEX(Kobo_Import!$A$2:$CZ$301,$A166,Field_Map!$B$13)&amp;"","")</f>
        <v/>
      </c>
      <c r="C166" s="24" t="str">
        <f>IFERROR(INDEX(Kobo_Import!$A$2:$CZ$301,$A166,Field_Map!$B$12)&amp;"","")</f>
        <v/>
      </c>
      <c r="D166" s="28" t="str">
        <f>IF(B166="","",IFERROR(IF(ISNUMBER(INDEX(Kobo_Import!$A$2:$CZ$301,$A166,Field_Map!$B$7)),INDEX(Kobo_Import!$A$2:$CZ$301,$A166,Field_Map!$B$7),DATEVALUE(INDEX(Kobo_Import!$A$2:$CZ$301,$A166,Field_Map!$B$7)&amp;"")),""))</f>
        <v/>
      </c>
      <c r="E166" s="24" t="str">
        <f>IFERROR(INDEX(Kobo_Import!$A$2:$CZ$301,$A166,Field_Map!$B$11)&amp;"","")</f>
        <v/>
      </c>
      <c r="F166" s="27">
        <f t="shared" si="8"/>
        <v>0</v>
      </c>
      <c r="G166" s="24" t="str">
        <f t="shared" si="9"/>
        <v/>
      </c>
      <c r="H166" s="24" t="str">
        <f t="shared" si="10"/>
        <v/>
      </c>
      <c r="I166" s="24" t="str">
        <f t="shared" si="11"/>
        <v/>
      </c>
    </row>
    <row r="167" spans="1:9" x14ac:dyDescent="0.3">
      <c r="A167" s="11">
        <v>163</v>
      </c>
      <c r="B167" s="24" t="str">
        <f>IFERROR(INDEX(Kobo_Import!$A$2:$CZ$301,$A167,Field_Map!$B$13)&amp;"","")</f>
        <v/>
      </c>
      <c r="C167" s="24" t="str">
        <f>IFERROR(INDEX(Kobo_Import!$A$2:$CZ$301,$A167,Field_Map!$B$12)&amp;"","")</f>
        <v/>
      </c>
      <c r="D167" s="28" t="str">
        <f>IF(B167="","",IFERROR(IF(ISNUMBER(INDEX(Kobo_Import!$A$2:$CZ$301,$A167,Field_Map!$B$7)),INDEX(Kobo_Import!$A$2:$CZ$301,$A167,Field_Map!$B$7),DATEVALUE(INDEX(Kobo_Import!$A$2:$CZ$301,$A167,Field_Map!$B$7)&amp;"")),""))</f>
        <v/>
      </c>
      <c r="E167" s="24" t="str">
        <f>IFERROR(INDEX(Kobo_Import!$A$2:$CZ$301,$A167,Field_Map!$B$11)&amp;"","")</f>
        <v/>
      </c>
      <c r="F167" s="27">
        <f t="shared" si="8"/>
        <v>0</v>
      </c>
      <c r="G167" s="24" t="str">
        <f t="shared" si="9"/>
        <v/>
      </c>
      <c r="H167" s="24" t="str">
        <f t="shared" si="10"/>
        <v/>
      </c>
      <c r="I167" s="24" t="str">
        <f t="shared" si="11"/>
        <v/>
      </c>
    </row>
    <row r="168" spans="1:9" x14ac:dyDescent="0.3">
      <c r="A168" s="11">
        <v>164</v>
      </c>
      <c r="B168" s="24" t="str">
        <f>IFERROR(INDEX(Kobo_Import!$A$2:$CZ$301,$A168,Field_Map!$B$13)&amp;"","")</f>
        <v/>
      </c>
      <c r="C168" s="24" t="str">
        <f>IFERROR(INDEX(Kobo_Import!$A$2:$CZ$301,$A168,Field_Map!$B$12)&amp;"","")</f>
        <v/>
      </c>
      <c r="D168" s="28" t="str">
        <f>IF(B168="","",IFERROR(IF(ISNUMBER(INDEX(Kobo_Import!$A$2:$CZ$301,$A168,Field_Map!$B$7)),INDEX(Kobo_Import!$A$2:$CZ$301,$A168,Field_Map!$B$7),DATEVALUE(INDEX(Kobo_Import!$A$2:$CZ$301,$A168,Field_Map!$B$7)&amp;"")),""))</f>
        <v/>
      </c>
      <c r="E168" s="24" t="str">
        <f>IFERROR(INDEX(Kobo_Import!$A$2:$CZ$301,$A168,Field_Map!$B$11)&amp;"","")</f>
        <v/>
      </c>
      <c r="F168" s="27">
        <f t="shared" si="8"/>
        <v>0</v>
      </c>
      <c r="G168" s="24" t="str">
        <f t="shared" si="9"/>
        <v/>
      </c>
      <c r="H168" s="24" t="str">
        <f t="shared" si="10"/>
        <v/>
      </c>
      <c r="I168" s="24" t="str">
        <f t="shared" si="11"/>
        <v/>
      </c>
    </row>
    <row r="169" spans="1:9" x14ac:dyDescent="0.3">
      <c r="A169" s="11">
        <v>165</v>
      </c>
      <c r="B169" s="24" t="str">
        <f>IFERROR(INDEX(Kobo_Import!$A$2:$CZ$301,$A169,Field_Map!$B$13)&amp;"","")</f>
        <v/>
      </c>
      <c r="C169" s="24" t="str">
        <f>IFERROR(INDEX(Kobo_Import!$A$2:$CZ$301,$A169,Field_Map!$B$12)&amp;"","")</f>
        <v/>
      </c>
      <c r="D169" s="28" t="str">
        <f>IF(B169="","",IFERROR(IF(ISNUMBER(INDEX(Kobo_Import!$A$2:$CZ$301,$A169,Field_Map!$B$7)),INDEX(Kobo_Import!$A$2:$CZ$301,$A169,Field_Map!$B$7),DATEVALUE(INDEX(Kobo_Import!$A$2:$CZ$301,$A169,Field_Map!$B$7)&amp;"")),""))</f>
        <v/>
      </c>
      <c r="E169" s="24" t="str">
        <f>IFERROR(INDEX(Kobo_Import!$A$2:$CZ$301,$A169,Field_Map!$B$11)&amp;"","")</f>
        <v/>
      </c>
      <c r="F169" s="27">
        <f t="shared" si="8"/>
        <v>0</v>
      </c>
      <c r="G169" s="24" t="str">
        <f t="shared" si="9"/>
        <v/>
      </c>
      <c r="H169" s="24" t="str">
        <f t="shared" si="10"/>
        <v/>
      </c>
      <c r="I169" s="24" t="str">
        <f t="shared" si="11"/>
        <v/>
      </c>
    </row>
    <row r="170" spans="1:9" x14ac:dyDescent="0.3">
      <c r="A170" s="11">
        <v>166</v>
      </c>
      <c r="B170" s="24" t="str">
        <f>IFERROR(INDEX(Kobo_Import!$A$2:$CZ$301,$A170,Field_Map!$B$13)&amp;"","")</f>
        <v/>
      </c>
      <c r="C170" s="24" t="str">
        <f>IFERROR(INDEX(Kobo_Import!$A$2:$CZ$301,$A170,Field_Map!$B$12)&amp;"","")</f>
        <v/>
      </c>
      <c r="D170" s="28" t="str">
        <f>IF(B170="","",IFERROR(IF(ISNUMBER(INDEX(Kobo_Import!$A$2:$CZ$301,$A170,Field_Map!$B$7)),INDEX(Kobo_Import!$A$2:$CZ$301,$A170,Field_Map!$B$7),DATEVALUE(INDEX(Kobo_Import!$A$2:$CZ$301,$A170,Field_Map!$B$7)&amp;"")),""))</f>
        <v/>
      </c>
      <c r="E170" s="24" t="str">
        <f>IFERROR(INDEX(Kobo_Import!$A$2:$CZ$301,$A170,Field_Map!$B$11)&amp;"","")</f>
        <v/>
      </c>
      <c r="F170" s="27">
        <f t="shared" si="8"/>
        <v>0</v>
      </c>
      <c r="G170" s="24" t="str">
        <f t="shared" si="9"/>
        <v/>
      </c>
      <c r="H170" s="24" t="str">
        <f t="shared" si="10"/>
        <v/>
      </c>
      <c r="I170" s="24" t="str">
        <f t="shared" si="11"/>
        <v/>
      </c>
    </row>
    <row r="171" spans="1:9" x14ac:dyDescent="0.3">
      <c r="A171" s="11">
        <v>167</v>
      </c>
      <c r="B171" s="24" t="str">
        <f>IFERROR(INDEX(Kobo_Import!$A$2:$CZ$301,$A171,Field_Map!$B$13)&amp;"","")</f>
        <v/>
      </c>
      <c r="C171" s="24" t="str">
        <f>IFERROR(INDEX(Kobo_Import!$A$2:$CZ$301,$A171,Field_Map!$B$12)&amp;"","")</f>
        <v/>
      </c>
      <c r="D171" s="28" t="str">
        <f>IF(B171="","",IFERROR(IF(ISNUMBER(INDEX(Kobo_Import!$A$2:$CZ$301,$A171,Field_Map!$B$7)),INDEX(Kobo_Import!$A$2:$CZ$301,$A171,Field_Map!$B$7),DATEVALUE(INDEX(Kobo_Import!$A$2:$CZ$301,$A171,Field_Map!$B$7)&amp;"")),""))</f>
        <v/>
      </c>
      <c r="E171" s="24" t="str">
        <f>IFERROR(INDEX(Kobo_Import!$A$2:$CZ$301,$A171,Field_Map!$B$11)&amp;"","")</f>
        <v/>
      </c>
      <c r="F171" s="27">
        <f t="shared" si="8"/>
        <v>0</v>
      </c>
      <c r="G171" s="24" t="str">
        <f t="shared" si="9"/>
        <v/>
      </c>
      <c r="H171" s="24" t="str">
        <f t="shared" si="10"/>
        <v/>
      </c>
      <c r="I171" s="24" t="str">
        <f t="shared" si="11"/>
        <v/>
      </c>
    </row>
    <row r="172" spans="1:9" x14ac:dyDescent="0.3">
      <c r="A172" s="11">
        <v>168</v>
      </c>
      <c r="B172" s="24" t="str">
        <f>IFERROR(INDEX(Kobo_Import!$A$2:$CZ$301,$A172,Field_Map!$B$13)&amp;"","")</f>
        <v/>
      </c>
      <c r="C172" s="24" t="str">
        <f>IFERROR(INDEX(Kobo_Import!$A$2:$CZ$301,$A172,Field_Map!$B$12)&amp;"","")</f>
        <v/>
      </c>
      <c r="D172" s="28" t="str">
        <f>IF(B172="","",IFERROR(IF(ISNUMBER(INDEX(Kobo_Import!$A$2:$CZ$301,$A172,Field_Map!$B$7)),INDEX(Kobo_Import!$A$2:$CZ$301,$A172,Field_Map!$B$7),DATEVALUE(INDEX(Kobo_Import!$A$2:$CZ$301,$A172,Field_Map!$B$7)&amp;"")),""))</f>
        <v/>
      </c>
      <c r="E172" s="24" t="str">
        <f>IFERROR(INDEX(Kobo_Import!$A$2:$CZ$301,$A172,Field_Map!$B$11)&amp;"","")</f>
        <v/>
      </c>
      <c r="F172" s="27">
        <f t="shared" si="8"/>
        <v>0</v>
      </c>
      <c r="G172" s="24" t="str">
        <f t="shared" si="9"/>
        <v/>
      </c>
      <c r="H172" s="24" t="str">
        <f t="shared" si="10"/>
        <v/>
      </c>
      <c r="I172" s="24" t="str">
        <f t="shared" si="11"/>
        <v/>
      </c>
    </row>
    <row r="173" spans="1:9" x14ac:dyDescent="0.3">
      <c r="A173" s="11">
        <v>169</v>
      </c>
      <c r="B173" s="24" t="str">
        <f>IFERROR(INDEX(Kobo_Import!$A$2:$CZ$301,$A173,Field_Map!$B$13)&amp;"","")</f>
        <v/>
      </c>
      <c r="C173" s="24" t="str">
        <f>IFERROR(INDEX(Kobo_Import!$A$2:$CZ$301,$A173,Field_Map!$B$12)&amp;"","")</f>
        <v/>
      </c>
      <c r="D173" s="28" t="str">
        <f>IF(B173="","",IFERROR(IF(ISNUMBER(INDEX(Kobo_Import!$A$2:$CZ$301,$A173,Field_Map!$B$7)),INDEX(Kobo_Import!$A$2:$CZ$301,$A173,Field_Map!$B$7),DATEVALUE(INDEX(Kobo_Import!$A$2:$CZ$301,$A173,Field_Map!$B$7)&amp;"")),""))</f>
        <v/>
      </c>
      <c r="E173" s="24" t="str">
        <f>IFERROR(INDEX(Kobo_Import!$A$2:$CZ$301,$A173,Field_Map!$B$11)&amp;"","")</f>
        <v/>
      </c>
      <c r="F173" s="27">
        <f t="shared" si="8"/>
        <v>0</v>
      </c>
      <c r="G173" s="24" t="str">
        <f t="shared" si="9"/>
        <v/>
      </c>
      <c r="H173" s="24" t="str">
        <f t="shared" si="10"/>
        <v/>
      </c>
      <c r="I173" s="24" t="str">
        <f t="shared" si="11"/>
        <v/>
      </c>
    </row>
    <row r="174" spans="1:9" x14ac:dyDescent="0.3">
      <c r="A174" s="11">
        <v>170</v>
      </c>
      <c r="B174" s="24" t="str">
        <f>IFERROR(INDEX(Kobo_Import!$A$2:$CZ$301,$A174,Field_Map!$B$13)&amp;"","")</f>
        <v/>
      </c>
      <c r="C174" s="24" t="str">
        <f>IFERROR(INDEX(Kobo_Import!$A$2:$CZ$301,$A174,Field_Map!$B$12)&amp;"","")</f>
        <v/>
      </c>
      <c r="D174" s="28" t="str">
        <f>IF(B174="","",IFERROR(IF(ISNUMBER(INDEX(Kobo_Import!$A$2:$CZ$301,$A174,Field_Map!$B$7)),INDEX(Kobo_Import!$A$2:$CZ$301,$A174,Field_Map!$B$7),DATEVALUE(INDEX(Kobo_Import!$A$2:$CZ$301,$A174,Field_Map!$B$7)&amp;"")),""))</f>
        <v/>
      </c>
      <c r="E174" s="24" t="str">
        <f>IFERROR(INDEX(Kobo_Import!$A$2:$CZ$301,$A174,Field_Map!$B$11)&amp;"","")</f>
        <v/>
      </c>
      <c r="F174" s="27">
        <f t="shared" si="8"/>
        <v>0</v>
      </c>
      <c r="G174" s="24" t="str">
        <f t="shared" si="9"/>
        <v/>
      </c>
      <c r="H174" s="24" t="str">
        <f t="shared" si="10"/>
        <v/>
      </c>
      <c r="I174" s="24" t="str">
        <f t="shared" si="11"/>
        <v/>
      </c>
    </row>
    <row r="175" spans="1:9" x14ac:dyDescent="0.3">
      <c r="A175" s="11">
        <v>171</v>
      </c>
      <c r="B175" s="24" t="str">
        <f>IFERROR(INDEX(Kobo_Import!$A$2:$CZ$301,$A175,Field_Map!$B$13)&amp;"","")</f>
        <v/>
      </c>
      <c r="C175" s="24" t="str">
        <f>IFERROR(INDEX(Kobo_Import!$A$2:$CZ$301,$A175,Field_Map!$B$12)&amp;"","")</f>
        <v/>
      </c>
      <c r="D175" s="28" t="str">
        <f>IF(B175="","",IFERROR(IF(ISNUMBER(INDEX(Kobo_Import!$A$2:$CZ$301,$A175,Field_Map!$B$7)),INDEX(Kobo_Import!$A$2:$CZ$301,$A175,Field_Map!$B$7),DATEVALUE(INDEX(Kobo_Import!$A$2:$CZ$301,$A175,Field_Map!$B$7)&amp;"")),""))</f>
        <v/>
      </c>
      <c r="E175" s="24" t="str">
        <f>IFERROR(INDEX(Kobo_Import!$A$2:$CZ$301,$A175,Field_Map!$B$11)&amp;"","")</f>
        <v/>
      </c>
      <c r="F175" s="27">
        <f t="shared" si="8"/>
        <v>0</v>
      </c>
      <c r="G175" s="24" t="str">
        <f t="shared" si="9"/>
        <v/>
      </c>
      <c r="H175" s="24" t="str">
        <f t="shared" si="10"/>
        <v/>
      </c>
      <c r="I175" s="24" t="str">
        <f t="shared" si="11"/>
        <v/>
      </c>
    </row>
    <row r="176" spans="1:9" x14ac:dyDescent="0.3">
      <c r="A176" s="11">
        <v>172</v>
      </c>
      <c r="B176" s="24" t="str">
        <f>IFERROR(INDEX(Kobo_Import!$A$2:$CZ$301,$A176,Field_Map!$B$13)&amp;"","")</f>
        <v/>
      </c>
      <c r="C176" s="24" t="str">
        <f>IFERROR(INDEX(Kobo_Import!$A$2:$CZ$301,$A176,Field_Map!$B$12)&amp;"","")</f>
        <v/>
      </c>
      <c r="D176" s="28" t="str">
        <f>IF(B176="","",IFERROR(IF(ISNUMBER(INDEX(Kobo_Import!$A$2:$CZ$301,$A176,Field_Map!$B$7)),INDEX(Kobo_Import!$A$2:$CZ$301,$A176,Field_Map!$B$7),DATEVALUE(INDEX(Kobo_Import!$A$2:$CZ$301,$A176,Field_Map!$B$7)&amp;"")),""))</f>
        <v/>
      </c>
      <c r="E176" s="24" t="str">
        <f>IFERROR(INDEX(Kobo_Import!$A$2:$CZ$301,$A176,Field_Map!$B$11)&amp;"","")</f>
        <v/>
      </c>
      <c r="F176" s="27">
        <f t="shared" si="8"/>
        <v>0</v>
      </c>
      <c r="G176" s="24" t="str">
        <f t="shared" si="9"/>
        <v/>
      </c>
      <c r="H176" s="24" t="str">
        <f t="shared" si="10"/>
        <v/>
      </c>
      <c r="I176" s="24" t="str">
        <f t="shared" si="11"/>
        <v/>
      </c>
    </row>
    <row r="177" spans="1:9" x14ac:dyDescent="0.3">
      <c r="A177" s="11">
        <v>173</v>
      </c>
      <c r="B177" s="24" t="str">
        <f>IFERROR(INDEX(Kobo_Import!$A$2:$CZ$301,$A177,Field_Map!$B$13)&amp;"","")</f>
        <v/>
      </c>
      <c r="C177" s="24" t="str">
        <f>IFERROR(INDEX(Kobo_Import!$A$2:$CZ$301,$A177,Field_Map!$B$12)&amp;"","")</f>
        <v/>
      </c>
      <c r="D177" s="28" t="str">
        <f>IF(B177="","",IFERROR(IF(ISNUMBER(INDEX(Kobo_Import!$A$2:$CZ$301,$A177,Field_Map!$B$7)),INDEX(Kobo_Import!$A$2:$CZ$301,$A177,Field_Map!$B$7),DATEVALUE(INDEX(Kobo_Import!$A$2:$CZ$301,$A177,Field_Map!$B$7)&amp;"")),""))</f>
        <v/>
      </c>
      <c r="E177" s="24" t="str">
        <f>IFERROR(INDEX(Kobo_Import!$A$2:$CZ$301,$A177,Field_Map!$B$11)&amp;"","")</f>
        <v/>
      </c>
      <c r="F177" s="27">
        <f t="shared" si="8"/>
        <v>0</v>
      </c>
      <c r="G177" s="24" t="str">
        <f t="shared" si="9"/>
        <v/>
      </c>
      <c r="H177" s="24" t="str">
        <f t="shared" si="10"/>
        <v/>
      </c>
      <c r="I177" s="24" t="str">
        <f t="shared" si="11"/>
        <v/>
      </c>
    </row>
    <row r="178" spans="1:9" x14ac:dyDescent="0.3">
      <c r="A178" s="11">
        <v>174</v>
      </c>
      <c r="B178" s="24" t="str">
        <f>IFERROR(INDEX(Kobo_Import!$A$2:$CZ$301,$A178,Field_Map!$B$13)&amp;"","")</f>
        <v/>
      </c>
      <c r="C178" s="24" t="str">
        <f>IFERROR(INDEX(Kobo_Import!$A$2:$CZ$301,$A178,Field_Map!$B$12)&amp;"","")</f>
        <v/>
      </c>
      <c r="D178" s="28" t="str">
        <f>IF(B178="","",IFERROR(IF(ISNUMBER(INDEX(Kobo_Import!$A$2:$CZ$301,$A178,Field_Map!$B$7)),INDEX(Kobo_Import!$A$2:$CZ$301,$A178,Field_Map!$B$7),DATEVALUE(INDEX(Kobo_Import!$A$2:$CZ$301,$A178,Field_Map!$B$7)&amp;"")),""))</f>
        <v/>
      </c>
      <c r="E178" s="24" t="str">
        <f>IFERROR(INDEX(Kobo_Import!$A$2:$CZ$301,$A178,Field_Map!$B$11)&amp;"","")</f>
        <v/>
      </c>
      <c r="F178" s="27">
        <f t="shared" si="8"/>
        <v>0</v>
      </c>
      <c r="G178" s="24" t="str">
        <f t="shared" si="9"/>
        <v/>
      </c>
      <c r="H178" s="24" t="str">
        <f t="shared" si="10"/>
        <v/>
      </c>
      <c r="I178" s="24" t="str">
        <f t="shared" si="11"/>
        <v/>
      </c>
    </row>
    <row r="179" spans="1:9" x14ac:dyDescent="0.3">
      <c r="A179" s="11">
        <v>175</v>
      </c>
      <c r="B179" s="24" t="str">
        <f>IFERROR(INDEX(Kobo_Import!$A$2:$CZ$301,$A179,Field_Map!$B$13)&amp;"","")</f>
        <v/>
      </c>
      <c r="C179" s="24" t="str">
        <f>IFERROR(INDEX(Kobo_Import!$A$2:$CZ$301,$A179,Field_Map!$B$12)&amp;"","")</f>
        <v/>
      </c>
      <c r="D179" s="28" t="str">
        <f>IF(B179="","",IFERROR(IF(ISNUMBER(INDEX(Kobo_Import!$A$2:$CZ$301,$A179,Field_Map!$B$7)),INDEX(Kobo_Import!$A$2:$CZ$301,$A179,Field_Map!$B$7),DATEVALUE(INDEX(Kobo_Import!$A$2:$CZ$301,$A179,Field_Map!$B$7)&amp;"")),""))</f>
        <v/>
      </c>
      <c r="E179" s="24" t="str">
        <f>IFERROR(INDEX(Kobo_Import!$A$2:$CZ$301,$A179,Field_Map!$B$11)&amp;"","")</f>
        <v/>
      </c>
      <c r="F179" s="27">
        <f t="shared" si="8"/>
        <v>0</v>
      </c>
      <c r="G179" s="24" t="str">
        <f t="shared" si="9"/>
        <v/>
      </c>
      <c r="H179" s="24" t="str">
        <f t="shared" si="10"/>
        <v/>
      </c>
      <c r="I179" s="24" t="str">
        <f t="shared" si="11"/>
        <v/>
      </c>
    </row>
    <row r="180" spans="1:9" x14ac:dyDescent="0.3">
      <c r="A180" s="11">
        <v>176</v>
      </c>
      <c r="B180" s="24" t="str">
        <f>IFERROR(INDEX(Kobo_Import!$A$2:$CZ$301,$A180,Field_Map!$B$13)&amp;"","")</f>
        <v/>
      </c>
      <c r="C180" s="24" t="str">
        <f>IFERROR(INDEX(Kobo_Import!$A$2:$CZ$301,$A180,Field_Map!$B$12)&amp;"","")</f>
        <v/>
      </c>
      <c r="D180" s="28" t="str">
        <f>IF(B180="","",IFERROR(IF(ISNUMBER(INDEX(Kobo_Import!$A$2:$CZ$301,$A180,Field_Map!$B$7)),INDEX(Kobo_Import!$A$2:$CZ$301,$A180,Field_Map!$B$7),DATEVALUE(INDEX(Kobo_Import!$A$2:$CZ$301,$A180,Field_Map!$B$7)&amp;"")),""))</f>
        <v/>
      </c>
      <c r="E180" s="24" t="str">
        <f>IFERROR(INDEX(Kobo_Import!$A$2:$CZ$301,$A180,Field_Map!$B$11)&amp;"","")</f>
        <v/>
      </c>
      <c r="F180" s="27">
        <f t="shared" si="8"/>
        <v>0</v>
      </c>
      <c r="G180" s="24" t="str">
        <f t="shared" si="9"/>
        <v/>
      </c>
      <c r="H180" s="24" t="str">
        <f t="shared" si="10"/>
        <v/>
      </c>
      <c r="I180" s="24" t="str">
        <f t="shared" si="11"/>
        <v/>
      </c>
    </row>
    <row r="181" spans="1:9" x14ac:dyDescent="0.3">
      <c r="A181" s="11">
        <v>177</v>
      </c>
      <c r="B181" s="24" t="str">
        <f>IFERROR(INDEX(Kobo_Import!$A$2:$CZ$301,$A181,Field_Map!$B$13)&amp;"","")</f>
        <v/>
      </c>
      <c r="C181" s="24" t="str">
        <f>IFERROR(INDEX(Kobo_Import!$A$2:$CZ$301,$A181,Field_Map!$B$12)&amp;"","")</f>
        <v/>
      </c>
      <c r="D181" s="28" t="str">
        <f>IF(B181="","",IFERROR(IF(ISNUMBER(INDEX(Kobo_Import!$A$2:$CZ$301,$A181,Field_Map!$B$7)),INDEX(Kobo_Import!$A$2:$CZ$301,$A181,Field_Map!$B$7),DATEVALUE(INDEX(Kobo_Import!$A$2:$CZ$301,$A181,Field_Map!$B$7)&amp;"")),""))</f>
        <v/>
      </c>
      <c r="E181" s="24" t="str">
        <f>IFERROR(INDEX(Kobo_Import!$A$2:$CZ$301,$A181,Field_Map!$B$11)&amp;"","")</f>
        <v/>
      </c>
      <c r="F181" s="27">
        <f t="shared" si="8"/>
        <v>0</v>
      </c>
      <c r="G181" s="24" t="str">
        <f t="shared" si="9"/>
        <v/>
      </c>
      <c r="H181" s="24" t="str">
        <f t="shared" si="10"/>
        <v/>
      </c>
      <c r="I181" s="24" t="str">
        <f t="shared" si="11"/>
        <v/>
      </c>
    </row>
    <row r="182" spans="1:9" x14ac:dyDescent="0.3">
      <c r="A182" s="11">
        <v>178</v>
      </c>
      <c r="B182" s="24" t="str">
        <f>IFERROR(INDEX(Kobo_Import!$A$2:$CZ$301,$A182,Field_Map!$B$13)&amp;"","")</f>
        <v/>
      </c>
      <c r="C182" s="24" t="str">
        <f>IFERROR(INDEX(Kobo_Import!$A$2:$CZ$301,$A182,Field_Map!$B$12)&amp;"","")</f>
        <v/>
      </c>
      <c r="D182" s="28" t="str">
        <f>IF(B182="","",IFERROR(IF(ISNUMBER(INDEX(Kobo_Import!$A$2:$CZ$301,$A182,Field_Map!$B$7)),INDEX(Kobo_Import!$A$2:$CZ$301,$A182,Field_Map!$B$7),DATEVALUE(INDEX(Kobo_Import!$A$2:$CZ$301,$A182,Field_Map!$B$7)&amp;"")),""))</f>
        <v/>
      </c>
      <c r="E182" s="24" t="str">
        <f>IFERROR(INDEX(Kobo_Import!$A$2:$CZ$301,$A182,Field_Map!$B$11)&amp;"","")</f>
        <v/>
      </c>
      <c r="F182" s="27">
        <f t="shared" si="8"/>
        <v>0</v>
      </c>
      <c r="G182" s="24" t="str">
        <f t="shared" si="9"/>
        <v/>
      </c>
      <c r="H182" s="24" t="str">
        <f t="shared" si="10"/>
        <v/>
      </c>
      <c r="I182" s="24" t="str">
        <f t="shared" si="11"/>
        <v/>
      </c>
    </row>
    <row r="183" spans="1:9" x14ac:dyDescent="0.3">
      <c r="A183" s="11">
        <v>179</v>
      </c>
      <c r="B183" s="24" t="str">
        <f>IFERROR(INDEX(Kobo_Import!$A$2:$CZ$301,$A183,Field_Map!$B$13)&amp;"","")</f>
        <v/>
      </c>
      <c r="C183" s="24" t="str">
        <f>IFERROR(INDEX(Kobo_Import!$A$2:$CZ$301,$A183,Field_Map!$B$12)&amp;"","")</f>
        <v/>
      </c>
      <c r="D183" s="28" t="str">
        <f>IF(B183="","",IFERROR(IF(ISNUMBER(INDEX(Kobo_Import!$A$2:$CZ$301,$A183,Field_Map!$B$7)),INDEX(Kobo_Import!$A$2:$CZ$301,$A183,Field_Map!$B$7),DATEVALUE(INDEX(Kobo_Import!$A$2:$CZ$301,$A183,Field_Map!$B$7)&amp;"")),""))</f>
        <v/>
      </c>
      <c r="E183" s="24" t="str">
        <f>IFERROR(INDEX(Kobo_Import!$A$2:$CZ$301,$A183,Field_Map!$B$11)&amp;"","")</f>
        <v/>
      </c>
      <c r="F183" s="27">
        <f t="shared" si="8"/>
        <v>0</v>
      </c>
      <c r="G183" s="24" t="str">
        <f t="shared" si="9"/>
        <v/>
      </c>
      <c r="H183" s="24" t="str">
        <f t="shared" si="10"/>
        <v/>
      </c>
      <c r="I183" s="24" t="str">
        <f t="shared" si="11"/>
        <v/>
      </c>
    </row>
    <row r="184" spans="1:9" x14ac:dyDescent="0.3">
      <c r="A184" s="11">
        <v>180</v>
      </c>
      <c r="B184" s="24" t="str">
        <f>IFERROR(INDEX(Kobo_Import!$A$2:$CZ$301,$A184,Field_Map!$B$13)&amp;"","")</f>
        <v/>
      </c>
      <c r="C184" s="24" t="str">
        <f>IFERROR(INDEX(Kobo_Import!$A$2:$CZ$301,$A184,Field_Map!$B$12)&amp;"","")</f>
        <v/>
      </c>
      <c r="D184" s="28" t="str">
        <f>IF(B184="","",IFERROR(IF(ISNUMBER(INDEX(Kobo_Import!$A$2:$CZ$301,$A184,Field_Map!$B$7)),INDEX(Kobo_Import!$A$2:$CZ$301,$A184,Field_Map!$B$7),DATEVALUE(INDEX(Kobo_Import!$A$2:$CZ$301,$A184,Field_Map!$B$7)&amp;"")),""))</f>
        <v/>
      </c>
      <c r="E184" s="24" t="str">
        <f>IFERROR(INDEX(Kobo_Import!$A$2:$CZ$301,$A184,Field_Map!$B$11)&amp;"","")</f>
        <v/>
      </c>
      <c r="F184" s="27">
        <f t="shared" si="8"/>
        <v>0</v>
      </c>
      <c r="G184" s="24" t="str">
        <f t="shared" si="9"/>
        <v/>
      </c>
      <c r="H184" s="24" t="str">
        <f t="shared" si="10"/>
        <v/>
      </c>
      <c r="I184" s="24" t="str">
        <f t="shared" si="11"/>
        <v/>
      </c>
    </row>
    <row r="185" spans="1:9" x14ac:dyDescent="0.3">
      <c r="A185" s="11">
        <v>181</v>
      </c>
      <c r="B185" s="24" t="str">
        <f>IFERROR(INDEX(Kobo_Import!$A$2:$CZ$301,$A185,Field_Map!$B$13)&amp;"","")</f>
        <v/>
      </c>
      <c r="C185" s="24" t="str">
        <f>IFERROR(INDEX(Kobo_Import!$A$2:$CZ$301,$A185,Field_Map!$B$12)&amp;"","")</f>
        <v/>
      </c>
      <c r="D185" s="28" t="str">
        <f>IF(B185="","",IFERROR(IF(ISNUMBER(INDEX(Kobo_Import!$A$2:$CZ$301,$A185,Field_Map!$B$7)),INDEX(Kobo_Import!$A$2:$CZ$301,$A185,Field_Map!$B$7),DATEVALUE(INDEX(Kobo_Import!$A$2:$CZ$301,$A185,Field_Map!$B$7)&amp;"")),""))</f>
        <v/>
      </c>
      <c r="E185" s="24" t="str">
        <f>IFERROR(INDEX(Kobo_Import!$A$2:$CZ$301,$A185,Field_Map!$B$11)&amp;"","")</f>
        <v/>
      </c>
      <c r="F185" s="27">
        <f t="shared" si="8"/>
        <v>0</v>
      </c>
      <c r="G185" s="24" t="str">
        <f t="shared" si="9"/>
        <v/>
      </c>
      <c r="H185" s="24" t="str">
        <f t="shared" si="10"/>
        <v/>
      </c>
      <c r="I185" s="24" t="str">
        <f t="shared" si="11"/>
        <v/>
      </c>
    </row>
    <row r="186" spans="1:9" x14ac:dyDescent="0.3">
      <c r="A186" s="11">
        <v>182</v>
      </c>
      <c r="B186" s="24" t="str">
        <f>IFERROR(INDEX(Kobo_Import!$A$2:$CZ$301,$A186,Field_Map!$B$13)&amp;"","")</f>
        <v/>
      </c>
      <c r="C186" s="24" t="str">
        <f>IFERROR(INDEX(Kobo_Import!$A$2:$CZ$301,$A186,Field_Map!$B$12)&amp;"","")</f>
        <v/>
      </c>
      <c r="D186" s="28" t="str">
        <f>IF(B186="","",IFERROR(IF(ISNUMBER(INDEX(Kobo_Import!$A$2:$CZ$301,$A186,Field_Map!$B$7)),INDEX(Kobo_Import!$A$2:$CZ$301,$A186,Field_Map!$B$7),DATEVALUE(INDEX(Kobo_Import!$A$2:$CZ$301,$A186,Field_Map!$B$7)&amp;"")),""))</f>
        <v/>
      </c>
      <c r="E186" s="24" t="str">
        <f>IFERROR(INDEX(Kobo_Import!$A$2:$CZ$301,$A186,Field_Map!$B$11)&amp;"","")</f>
        <v/>
      </c>
      <c r="F186" s="27">
        <f t="shared" si="8"/>
        <v>0</v>
      </c>
      <c r="G186" s="24" t="str">
        <f t="shared" si="9"/>
        <v/>
      </c>
      <c r="H186" s="24" t="str">
        <f t="shared" si="10"/>
        <v/>
      </c>
      <c r="I186" s="24" t="str">
        <f t="shared" si="11"/>
        <v/>
      </c>
    </row>
    <row r="187" spans="1:9" x14ac:dyDescent="0.3">
      <c r="A187" s="11">
        <v>183</v>
      </c>
      <c r="B187" s="24" t="str">
        <f>IFERROR(INDEX(Kobo_Import!$A$2:$CZ$301,$A187,Field_Map!$B$13)&amp;"","")</f>
        <v/>
      </c>
      <c r="C187" s="24" t="str">
        <f>IFERROR(INDEX(Kobo_Import!$A$2:$CZ$301,$A187,Field_Map!$B$12)&amp;"","")</f>
        <v/>
      </c>
      <c r="D187" s="28" t="str">
        <f>IF(B187="","",IFERROR(IF(ISNUMBER(INDEX(Kobo_Import!$A$2:$CZ$301,$A187,Field_Map!$B$7)),INDEX(Kobo_Import!$A$2:$CZ$301,$A187,Field_Map!$B$7),DATEVALUE(INDEX(Kobo_Import!$A$2:$CZ$301,$A187,Field_Map!$B$7)&amp;"")),""))</f>
        <v/>
      </c>
      <c r="E187" s="24" t="str">
        <f>IFERROR(INDEX(Kobo_Import!$A$2:$CZ$301,$A187,Field_Map!$B$11)&amp;"","")</f>
        <v/>
      </c>
      <c r="F187" s="27">
        <f t="shared" si="8"/>
        <v>0</v>
      </c>
      <c r="G187" s="24" t="str">
        <f t="shared" si="9"/>
        <v/>
      </c>
      <c r="H187" s="24" t="str">
        <f t="shared" si="10"/>
        <v/>
      </c>
      <c r="I187" s="24" t="str">
        <f t="shared" si="11"/>
        <v/>
      </c>
    </row>
    <row r="188" spans="1:9" x14ac:dyDescent="0.3">
      <c r="A188" s="11">
        <v>184</v>
      </c>
      <c r="B188" s="24" t="str">
        <f>IFERROR(INDEX(Kobo_Import!$A$2:$CZ$301,$A188,Field_Map!$B$13)&amp;"","")</f>
        <v/>
      </c>
      <c r="C188" s="24" t="str">
        <f>IFERROR(INDEX(Kobo_Import!$A$2:$CZ$301,$A188,Field_Map!$B$12)&amp;"","")</f>
        <v/>
      </c>
      <c r="D188" s="28" t="str">
        <f>IF(B188="","",IFERROR(IF(ISNUMBER(INDEX(Kobo_Import!$A$2:$CZ$301,$A188,Field_Map!$B$7)),INDEX(Kobo_Import!$A$2:$CZ$301,$A188,Field_Map!$B$7),DATEVALUE(INDEX(Kobo_Import!$A$2:$CZ$301,$A188,Field_Map!$B$7)&amp;"")),""))</f>
        <v/>
      </c>
      <c r="E188" s="24" t="str">
        <f>IFERROR(INDEX(Kobo_Import!$A$2:$CZ$301,$A188,Field_Map!$B$11)&amp;"","")</f>
        <v/>
      </c>
      <c r="F188" s="27">
        <f t="shared" si="8"/>
        <v>0</v>
      </c>
      <c r="G188" s="24" t="str">
        <f t="shared" si="9"/>
        <v/>
      </c>
      <c r="H188" s="24" t="str">
        <f t="shared" si="10"/>
        <v/>
      </c>
      <c r="I188" s="24" t="str">
        <f t="shared" si="11"/>
        <v/>
      </c>
    </row>
    <row r="189" spans="1:9" x14ac:dyDescent="0.3">
      <c r="A189" s="11">
        <v>185</v>
      </c>
      <c r="B189" s="24" t="str">
        <f>IFERROR(INDEX(Kobo_Import!$A$2:$CZ$301,$A189,Field_Map!$B$13)&amp;"","")</f>
        <v/>
      </c>
      <c r="C189" s="24" t="str">
        <f>IFERROR(INDEX(Kobo_Import!$A$2:$CZ$301,$A189,Field_Map!$B$12)&amp;"","")</f>
        <v/>
      </c>
      <c r="D189" s="28" t="str">
        <f>IF(B189="","",IFERROR(IF(ISNUMBER(INDEX(Kobo_Import!$A$2:$CZ$301,$A189,Field_Map!$B$7)),INDEX(Kobo_Import!$A$2:$CZ$301,$A189,Field_Map!$B$7),DATEVALUE(INDEX(Kobo_Import!$A$2:$CZ$301,$A189,Field_Map!$B$7)&amp;"")),""))</f>
        <v/>
      </c>
      <c r="E189" s="24" t="str">
        <f>IFERROR(INDEX(Kobo_Import!$A$2:$CZ$301,$A189,Field_Map!$B$11)&amp;"","")</f>
        <v/>
      </c>
      <c r="F189" s="27">
        <f t="shared" si="8"/>
        <v>0</v>
      </c>
      <c r="G189" s="24" t="str">
        <f t="shared" si="9"/>
        <v/>
      </c>
      <c r="H189" s="24" t="str">
        <f t="shared" si="10"/>
        <v/>
      </c>
      <c r="I189" s="24" t="str">
        <f t="shared" si="11"/>
        <v/>
      </c>
    </row>
    <row r="190" spans="1:9" x14ac:dyDescent="0.3">
      <c r="A190" s="11">
        <v>186</v>
      </c>
      <c r="B190" s="24" t="str">
        <f>IFERROR(INDEX(Kobo_Import!$A$2:$CZ$301,$A190,Field_Map!$B$13)&amp;"","")</f>
        <v/>
      </c>
      <c r="C190" s="24" t="str">
        <f>IFERROR(INDEX(Kobo_Import!$A$2:$CZ$301,$A190,Field_Map!$B$12)&amp;"","")</f>
        <v/>
      </c>
      <c r="D190" s="28" t="str">
        <f>IF(B190="","",IFERROR(IF(ISNUMBER(INDEX(Kobo_Import!$A$2:$CZ$301,$A190,Field_Map!$B$7)),INDEX(Kobo_Import!$A$2:$CZ$301,$A190,Field_Map!$B$7),DATEVALUE(INDEX(Kobo_Import!$A$2:$CZ$301,$A190,Field_Map!$B$7)&amp;"")),""))</f>
        <v/>
      </c>
      <c r="E190" s="24" t="str">
        <f>IFERROR(INDEX(Kobo_Import!$A$2:$CZ$301,$A190,Field_Map!$B$11)&amp;"","")</f>
        <v/>
      </c>
      <c r="F190" s="27">
        <f t="shared" si="8"/>
        <v>0</v>
      </c>
      <c r="G190" s="24" t="str">
        <f t="shared" si="9"/>
        <v/>
      </c>
      <c r="H190" s="24" t="str">
        <f t="shared" si="10"/>
        <v/>
      </c>
      <c r="I190" s="24" t="str">
        <f t="shared" si="11"/>
        <v/>
      </c>
    </row>
    <row r="191" spans="1:9" x14ac:dyDescent="0.3">
      <c r="A191" s="11">
        <v>187</v>
      </c>
      <c r="B191" s="24" t="str">
        <f>IFERROR(INDEX(Kobo_Import!$A$2:$CZ$301,$A191,Field_Map!$B$13)&amp;"","")</f>
        <v/>
      </c>
      <c r="C191" s="24" t="str">
        <f>IFERROR(INDEX(Kobo_Import!$A$2:$CZ$301,$A191,Field_Map!$B$12)&amp;"","")</f>
        <v/>
      </c>
      <c r="D191" s="28" t="str">
        <f>IF(B191="","",IFERROR(IF(ISNUMBER(INDEX(Kobo_Import!$A$2:$CZ$301,$A191,Field_Map!$B$7)),INDEX(Kobo_Import!$A$2:$CZ$301,$A191,Field_Map!$B$7),DATEVALUE(INDEX(Kobo_Import!$A$2:$CZ$301,$A191,Field_Map!$B$7)&amp;"")),""))</f>
        <v/>
      </c>
      <c r="E191" s="24" t="str">
        <f>IFERROR(INDEX(Kobo_Import!$A$2:$CZ$301,$A191,Field_Map!$B$11)&amp;"","")</f>
        <v/>
      </c>
      <c r="F191" s="27">
        <f t="shared" si="8"/>
        <v>0</v>
      </c>
      <c r="G191" s="24" t="str">
        <f t="shared" si="9"/>
        <v/>
      </c>
      <c r="H191" s="24" t="str">
        <f t="shared" si="10"/>
        <v/>
      </c>
      <c r="I191" s="24" t="str">
        <f t="shared" si="11"/>
        <v/>
      </c>
    </row>
    <row r="192" spans="1:9" x14ac:dyDescent="0.3">
      <c r="A192" s="11">
        <v>188</v>
      </c>
      <c r="B192" s="24" t="str">
        <f>IFERROR(INDEX(Kobo_Import!$A$2:$CZ$301,$A192,Field_Map!$B$13)&amp;"","")</f>
        <v/>
      </c>
      <c r="C192" s="24" t="str">
        <f>IFERROR(INDEX(Kobo_Import!$A$2:$CZ$301,$A192,Field_Map!$B$12)&amp;"","")</f>
        <v/>
      </c>
      <c r="D192" s="28" t="str">
        <f>IF(B192="","",IFERROR(IF(ISNUMBER(INDEX(Kobo_Import!$A$2:$CZ$301,$A192,Field_Map!$B$7)),INDEX(Kobo_Import!$A$2:$CZ$301,$A192,Field_Map!$B$7),DATEVALUE(INDEX(Kobo_Import!$A$2:$CZ$301,$A192,Field_Map!$B$7)&amp;"")),""))</f>
        <v/>
      </c>
      <c r="E192" s="24" t="str">
        <f>IFERROR(INDEX(Kobo_Import!$A$2:$CZ$301,$A192,Field_Map!$B$11)&amp;"","")</f>
        <v/>
      </c>
      <c r="F192" s="27">
        <f t="shared" si="8"/>
        <v>0</v>
      </c>
      <c r="G192" s="24" t="str">
        <f t="shared" si="9"/>
        <v/>
      </c>
      <c r="H192" s="24" t="str">
        <f t="shared" si="10"/>
        <v/>
      </c>
      <c r="I192" s="24" t="str">
        <f t="shared" si="11"/>
        <v/>
      </c>
    </row>
    <row r="193" spans="1:9" x14ac:dyDescent="0.3">
      <c r="A193" s="11">
        <v>189</v>
      </c>
      <c r="B193" s="24" t="str">
        <f>IFERROR(INDEX(Kobo_Import!$A$2:$CZ$301,$A193,Field_Map!$B$13)&amp;"","")</f>
        <v/>
      </c>
      <c r="C193" s="24" t="str">
        <f>IFERROR(INDEX(Kobo_Import!$A$2:$CZ$301,$A193,Field_Map!$B$12)&amp;"","")</f>
        <v/>
      </c>
      <c r="D193" s="28" t="str">
        <f>IF(B193="","",IFERROR(IF(ISNUMBER(INDEX(Kobo_Import!$A$2:$CZ$301,$A193,Field_Map!$B$7)),INDEX(Kobo_Import!$A$2:$CZ$301,$A193,Field_Map!$B$7),DATEVALUE(INDEX(Kobo_Import!$A$2:$CZ$301,$A193,Field_Map!$B$7)&amp;"")),""))</f>
        <v/>
      </c>
      <c r="E193" s="24" t="str">
        <f>IFERROR(INDEX(Kobo_Import!$A$2:$CZ$301,$A193,Field_Map!$B$11)&amp;"","")</f>
        <v/>
      </c>
      <c r="F193" s="27">
        <f t="shared" si="8"/>
        <v>0</v>
      </c>
      <c r="G193" s="24" t="str">
        <f t="shared" si="9"/>
        <v/>
      </c>
      <c r="H193" s="24" t="str">
        <f t="shared" si="10"/>
        <v/>
      </c>
      <c r="I193" s="24" t="str">
        <f t="shared" si="11"/>
        <v/>
      </c>
    </row>
    <row r="194" spans="1:9" x14ac:dyDescent="0.3">
      <c r="A194" s="11">
        <v>190</v>
      </c>
      <c r="B194" s="24" t="str">
        <f>IFERROR(INDEX(Kobo_Import!$A$2:$CZ$301,$A194,Field_Map!$B$13)&amp;"","")</f>
        <v/>
      </c>
      <c r="C194" s="24" t="str">
        <f>IFERROR(INDEX(Kobo_Import!$A$2:$CZ$301,$A194,Field_Map!$B$12)&amp;"","")</f>
        <v/>
      </c>
      <c r="D194" s="28" t="str">
        <f>IF(B194="","",IFERROR(IF(ISNUMBER(INDEX(Kobo_Import!$A$2:$CZ$301,$A194,Field_Map!$B$7)),INDEX(Kobo_Import!$A$2:$CZ$301,$A194,Field_Map!$B$7),DATEVALUE(INDEX(Kobo_Import!$A$2:$CZ$301,$A194,Field_Map!$B$7)&amp;"")),""))</f>
        <v/>
      </c>
      <c r="E194" s="24" t="str">
        <f>IFERROR(INDEX(Kobo_Import!$A$2:$CZ$301,$A194,Field_Map!$B$11)&amp;"","")</f>
        <v/>
      </c>
      <c r="F194" s="27">
        <f t="shared" si="8"/>
        <v>0</v>
      </c>
      <c r="G194" s="24" t="str">
        <f t="shared" si="9"/>
        <v/>
      </c>
      <c r="H194" s="24" t="str">
        <f t="shared" si="10"/>
        <v/>
      </c>
      <c r="I194" s="24" t="str">
        <f t="shared" si="11"/>
        <v/>
      </c>
    </row>
    <row r="195" spans="1:9" x14ac:dyDescent="0.3">
      <c r="A195" s="11">
        <v>191</v>
      </c>
      <c r="B195" s="24" t="str">
        <f>IFERROR(INDEX(Kobo_Import!$A$2:$CZ$301,$A195,Field_Map!$B$13)&amp;"","")</f>
        <v/>
      </c>
      <c r="C195" s="24" t="str">
        <f>IFERROR(INDEX(Kobo_Import!$A$2:$CZ$301,$A195,Field_Map!$B$12)&amp;"","")</f>
        <v/>
      </c>
      <c r="D195" s="28" t="str">
        <f>IF(B195="","",IFERROR(IF(ISNUMBER(INDEX(Kobo_Import!$A$2:$CZ$301,$A195,Field_Map!$B$7)),INDEX(Kobo_Import!$A$2:$CZ$301,$A195,Field_Map!$B$7),DATEVALUE(INDEX(Kobo_Import!$A$2:$CZ$301,$A195,Field_Map!$B$7)&amp;"")),""))</f>
        <v/>
      </c>
      <c r="E195" s="24" t="str">
        <f>IFERROR(INDEX(Kobo_Import!$A$2:$CZ$301,$A195,Field_Map!$B$11)&amp;"","")</f>
        <v/>
      </c>
      <c r="F195" s="27">
        <f t="shared" si="8"/>
        <v>0</v>
      </c>
      <c r="G195" s="24" t="str">
        <f t="shared" si="9"/>
        <v/>
      </c>
      <c r="H195" s="24" t="str">
        <f t="shared" si="10"/>
        <v/>
      </c>
      <c r="I195" s="24" t="str">
        <f t="shared" si="11"/>
        <v/>
      </c>
    </row>
    <row r="196" spans="1:9" x14ac:dyDescent="0.3">
      <c r="A196" s="11">
        <v>192</v>
      </c>
      <c r="B196" s="24" t="str">
        <f>IFERROR(INDEX(Kobo_Import!$A$2:$CZ$301,$A196,Field_Map!$B$13)&amp;"","")</f>
        <v/>
      </c>
      <c r="C196" s="24" t="str">
        <f>IFERROR(INDEX(Kobo_Import!$A$2:$CZ$301,$A196,Field_Map!$B$12)&amp;"","")</f>
        <v/>
      </c>
      <c r="D196" s="28" t="str">
        <f>IF(B196="","",IFERROR(IF(ISNUMBER(INDEX(Kobo_Import!$A$2:$CZ$301,$A196,Field_Map!$B$7)),INDEX(Kobo_Import!$A$2:$CZ$301,$A196,Field_Map!$B$7),DATEVALUE(INDEX(Kobo_Import!$A$2:$CZ$301,$A196,Field_Map!$B$7)&amp;"")),""))</f>
        <v/>
      </c>
      <c r="E196" s="24" t="str">
        <f>IFERROR(INDEX(Kobo_Import!$A$2:$CZ$301,$A196,Field_Map!$B$11)&amp;"","")</f>
        <v/>
      </c>
      <c r="F196" s="27">
        <f t="shared" si="8"/>
        <v>0</v>
      </c>
      <c r="G196" s="24" t="str">
        <f t="shared" si="9"/>
        <v/>
      </c>
      <c r="H196" s="24" t="str">
        <f t="shared" si="10"/>
        <v/>
      </c>
      <c r="I196" s="24" t="str">
        <f t="shared" si="11"/>
        <v/>
      </c>
    </row>
    <row r="197" spans="1:9" x14ac:dyDescent="0.3">
      <c r="A197" s="11">
        <v>193</v>
      </c>
      <c r="B197" s="24" t="str">
        <f>IFERROR(INDEX(Kobo_Import!$A$2:$CZ$301,$A197,Field_Map!$B$13)&amp;"","")</f>
        <v/>
      </c>
      <c r="C197" s="24" t="str">
        <f>IFERROR(INDEX(Kobo_Import!$A$2:$CZ$301,$A197,Field_Map!$B$12)&amp;"","")</f>
        <v/>
      </c>
      <c r="D197" s="28" t="str">
        <f>IF(B197="","",IFERROR(IF(ISNUMBER(INDEX(Kobo_Import!$A$2:$CZ$301,$A197,Field_Map!$B$7)),INDEX(Kobo_Import!$A$2:$CZ$301,$A197,Field_Map!$B$7),DATEVALUE(INDEX(Kobo_Import!$A$2:$CZ$301,$A197,Field_Map!$B$7)&amp;"")),""))</f>
        <v/>
      </c>
      <c r="E197" s="24" t="str">
        <f>IFERROR(INDEX(Kobo_Import!$A$2:$CZ$301,$A197,Field_Map!$B$11)&amp;"","")</f>
        <v/>
      </c>
      <c r="F197" s="27">
        <f t="shared" ref="F197:F260" si="12">IF(OR(B197="",C197&lt;&gt;"yes",D197=""),0,D197*1000+A197)</f>
        <v>0</v>
      </c>
      <c r="G197" s="24" t="str">
        <f t="shared" ref="G197:G260" si="13">IF(F197=0,"",IF(F197=SUMPRODUCT(MAX(($B$5:$B$304=B197)*$F$5:$F$304)),1,0))</f>
        <v/>
      </c>
      <c r="H197" s="24" t="str">
        <f t="shared" ref="H197:H260" si="14">IF(G197=1,COUNTIFS($B$5:$B$304,"&lt;"&amp;B197,$G$5:$G$304,1)+1,"")</f>
        <v/>
      </c>
      <c r="I197" s="24" t="str">
        <f t="shared" ref="I197:I260" si="15">IF(B197="","",B197&amp;"|"&amp;E197)</f>
        <v/>
      </c>
    </row>
    <row r="198" spans="1:9" x14ac:dyDescent="0.3">
      <c r="A198" s="11">
        <v>194</v>
      </c>
      <c r="B198" s="24" t="str">
        <f>IFERROR(INDEX(Kobo_Import!$A$2:$CZ$301,$A198,Field_Map!$B$13)&amp;"","")</f>
        <v/>
      </c>
      <c r="C198" s="24" t="str">
        <f>IFERROR(INDEX(Kobo_Import!$A$2:$CZ$301,$A198,Field_Map!$B$12)&amp;"","")</f>
        <v/>
      </c>
      <c r="D198" s="28" t="str">
        <f>IF(B198="","",IFERROR(IF(ISNUMBER(INDEX(Kobo_Import!$A$2:$CZ$301,$A198,Field_Map!$B$7)),INDEX(Kobo_Import!$A$2:$CZ$301,$A198,Field_Map!$B$7),DATEVALUE(INDEX(Kobo_Import!$A$2:$CZ$301,$A198,Field_Map!$B$7)&amp;"")),""))</f>
        <v/>
      </c>
      <c r="E198" s="24" t="str">
        <f>IFERROR(INDEX(Kobo_Import!$A$2:$CZ$301,$A198,Field_Map!$B$11)&amp;"","")</f>
        <v/>
      </c>
      <c r="F198" s="27">
        <f t="shared" si="12"/>
        <v>0</v>
      </c>
      <c r="G198" s="24" t="str">
        <f t="shared" si="13"/>
        <v/>
      </c>
      <c r="H198" s="24" t="str">
        <f t="shared" si="14"/>
        <v/>
      </c>
      <c r="I198" s="24" t="str">
        <f t="shared" si="15"/>
        <v/>
      </c>
    </row>
    <row r="199" spans="1:9" x14ac:dyDescent="0.3">
      <c r="A199" s="11">
        <v>195</v>
      </c>
      <c r="B199" s="24" t="str">
        <f>IFERROR(INDEX(Kobo_Import!$A$2:$CZ$301,$A199,Field_Map!$B$13)&amp;"","")</f>
        <v/>
      </c>
      <c r="C199" s="24" t="str">
        <f>IFERROR(INDEX(Kobo_Import!$A$2:$CZ$301,$A199,Field_Map!$B$12)&amp;"","")</f>
        <v/>
      </c>
      <c r="D199" s="28" t="str">
        <f>IF(B199="","",IFERROR(IF(ISNUMBER(INDEX(Kobo_Import!$A$2:$CZ$301,$A199,Field_Map!$B$7)),INDEX(Kobo_Import!$A$2:$CZ$301,$A199,Field_Map!$B$7),DATEVALUE(INDEX(Kobo_Import!$A$2:$CZ$301,$A199,Field_Map!$B$7)&amp;"")),""))</f>
        <v/>
      </c>
      <c r="E199" s="24" t="str">
        <f>IFERROR(INDEX(Kobo_Import!$A$2:$CZ$301,$A199,Field_Map!$B$11)&amp;"","")</f>
        <v/>
      </c>
      <c r="F199" s="27">
        <f t="shared" si="12"/>
        <v>0</v>
      </c>
      <c r="G199" s="24" t="str">
        <f t="shared" si="13"/>
        <v/>
      </c>
      <c r="H199" s="24" t="str">
        <f t="shared" si="14"/>
        <v/>
      </c>
      <c r="I199" s="24" t="str">
        <f t="shared" si="15"/>
        <v/>
      </c>
    </row>
    <row r="200" spans="1:9" x14ac:dyDescent="0.3">
      <c r="A200" s="11">
        <v>196</v>
      </c>
      <c r="B200" s="24" t="str">
        <f>IFERROR(INDEX(Kobo_Import!$A$2:$CZ$301,$A200,Field_Map!$B$13)&amp;"","")</f>
        <v/>
      </c>
      <c r="C200" s="24" t="str">
        <f>IFERROR(INDEX(Kobo_Import!$A$2:$CZ$301,$A200,Field_Map!$B$12)&amp;"","")</f>
        <v/>
      </c>
      <c r="D200" s="28" t="str">
        <f>IF(B200="","",IFERROR(IF(ISNUMBER(INDEX(Kobo_Import!$A$2:$CZ$301,$A200,Field_Map!$B$7)),INDEX(Kobo_Import!$A$2:$CZ$301,$A200,Field_Map!$B$7),DATEVALUE(INDEX(Kobo_Import!$A$2:$CZ$301,$A200,Field_Map!$B$7)&amp;"")),""))</f>
        <v/>
      </c>
      <c r="E200" s="24" t="str">
        <f>IFERROR(INDEX(Kobo_Import!$A$2:$CZ$301,$A200,Field_Map!$B$11)&amp;"","")</f>
        <v/>
      </c>
      <c r="F200" s="27">
        <f t="shared" si="12"/>
        <v>0</v>
      </c>
      <c r="G200" s="24" t="str">
        <f t="shared" si="13"/>
        <v/>
      </c>
      <c r="H200" s="24" t="str">
        <f t="shared" si="14"/>
        <v/>
      </c>
      <c r="I200" s="24" t="str">
        <f t="shared" si="15"/>
        <v/>
      </c>
    </row>
    <row r="201" spans="1:9" x14ac:dyDescent="0.3">
      <c r="A201" s="11">
        <v>197</v>
      </c>
      <c r="B201" s="24" t="str">
        <f>IFERROR(INDEX(Kobo_Import!$A$2:$CZ$301,$A201,Field_Map!$B$13)&amp;"","")</f>
        <v/>
      </c>
      <c r="C201" s="24" t="str">
        <f>IFERROR(INDEX(Kobo_Import!$A$2:$CZ$301,$A201,Field_Map!$B$12)&amp;"","")</f>
        <v/>
      </c>
      <c r="D201" s="28" t="str">
        <f>IF(B201="","",IFERROR(IF(ISNUMBER(INDEX(Kobo_Import!$A$2:$CZ$301,$A201,Field_Map!$B$7)),INDEX(Kobo_Import!$A$2:$CZ$301,$A201,Field_Map!$B$7),DATEVALUE(INDEX(Kobo_Import!$A$2:$CZ$301,$A201,Field_Map!$B$7)&amp;"")),""))</f>
        <v/>
      </c>
      <c r="E201" s="24" t="str">
        <f>IFERROR(INDEX(Kobo_Import!$A$2:$CZ$301,$A201,Field_Map!$B$11)&amp;"","")</f>
        <v/>
      </c>
      <c r="F201" s="27">
        <f t="shared" si="12"/>
        <v>0</v>
      </c>
      <c r="G201" s="24" t="str">
        <f t="shared" si="13"/>
        <v/>
      </c>
      <c r="H201" s="24" t="str">
        <f t="shared" si="14"/>
        <v/>
      </c>
      <c r="I201" s="24" t="str">
        <f t="shared" si="15"/>
        <v/>
      </c>
    </row>
    <row r="202" spans="1:9" x14ac:dyDescent="0.3">
      <c r="A202" s="11">
        <v>198</v>
      </c>
      <c r="B202" s="24" t="str">
        <f>IFERROR(INDEX(Kobo_Import!$A$2:$CZ$301,$A202,Field_Map!$B$13)&amp;"","")</f>
        <v/>
      </c>
      <c r="C202" s="24" t="str">
        <f>IFERROR(INDEX(Kobo_Import!$A$2:$CZ$301,$A202,Field_Map!$B$12)&amp;"","")</f>
        <v/>
      </c>
      <c r="D202" s="28" t="str">
        <f>IF(B202="","",IFERROR(IF(ISNUMBER(INDEX(Kobo_Import!$A$2:$CZ$301,$A202,Field_Map!$B$7)),INDEX(Kobo_Import!$A$2:$CZ$301,$A202,Field_Map!$B$7),DATEVALUE(INDEX(Kobo_Import!$A$2:$CZ$301,$A202,Field_Map!$B$7)&amp;"")),""))</f>
        <v/>
      </c>
      <c r="E202" s="24" t="str">
        <f>IFERROR(INDEX(Kobo_Import!$A$2:$CZ$301,$A202,Field_Map!$B$11)&amp;"","")</f>
        <v/>
      </c>
      <c r="F202" s="27">
        <f t="shared" si="12"/>
        <v>0</v>
      </c>
      <c r="G202" s="24" t="str">
        <f t="shared" si="13"/>
        <v/>
      </c>
      <c r="H202" s="24" t="str">
        <f t="shared" si="14"/>
        <v/>
      </c>
      <c r="I202" s="24" t="str">
        <f t="shared" si="15"/>
        <v/>
      </c>
    </row>
    <row r="203" spans="1:9" x14ac:dyDescent="0.3">
      <c r="A203" s="11">
        <v>199</v>
      </c>
      <c r="B203" s="24" t="str">
        <f>IFERROR(INDEX(Kobo_Import!$A$2:$CZ$301,$A203,Field_Map!$B$13)&amp;"","")</f>
        <v/>
      </c>
      <c r="C203" s="24" t="str">
        <f>IFERROR(INDEX(Kobo_Import!$A$2:$CZ$301,$A203,Field_Map!$B$12)&amp;"","")</f>
        <v/>
      </c>
      <c r="D203" s="28" t="str">
        <f>IF(B203="","",IFERROR(IF(ISNUMBER(INDEX(Kobo_Import!$A$2:$CZ$301,$A203,Field_Map!$B$7)),INDEX(Kobo_Import!$A$2:$CZ$301,$A203,Field_Map!$B$7),DATEVALUE(INDEX(Kobo_Import!$A$2:$CZ$301,$A203,Field_Map!$B$7)&amp;"")),""))</f>
        <v/>
      </c>
      <c r="E203" s="24" t="str">
        <f>IFERROR(INDEX(Kobo_Import!$A$2:$CZ$301,$A203,Field_Map!$B$11)&amp;"","")</f>
        <v/>
      </c>
      <c r="F203" s="27">
        <f t="shared" si="12"/>
        <v>0</v>
      </c>
      <c r="G203" s="24" t="str">
        <f t="shared" si="13"/>
        <v/>
      </c>
      <c r="H203" s="24" t="str">
        <f t="shared" si="14"/>
        <v/>
      </c>
      <c r="I203" s="24" t="str">
        <f t="shared" si="15"/>
        <v/>
      </c>
    </row>
    <row r="204" spans="1:9" x14ac:dyDescent="0.3">
      <c r="A204" s="11">
        <v>200</v>
      </c>
      <c r="B204" s="24" t="str">
        <f>IFERROR(INDEX(Kobo_Import!$A$2:$CZ$301,$A204,Field_Map!$B$13)&amp;"","")</f>
        <v/>
      </c>
      <c r="C204" s="24" t="str">
        <f>IFERROR(INDEX(Kobo_Import!$A$2:$CZ$301,$A204,Field_Map!$B$12)&amp;"","")</f>
        <v/>
      </c>
      <c r="D204" s="28" t="str">
        <f>IF(B204="","",IFERROR(IF(ISNUMBER(INDEX(Kobo_Import!$A$2:$CZ$301,$A204,Field_Map!$B$7)),INDEX(Kobo_Import!$A$2:$CZ$301,$A204,Field_Map!$B$7),DATEVALUE(INDEX(Kobo_Import!$A$2:$CZ$301,$A204,Field_Map!$B$7)&amp;"")),""))</f>
        <v/>
      </c>
      <c r="E204" s="24" t="str">
        <f>IFERROR(INDEX(Kobo_Import!$A$2:$CZ$301,$A204,Field_Map!$B$11)&amp;"","")</f>
        <v/>
      </c>
      <c r="F204" s="27">
        <f t="shared" si="12"/>
        <v>0</v>
      </c>
      <c r="G204" s="24" t="str">
        <f t="shared" si="13"/>
        <v/>
      </c>
      <c r="H204" s="24" t="str">
        <f t="shared" si="14"/>
        <v/>
      </c>
      <c r="I204" s="24" t="str">
        <f t="shared" si="15"/>
        <v/>
      </c>
    </row>
    <row r="205" spans="1:9" x14ac:dyDescent="0.3">
      <c r="A205" s="11">
        <v>201</v>
      </c>
      <c r="B205" s="24" t="str">
        <f>IFERROR(INDEX(Kobo_Import!$A$2:$CZ$301,$A205,Field_Map!$B$13)&amp;"","")</f>
        <v/>
      </c>
      <c r="C205" s="24" t="str">
        <f>IFERROR(INDEX(Kobo_Import!$A$2:$CZ$301,$A205,Field_Map!$B$12)&amp;"","")</f>
        <v/>
      </c>
      <c r="D205" s="28" t="str">
        <f>IF(B205="","",IFERROR(IF(ISNUMBER(INDEX(Kobo_Import!$A$2:$CZ$301,$A205,Field_Map!$B$7)),INDEX(Kobo_Import!$A$2:$CZ$301,$A205,Field_Map!$B$7),DATEVALUE(INDEX(Kobo_Import!$A$2:$CZ$301,$A205,Field_Map!$B$7)&amp;"")),""))</f>
        <v/>
      </c>
      <c r="E205" s="24" t="str">
        <f>IFERROR(INDEX(Kobo_Import!$A$2:$CZ$301,$A205,Field_Map!$B$11)&amp;"","")</f>
        <v/>
      </c>
      <c r="F205" s="27">
        <f t="shared" si="12"/>
        <v>0</v>
      </c>
      <c r="G205" s="24" t="str">
        <f t="shared" si="13"/>
        <v/>
      </c>
      <c r="H205" s="24" t="str">
        <f t="shared" si="14"/>
        <v/>
      </c>
      <c r="I205" s="24" t="str">
        <f t="shared" si="15"/>
        <v/>
      </c>
    </row>
    <row r="206" spans="1:9" x14ac:dyDescent="0.3">
      <c r="A206" s="11">
        <v>202</v>
      </c>
      <c r="B206" s="24" t="str">
        <f>IFERROR(INDEX(Kobo_Import!$A$2:$CZ$301,$A206,Field_Map!$B$13)&amp;"","")</f>
        <v/>
      </c>
      <c r="C206" s="24" t="str">
        <f>IFERROR(INDEX(Kobo_Import!$A$2:$CZ$301,$A206,Field_Map!$B$12)&amp;"","")</f>
        <v/>
      </c>
      <c r="D206" s="28" t="str">
        <f>IF(B206="","",IFERROR(IF(ISNUMBER(INDEX(Kobo_Import!$A$2:$CZ$301,$A206,Field_Map!$B$7)),INDEX(Kobo_Import!$A$2:$CZ$301,$A206,Field_Map!$B$7),DATEVALUE(INDEX(Kobo_Import!$A$2:$CZ$301,$A206,Field_Map!$B$7)&amp;"")),""))</f>
        <v/>
      </c>
      <c r="E206" s="24" t="str">
        <f>IFERROR(INDEX(Kobo_Import!$A$2:$CZ$301,$A206,Field_Map!$B$11)&amp;"","")</f>
        <v/>
      </c>
      <c r="F206" s="27">
        <f t="shared" si="12"/>
        <v>0</v>
      </c>
      <c r="G206" s="24" t="str">
        <f t="shared" si="13"/>
        <v/>
      </c>
      <c r="H206" s="24" t="str">
        <f t="shared" si="14"/>
        <v/>
      </c>
      <c r="I206" s="24" t="str">
        <f t="shared" si="15"/>
        <v/>
      </c>
    </row>
    <row r="207" spans="1:9" x14ac:dyDescent="0.3">
      <c r="A207" s="11">
        <v>203</v>
      </c>
      <c r="B207" s="24" t="str">
        <f>IFERROR(INDEX(Kobo_Import!$A$2:$CZ$301,$A207,Field_Map!$B$13)&amp;"","")</f>
        <v/>
      </c>
      <c r="C207" s="24" t="str">
        <f>IFERROR(INDEX(Kobo_Import!$A$2:$CZ$301,$A207,Field_Map!$B$12)&amp;"","")</f>
        <v/>
      </c>
      <c r="D207" s="28" t="str">
        <f>IF(B207="","",IFERROR(IF(ISNUMBER(INDEX(Kobo_Import!$A$2:$CZ$301,$A207,Field_Map!$B$7)),INDEX(Kobo_Import!$A$2:$CZ$301,$A207,Field_Map!$B$7),DATEVALUE(INDEX(Kobo_Import!$A$2:$CZ$301,$A207,Field_Map!$B$7)&amp;"")),""))</f>
        <v/>
      </c>
      <c r="E207" s="24" t="str">
        <f>IFERROR(INDEX(Kobo_Import!$A$2:$CZ$301,$A207,Field_Map!$B$11)&amp;"","")</f>
        <v/>
      </c>
      <c r="F207" s="27">
        <f t="shared" si="12"/>
        <v>0</v>
      </c>
      <c r="G207" s="24" t="str">
        <f t="shared" si="13"/>
        <v/>
      </c>
      <c r="H207" s="24" t="str">
        <f t="shared" si="14"/>
        <v/>
      </c>
      <c r="I207" s="24" t="str">
        <f t="shared" si="15"/>
        <v/>
      </c>
    </row>
    <row r="208" spans="1:9" x14ac:dyDescent="0.3">
      <c r="A208" s="11">
        <v>204</v>
      </c>
      <c r="B208" s="24" t="str">
        <f>IFERROR(INDEX(Kobo_Import!$A$2:$CZ$301,$A208,Field_Map!$B$13)&amp;"","")</f>
        <v/>
      </c>
      <c r="C208" s="24" t="str">
        <f>IFERROR(INDEX(Kobo_Import!$A$2:$CZ$301,$A208,Field_Map!$B$12)&amp;"","")</f>
        <v/>
      </c>
      <c r="D208" s="28" t="str">
        <f>IF(B208="","",IFERROR(IF(ISNUMBER(INDEX(Kobo_Import!$A$2:$CZ$301,$A208,Field_Map!$B$7)),INDEX(Kobo_Import!$A$2:$CZ$301,$A208,Field_Map!$B$7),DATEVALUE(INDEX(Kobo_Import!$A$2:$CZ$301,$A208,Field_Map!$B$7)&amp;"")),""))</f>
        <v/>
      </c>
      <c r="E208" s="24" t="str">
        <f>IFERROR(INDEX(Kobo_Import!$A$2:$CZ$301,$A208,Field_Map!$B$11)&amp;"","")</f>
        <v/>
      </c>
      <c r="F208" s="27">
        <f t="shared" si="12"/>
        <v>0</v>
      </c>
      <c r="G208" s="24" t="str">
        <f t="shared" si="13"/>
        <v/>
      </c>
      <c r="H208" s="24" t="str">
        <f t="shared" si="14"/>
        <v/>
      </c>
      <c r="I208" s="24" t="str">
        <f t="shared" si="15"/>
        <v/>
      </c>
    </row>
    <row r="209" spans="1:9" x14ac:dyDescent="0.3">
      <c r="A209" s="11">
        <v>205</v>
      </c>
      <c r="B209" s="24" t="str">
        <f>IFERROR(INDEX(Kobo_Import!$A$2:$CZ$301,$A209,Field_Map!$B$13)&amp;"","")</f>
        <v/>
      </c>
      <c r="C209" s="24" t="str">
        <f>IFERROR(INDEX(Kobo_Import!$A$2:$CZ$301,$A209,Field_Map!$B$12)&amp;"","")</f>
        <v/>
      </c>
      <c r="D209" s="28" t="str">
        <f>IF(B209="","",IFERROR(IF(ISNUMBER(INDEX(Kobo_Import!$A$2:$CZ$301,$A209,Field_Map!$B$7)),INDEX(Kobo_Import!$A$2:$CZ$301,$A209,Field_Map!$B$7),DATEVALUE(INDEX(Kobo_Import!$A$2:$CZ$301,$A209,Field_Map!$B$7)&amp;"")),""))</f>
        <v/>
      </c>
      <c r="E209" s="24" t="str">
        <f>IFERROR(INDEX(Kobo_Import!$A$2:$CZ$301,$A209,Field_Map!$B$11)&amp;"","")</f>
        <v/>
      </c>
      <c r="F209" s="27">
        <f t="shared" si="12"/>
        <v>0</v>
      </c>
      <c r="G209" s="24" t="str">
        <f t="shared" si="13"/>
        <v/>
      </c>
      <c r="H209" s="24" t="str">
        <f t="shared" si="14"/>
        <v/>
      </c>
      <c r="I209" s="24" t="str">
        <f t="shared" si="15"/>
        <v/>
      </c>
    </row>
    <row r="210" spans="1:9" x14ac:dyDescent="0.3">
      <c r="A210" s="11">
        <v>206</v>
      </c>
      <c r="B210" s="24" t="str">
        <f>IFERROR(INDEX(Kobo_Import!$A$2:$CZ$301,$A210,Field_Map!$B$13)&amp;"","")</f>
        <v/>
      </c>
      <c r="C210" s="24" t="str">
        <f>IFERROR(INDEX(Kobo_Import!$A$2:$CZ$301,$A210,Field_Map!$B$12)&amp;"","")</f>
        <v/>
      </c>
      <c r="D210" s="28" t="str">
        <f>IF(B210="","",IFERROR(IF(ISNUMBER(INDEX(Kobo_Import!$A$2:$CZ$301,$A210,Field_Map!$B$7)),INDEX(Kobo_Import!$A$2:$CZ$301,$A210,Field_Map!$B$7),DATEVALUE(INDEX(Kobo_Import!$A$2:$CZ$301,$A210,Field_Map!$B$7)&amp;"")),""))</f>
        <v/>
      </c>
      <c r="E210" s="24" t="str">
        <f>IFERROR(INDEX(Kobo_Import!$A$2:$CZ$301,$A210,Field_Map!$B$11)&amp;"","")</f>
        <v/>
      </c>
      <c r="F210" s="27">
        <f t="shared" si="12"/>
        <v>0</v>
      </c>
      <c r="G210" s="24" t="str">
        <f t="shared" si="13"/>
        <v/>
      </c>
      <c r="H210" s="24" t="str">
        <f t="shared" si="14"/>
        <v/>
      </c>
      <c r="I210" s="24" t="str">
        <f t="shared" si="15"/>
        <v/>
      </c>
    </row>
    <row r="211" spans="1:9" x14ac:dyDescent="0.3">
      <c r="A211" s="11">
        <v>207</v>
      </c>
      <c r="B211" s="24" t="str">
        <f>IFERROR(INDEX(Kobo_Import!$A$2:$CZ$301,$A211,Field_Map!$B$13)&amp;"","")</f>
        <v/>
      </c>
      <c r="C211" s="24" t="str">
        <f>IFERROR(INDEX(Kobo_Import!$A$2:$CZ$301,$A211,Field_Map!$B$12)&amp;"","")</f>
        <v/>
      </c>
      <c r="D211" s="28" t="str">
        <f>IF(B211="","",IFERROR(IF(ISNUMBER(INDEX(Kobo_Import!$A$2:$CZ$301,$A211,Field_Map!$B$7)),INDEX(Kobo_Import!$A$2:$CZ$301,$A211,Field_Map!$B$7),DATEVALUE(INDEX(Kobo_Import!$A$2:$CZ$301,$A211,Field_Map!$B$7)&amp;"")),""))</f>
        <v/>
      </c>
      <c r="E211" s="24" t="str">
        <f>IFERROR(INDEX(Kobo_Import!$A$2:$CZ$301,$A211,Field_Map!$B$11)&amp;"","")</f>
        <v/>
      </c>
      <c r="F211" s="27">
        <f t="shared" si="12"/>
        <v>0</v>
      </c>
      <c r="G211" s="24" t="str">
        <f t="shared" si="13"/>
        <v/>
      </c>
      <c r="H211" s="24" t="str">
        <f t="shared" si="14"/>
        <v/>
      </c>
      <c r="I211" s="24" t="str">
        <f t="shared" si="15"/>
        <v/>
      </c>
    </row>
    <row r="212" spans="1:9" x14ac:dyDescent="0.3">
      <c r="A212" s="11">
        <v>208</v>
      </c>
      <c r="B212" s="24" t="str">
        <f>IFERROR(INDEX(Kobo_Import!$A$2:$CZ$301,$A212,Field_Map!$B$13)&amp;"","")</f>
        <v/>
      </c>
      <c r="C212" s="24" t="str">
        <f>IFERROR(INDEX(Kobo_Import!$A$2:$CZ$301,$A212,Field_Map!$B$12)&amp;"","")</f>
        <v/>
      </c>
      <c r="D212" s="28" t="str">
        <f>IF(B212="","",IFERROR(IF(ISNUMBER(INDEX(Kobo_Import!$A$2:$CZ$301,$A212,Field_Map!$B$7)),INDEX(Kobo_Import!$A$2:$CZ$301,$A212,Field_Map!$B$7),DATEVALUE(INDEX(Kobo_Import!$A$2:$CZ$301,$A212,Field_Map!$B$7)&amp;"")),""))</f>
        <v/>
      </c>
      <c r="E212" s="24" t="str">
        <f>IFERROR(INDEX(Kobo_Import!$A$2:$CZ$301,$A212,Field_Map!$B$11)&amp;"","")</f>
        <v/>
      </c>
      <c r="F212" s="27">
        <f t="shared" si="12"/>
        <v>0</v>
      </c>
      <c r="G212" s="24" t="str">
        <f t="shared" si="13"/>
        <v/>
      </c>
      <c r="H212" s="24" t="str">
        <f t="shared" si="14"/>
        <v/>
      </c>
      <c r="I212" s="24" t="str">
        <f t="shared" si="15"/>
        <v/>
      </c>
    </row>
    <row r="213" spans="1:9" x14ac:dyDescent="0.3">
      <c r="A213" s="11">
        <v>209</v>
      </c>
      <c r="B213" s="24" t="str">
        <f>IFERROR(INDEX(Kobo_Import!$A$2:$CZ$301,$A213,Field_Map!$B$13)&amp;"","")</f>
        <v/>
      </c>
      <c r="C213" s="24" t="str">
        <f>IFERROR(INDEX(Kobo_Import!$A$2:$CZ$301,$A213,Field_Map!$B$12)&amp;"","")</f>
        <v/>
      </c>
      <c r="D213" s="28" t="str">
        <f>IF(B213="","",IFERROR(IF(ISNUMBER(INDEX(Kobo_Import!$A$2:$CZ$301,$A213,Field_Map!$B$7)),INDEX(Kobo_Import!$A$2:$CZ$301,$A213,Field_Map!$B$7),DATEVALUE(INDEX(Kobo_Import!$A$2:$CZ$301,$A213,Field_Map!$B$7)&amp;"")),""))</f>
        <v/>
      </c>
      <c r="E213" s="24" t="str">
        <f>IFERROR(INDEX(Kobo_Import!$A$2:$CZ$301,$A213,Field_Map!$B$11)&amp;"","")</f>
        <v/>
      </c>
      <c r="F213" s="27">
        <f t="shared" si="12"/>
        <v>0</v>
      </c>
      <c r="G213" s="24" t="str">
        <f t="shared" si="13"/>
        <v/>
      </c>
      <c r="H213" s="24" t="str">
        <f t="shared" si="14"/>
        <v/>
      </c>
      <c r="I213" s="24" t="str">
        <f t="shared" si="15"/>
        <v/>
      </c>
    </row>
    <row r="214" spans="1:9" x14ac:dyDescent="0.3">
      <c r="A214" s="11">
        <v>210</v>
      </c>
      <c r="B214" s="24" t="str">
        <f>IFERROR(INDEX(Kobo_Import!$A$2:$CZ$301,$A214,Field_Map!$B$13)&amp;"","")</f>
        <v/>
      </c>
      <c r="C214" s="24" t="str">
        <f>IFERROR(INDEX(Kobo_Import!$A$2:$CZ$301,$A214,Field_Map!$B$12)&amp;"","")</f>
        <v/>
      </c>
      <c r="D214" s="28" t="str">
        <f>IF(B214="","",IFERROR(IF(ISNUMBER(INDEX(Kobo_Import!$A$2:$CZ$301,$A214,Field_Map!$B$7)),INDEX(Kobo_Import!$A$2:$CZ$301,$A214,Field_Map!$B$7),DATEVALUE(INDEX(Kobo_Import!$A$2:$CZ$301,$A214,Field_Map!$B$7)&amp;"")),""))</f>
        <v/>
      </c>
      <c r="E214" s="24" t="str">
        <f>IFERROR(INDEX(Kobo_Import!$A$2:$CZ$301,$A214,Field_Map!$B$11)&amp;"","")</f>
        <v/>
      </c>
      <c r="F214" s="27">
        <f t="shared" si="12"/>
        <v>0</v>
      </c>
      <c r="G214" s="24" t="str">
        <f t="shared" si="13"/>
        <v/>
      </c>
      <c r="H214" s="24" t="str">
        <f t="shared" si="14"/>
        <v/>
      </c>
      <c r="I214" s="24" t="str">
        <f t="shared" si="15"/>
        <v/>
      </c>
    </row>
    <row r="215" spans="1:9" x14ac:dyDescent="0.3">
      <c r="A215" s="11">
        <v>211</v>
      </c>
      <c r="B215" s="24" t="str">
        <f>IFERROR(INDEX(Kobo_Import!$A$2:$CZ$301,$A215,Field_Map!$B$13)&amp;"","")</f>
        <v/>
      </c>
      <c r="C215" s="24" t="str">
        <f>IFERROR(INDEX(Kobo_Import!$A$2:$CZ$301,$A215,Field_Map!$B$12)&amp;"","")</f>
        <v/>
      </c>
      <c r="D215" s="28" t="str">
        <f>IF(B215="","",IFERROR(IF(ISNUMBER(INDEX(Kobo_Import!$A$2:$CZ$301,$A215,Field_Map!$B$7)),INDEX(Kobo_Import!$A$2:$CZ$301,$A215,Field_Map!$B$7),DATEVALUE(INDEX(Kobo_Import!$A$2:$CZ$301,$A215,Field_Map!$B$7)&amp;"")),""))</f>
        <v/>
      </c>
      <c r="E215" s="24" t="str">
        <f>IFERROR(INDEX(Kobo_Import!$A$2:$CZ$301,$A215,Field_Map!$B$11)&amp;"","")</f>
        <v/>
      </c>
      <c r="F215" s="27">
        <f t="shared" si="12"/>
        <v>0</v>
      </c>
      <c r="G215" s="24" t="str">
        <f t="shared" si="13"/>
        <v/>
      </c>
      <c r="H215" s="24" t="str">
        <f t="shared" si="14"/>
        <v/>
      </c>
      <c r="I215" s="24" t="str">
        <f t="shared" si="15"/>
        <v/>
      </c>
    </row>
    <row r="216" spans="1:9" x14ac:dyDescent="0.3">
      <c r="A216" s="11">
        <v>212</v>
      </c>
      <c r="B216" s="24" t="str">
        <f>IFERROR(INDEX(Kobo_Import!$A$2:$CZ$301,$A216,Field_Map!$B$13)&amp;"","")</f>
        <v/>
      </c>
      <c r="C216" s="24" t="str">
        <f>IFERROR(INDEX(Kobo_Import!$A$2:$CZ$301,$A216,Field_Map!$B$12)&amp;"","")</f>
        <v/>
      </c>
      <c r="D216" s="28" t="str">
        <f>IF(B216="","",IFERROR(IF(ISNUMBER(INDEX(Kobo_Import!$A$2:$CZ$301,$A216,Field_Map!$B$7)),INDEX(Kobo_Import!$A$2:$CZ$301,$A216,Field_Map!$B$7),DATEVALUE(INDEX(Kobo_Import!$A$2:$CZ$301,$A216,Field_Map!$B$7)&amp;"")),""))</f>
        <v/>
      </c>
      <c r="E216" s="24" t="str">
        <f>IFERROR(INDEX(Kobo_Import!$A$2:$CZ$301,$A216,Field_Map!$B$11)&amp;"","")</f>
        <v/>
      </c>
      <c r="F216" s="27">
        <f t="shared" si="12"/>
        <v>0</v>
      </c>
      <c r="G216" s="24" t="str">
        <f t="shared" si="13"/>
        <v/>
      </c>
      <c r="H216" s="24" t="str">
        <f t="shared" si="14"/>
        <v/>
      </c>
      <c r="I216" s="24" t="str">
        <f t="shared" si="15"/>
        <v/>
      </c>
    </row>
    <row r="217" spans="1:9" x14ac:dyDescent="0.3">
      <c r="A217" s="11">
        <v>213</v>
      </c>
      <c r="B217" s="24" t="str">
        <f>IFERROR(INDEX(Kobo_Import!$A$2:$CZ$301,$A217,Field_Map!$B$13)&amp;"","")</f>
        <v/>
      </c>
      <c r="C217" s="24" t="str">
        <f>IFERROR(INDEX(Kobo_Import!$A$2:$CZ$301,$A217,Field_Map!$B$12)&amp;"","")</f>
        <v/>
      </c>
      <c r="D217" s="28" t="str">
        <f>IF(B217="","",IFERROR(IF(ISNUMBER(INDEX(Kobo_Import!$A$2:$CZ$301,$A217,Field_Map!$B$7)),INDEX(Kobo_Import!$A$2:$CZ$301,$A217,Field_Map!$B$7),DATEVALUE(INDEX(Kobo_Import!$A$2:$CZ$301,$A217,Field_Map!$B$7)&amp;"")),""))</f>
        <v/>
      </c>
      <c r="E217" s="24" t="str">
        <f>IFERROR(INDEX(Kobo_Import!$A$2:$CZ$301,$A217,Field_Map!$B$11)&amp;"","")</f>
        <v/>
      </c>
      <c r="F217" s="27">
        <f t="shared" si="12"/>
        <v>0</v>
      </c>
      <c r="G217" s="24" t="str">
        <f t="shared" si="13"/>
        <v/>
      </c>
      <c r="H217" s="24" t="str">
        <f t="shared" si="14"/>
        <v/>
      </c>
      <c r="I217" s="24" t="str">
        <f t="shared" si="15"/>
        <v/>
      </c>
    </row>
    <row r="218" spans="1:9" x14ac:dyDescent="0.3">
      <c r="A218" s="11">
        <v>214</v>
      </c>
      <c r="B218" s="24" t="str">
        <f>IFERROR(INDEX(Kobo_Import!$A$2:$CZ$301,$A218,Field_Map!$B$13)&amp;"","")</f>
        <v/>
      </c>
      <c r="C218" s="24" t="str">
        <f>IFERROR(INDEX(Kobo_Import!$A$2:$CZ$301,$A218,Field_Map!$B$12)&amp;"","")</f>
        <v/>
      </c>
      <c r="D218" s="28" t="str">
        <f>IF(B218="","",IFERROR(IF(ISNUMBER(INDEX(Kobo_Import!$A$2:$CZ$301,$A218,Field_Map!$B$7)),INDEX(Kobo_Import!$A$2:$CZ$301,$A218,Field_Map!$B$7),DATEVALUE(INDEX(Kobo_Import!$A$2:$CZ$301,$A218,Field_Map!$B$7)&amp;"")),""))</f>
        <v/>
      </c>
      <c r="E218" s="24" t="str">
        <f>IFERROR(INDEX(Kobo_Import!$A$2:$CZ$301,$A218,Field_Map!$B$11)&amp;"","")</f>
        <v/>
      </c>
      <c r="F218" s="27">
        <f t="shared" si="12"/>
        <v>0</v>
      </c>
      <c r="G218" s="24" t="str">
        <f t="shared" si="13"/>
        <v/>
      </c>
      <c r="H218" s="24" t="str">
        <f t="shared" si="14"/>
        <v/>
      </c>
      <c r="I218" s="24" t="str">
        <f t="shared" si="15"/>
        <v/>
      </c>
    </row>
    <row r="219" spans="1:9" x14ac:dyDescent="0.3">
      <c r="A219" s="11">
        <v>215</v>
      </c>
      <c r="B219" s="24" t="str">
        <f>IFERROR(INDEX(Kobo_Import!$A$2:$CZ$301,$A219,Field_Map!$B$13)&amp;"","")</f>
        <v/>
      </c>
      <c r="C219" s="24" t="str">
        <f>IFERROR(INDEX(Kobo_Import!$A$2:$CZ$301,$A219,Field_Map!$B$12)&amp;"","")</f>
        <v/>
      </c>
      <c r="D219" s="28" t="str">
        <f>IF(B219="","",IFERROR(IF(ISNUMBER(INDEX(Kobo_Import!$A$2:$CZ$301,$A219,Field_Map!$B$7)),INDEX(Kobo_Import!$A$2:$CZ$301,$A219,Field_Map!$B$7),DATEVALUE(INDEX(Kobo_Import!$A$2:$CZ$301,$A219,Field_Map!$B$7)&amp;"")),""))</f>
        <v/>
      </c>
      <c r="E219" s="24" t="str">
        <f>IFERROR(INDEX(Kobo_Import!$A$2:$CZ$301,$A219,Field_Map!$B$11)&amp;"","")</f>
        <v/>
      </c>
      <c r="F219" s="27">
        <f t="shared" si="12"/>
        <v>0</v>
      </c>
      <c r="G219" s="24" t="str">
        <f t="shared" si="13"/>
        <v/>
      </c>
      <c r="H219" s="24" t="str">
        <f t="shared" si="14"/>
        <v/>
      </c>
      <c r="I219" s="24" t="str">
        <f t="shared" si="15"/>
        <v/>
      </c>
    </row>
    <row r="220" spans="1:9" x14ac:dyDescent="0.3">
      <c r="A220" s="11">
        <v>216</v>
      </c>
      <c r="B220" s="24" t="str">
        <f>IFERROR(INDEX(Kobo_Import!$A$2:$CZ$301,$A220,Field_Map!$B$13)&amp;"","")</f>
        <v/>
      </c>
      <c r="C220" s="24" t="str">
        <f>IFERROR(INDEX(Kobo_Import!$A$2:$CZ$301,$A220,Field_Map!$B$12)&amp;"","")</f>
        <v/>
      </c>
      <c r="D220" s="28" t="str">
        <f>IF(B220="","",IFERROR(IF(ISNUMBER(INDEX(Kobo_Import!$A$2:$CZ$301,$A220,Field_Map!$B$7)),INDEX(Kobo_Import!$A$2:$CZ$301,$A220,Field_Map!$B$7),DATEVALUE(INDEX(Kobo_Import!$A$2:$CZ$301,$A220,Field_Map!$B$7)&amp;"")),""))</f>
        <v/>
      </c>
      <c r="E220" s="24" t="str">
        <f>IFERROR(INDEX(Kobo_Import!$A$2:$CZ$301,$A220,Field_Map!$B$11)&amp;"","")</f>
        <v/>
      </c>
      <c r="F220" s="27">
        <f t="shared" si="12"/>
        <v>0</v>
      </c>
      <c r="G220" s="24" t="str">
        <f t="shared" si="13"/>
        <v/>
      </c>
      <c r="H220" s="24" t="str">
        <f t="shared" si="14"/>
        <v/>
      </c>
      <c r="I220" s="24" t="str">
        <f t="shared" si="15"/>
        <v/>
      </c>
    </row>
    <row r="221" spans="1:9" x14ac:dyDescent="0.3">
      <c r="A221" s="11">
        <v>217</v>
      </c>
      <c r="B221" s="24" t="str">
        <f>IFERROR(INDEX(Kobo_Import!$A$2:$CZ$301,$A221,Field_Map!$B$13)&amp;"","")</f>
        <v/>
      </c>
      <c r="C221" s="24" t="str">
        <f>IFERROR(INDEX(Kobo_Import!$A$2:$CZ$301,$A221,Field_Map!$B$12)&amp;"","")</f>
        <v/>
      </c>
      <c r="D221" s="28" t="str">
        <f>IF(B221="","",IFERROR(IF(ISNUMBER(INDEX(Kobo_Import!$A$2:$CZ$301,$A221,Field_Map!$B$7)),INDEX(Kobo_Import!$A$2:$CZ$301,$A221,Field_Map!$B$7),DATEVALUE(INDEX(Kobo_Import!$A$2:$CZ$301,$A221,Field_Map!$B$7)&amp;"")),""))</f>
        <v/>
      </c>
      <c r="E221" s="24" t="str">
        <f>IFERROR(INDEX(Kobo_Import!$A$2:$CZ$301,$A221,Field_Map!$B$11)&amp;"","")</f>
        <v/>
      </c>
      <c r="F221" s="27">
        <f t="shared" si="12"/>
        <v>0</v>
      </c>
      <c r="G221" s="24" t="str">
        <f t="shared" si="13"/>
        <v/>
      </c>
      <c r="H221" s="24" t="str">
        <f t="shared" si="14"/>
        <v/>
      </c>
      <c r="I221" s="24" t="str">
        <f t="shared" si="15"/>
        <v/>
      </c>
    </row>
    <row r="222" spans="1:9" x14ac:dyDescent="0.3">
      <c r="A222" s="11">
        <v>218</v>
      </c>
      <c r="B222" s="24" t="str">
        <f>IFERROR(INDEX(Kobo_Import!$A$2:$CZ$301,$A222,Field_Map!$B$13)&amp;"","")</f>
        <v/>
      </c>
      <c r="C222" s="24" t="str">
        <f>IFERROR(INDEX(Kobo_Import!$A$2:$CZ$301,$A222,Field_Map!$B$12)&amp;"","")</f>
        <v/>
      </c>
      <c r="D222" s="28" t="str">
        <f>IF(B222="","",IFERROR(IF(ISNUMBER(INDEX(Kobo_Import!$A$2:$CZ$301,$A222,Field_Map!$B$7)),INDEX(Kobo_Import!$A$2:$CZ$301,$A222,Field_Map!$B$7),DATEVALUE(INDEX(Kobo_Import!$A$2:$CZ$301,$A222,Field_Map!$B$7)&amp;"")),""))</f>
        <v/>
      </c>
      <c r="E222" s="24" t="str">
        <f>IFERROR(INDEX(Kobo_Import!$A$2:$CZ$301,$A222,Field_Map!$B$11)&amp;"","")</f>
        <v/>
      </c>
      <c r="F222" s="27">
        <f t="shared" si="12"/>
        <v>0</v>
      </c>
      <c r="G222" s="24" t="str">
        <f t="shared" si="13"/>
        <v/>
      </c>
      <c r="H222" s="24" t="str">
        <f t="shared" si="14"/>
        <v/>
      </c>
      <c r="I222" s="24" t="str">
        <f t="shared" si="15"/>
        <v/>
      </c>
    </row>
    <row r="223" spans="1:9" x14ac:dyDescent="0.3">
      <c r="A223" s="11">
        <v>219</v>
      </c>
      <c r="B223" s="24" t="str">
        <f>IFERROR(INDEX(Kobo_Import!$A$2:$CZ$301,$A223,Field_Map!$B$13)&amp;"","")</f>
        <v/>
      </c>
      <c r="C223" s="24" t="str">
        <f>IFERROR(INDEX(Kobo_Import!$A$2:$CZ$301,$A223,Field_Map!$B$12)&amp;"","")</f>
        <v/>
      </c>
      <c r="D223" s="28" t="str">
        <f>IF(B223="","",IFERROR(IF(ISNUMBER(INDEX(Kobo_Import!$A$2:$CZ$301,$A223,Field_Map!$B$7)),INDEX(Kobo_Import!$A$2:$CZ$301,$A223,Field_Map!$B$7),DATEVALUE(INDEX(Kobo_Import!$A$2:$CZ$301,$A223,Field_Map!$B$7)&amp;"")),""))</f>
        <v/>
      </c>
      <c r="E223" s="24" t="str">
        <f>IFERROR(INDEX(Kobo_Import!$A$2:$CZ$301,$A223,Field_Map!$B$11)&amp;"","")</f>
        <v/>
      </c>
      <c r="F223" s="27">
        <f t="shared" si="12"/>
        <v>0</v>
      </c>
      <c r="G223" s="24" t="str">
        <f t="shared" si="13"/>
        <v/>
      </c>
      <c r="H223" s="24" t="str">
        <f t="shared" si="14"/>
        <v/>
      </c>
      <c r="I223" s="24" t="str">
        <f t="shared" si="15"/>
        <v/>
      </c>
    </row>
    <row r="224" spans="1:9" x14ac:dyDescent="0.3">
      <c r="A224" s="11">
        <v>220</v>
      </c>
      <c r="B224" s="24" t="str">
        <f>IFERROR(INDEX(Kobo_Import!$A$2:$CZ$301,$A224,Field_Map!$B$13)&amp;"","")</f>
        <v/>
      </c>
      <c r="C224" s="24" t="str">
        <f>IFERROR(INDEX(Kobo_Import!$A$2:$CZ$301,$A224,Field_Map!$B$12)&amp;"","")</f>
        <v/>
      </c>
      <c r="D224" s="28" t="str">
        <f>IF(B224="","",IFERROR(IF(ISNUMBER(INDEX(Kobo_Import!$A$2:$CZ$301,$A224,Field_Map!$B$7)),INDEX(Kobo_Import!$A$2:$CZ$301,$A224,Field_Map!$B$7),DATEVALUE(INDEX(Kobo_Import!$A$2:$CZ$301,$A224,Field_Map!$B$7)&amp;"")),""))</f>
        <v/>
      </c>
      <c r="E224" s="24" t="str">
        <f>IFERROR(INDEX(Kobo_Import!$A$2:$CZ$301,$A224,Field_Map!$B$11)&amp;"","")</f>
        <v/>
      </c>
      <c r="F224" s="27">
        <f t="shared" si="12"/>
        <v>0</v>
      </c>
      <c r="G224" s="24" t="str">
        <f t="shared" si="13"/>
        <v/>
      </c>
      <c r="H224" s="24" t="str">
        <f t="shared" si="14"/>
        <v/>
      </c>
      <c r="I224" s="24" t="str">
        <f t="shared" si="15"/>
        <v/>
      </c>
    </row>
    <row r="225" spans="1:9" x14ac:dyDescent="0.3">
      <c r="A225" s="11">
        <v>221</v>
      </c>
      <c r="B225" s="24" t="str">
        <f>IFERROR(INDEX(Kobo_Import!$A$2:$CZ$301,$A225,Field_Map!$B$13)&amp;"","")</f>
        <v/>
      </c>
      <c r="C225" s="24" t="str">
        <f>IFERROR(INDEX(Kobo_Import!$A$2:$CZ$301,$A225,Field_Map!$B$12)&amp;"","")</f>
        <v/>
      </c>
      <c r="D225" s="28" t="str">
        <f>IF(B225="","",IFERROR(IF(ISNUMBER(INDEX(Kobo_Import!$A$2:$CZ$301,$A225,Field_Map!$B$7)),INDEX(Kobo_Import!$A$2:$CZ$301,$A225,Field_Map!$B$7),DATEVALUE(INDEX(Kobo_Import!$A$2:$CZ$301,$A225,Field_Map!$B$7)&amp;"")),""))</f>
        <v/>
      </c>
      <c r="E225" s="24" t="str">
        <f>IFERROR(INDEX(Kobo_Import!$A$2:$CZ$301,$A225,Field_Map!$B$11)&amp;"","")</f>
        <v/>
      </c>
      <c r="F225" s="27">
        <f t="shared" si="12"/>
        <v>0</v>
      </c>
      <c r="G225" s="24" t="str">
        <f t="shared" si="13"/>
        <v/>
      </c>
      <c r="H225" s="24" t="str">
        <f t="shared" si="14"/>
        <v/>
      </c>
      <c r="I225" s="24" t="str">
        <f t="shared" si="15"/>
        <v/>
      </c>
    </row>
    <row r="226" spans="1:9" x14ac:dyDescent="0.3">
      <c r="A226" s="11">
        <v>222</v>
      </c>
      <c r="B226" s="24" t="str">
        <f>IFERROR(INDEX(Kobo_Import!$A$2:$CZ$301,$A226,Field_Map!$B$13)&amp;"","")</f>
        <v/>
      </c>
      <c r="C226" s="24" t="str">
        <f>IFERROR(INDEX(Kobo_Import!$A$2:$CZ$301,$A226,Field_Map!$B$12)&amp;"","")</f>
        <v/>
      </c>
      <c r="D226" s="28" t="str">
        <f>IF(B226="","",IFERROR(IF(ISNUMBER(INDEX(Kobo_Import!$A$2:$CZ$301,$A226,Field_Map!$B$7)),INDEX(Kobo_Import!$A$2:$CZ$301,$A226,Field_Map!$B$7),DATEVALUE(INDEX(Kobo_Import!$A$2:$CZ$301,$A226,Field_Map!$B$7)&amp;"")),""))</f>
        <v/>
      </c>
      <c r="E226" s="24" t="str">
        <f>IFERROR(INDEX(Kobo_Import!$A$2:$CZ$301,$A226,Field_Map!$B$11)&amp;"","")</f>
        <v/>
      </c>
      <c r="F226" s="27">
        <f t="shared" si="12"/>
        <v>0</v>
      </c>
      <c r="G226" s="24" t="str">
        <f t="shared" si="13"/>
        <v/>
      </c>
      <c r="H226" s="24" t="str">
        <f t="shared" si="14"/>
        <v/>
      </c>
      <c r="I226" s="24" t="str">
        <f t="shared" si="15"/>
        <v/>
      </c>
    </row>
    <row r="227" spans="1:9" x14ac:dyDescent="0.3">
      <c r="A227" s="11">
        <v>223</v>
      </c>
      <c r="B227" s="24" t="str">
        <f>IFERROR(INDEX(Kobo_Import!$A$2:$CZ$301,$A227,Field_Map!$B$13)&amp;"","")</f>
        <v/>
      </c>
      <c r="C227" s="24" t="str">
        <f>IFERROR(INDEX(Kobo_Import!$A$2:$CZ$301,$A227,Field_Map!$B$12)&amp;"","")</f>
        <v/>
      </c>
      <c r="D227" s="28" t="str">
        <f>IF(B227="","",IFERROR(IF(ISNUMBER(INDEX(Kobo_Import!$A$2:$CZ$301,$A227,Field_Map!$B$7)),INDEX(Kobo_Import!$A$2:$CZ$301,$A227,Field_Map!$B$7),DATEVALUE(INDEX(Kobo_Import!$A$2:$CZ$301,$A227,Field_Map!$B$7)&amp;"")),""))</f>
        <v/>
      </c>
      <c r="E227" s="24" t="str">
        <f>IFERROR(INDEX(Kobo_Import!$A$2:$CZ$301,$A227,Field_Map!$B$11)&amp;"","")</f>
        <v/>
      </c>
      <c r="F227" s="27">
        <f t="shared" si="12"/>
        <v>0</v>
      </c>
      <c r="G227" s="24" t="str">
        <f t="shared" si="13"/>
        <v/>
      </c>
      <c r="H227" s="24" t="str">
        <f t="shared" si="14"/>
        <v/>
      </c>
      <c r="I227" s="24" t="str">
        <f t="shared" si="15"/>
        <v/>
      </c>
    </row>
    <row r="228" spans="1:9" x14ac:dyDescent="0.3">
      <c r="A228" s="11">
        <v>224</v>
      </c>
      <c r="B228" s="24" t="str">
        <f>IFERROR(INDEX(Kobo_Import!$A$2:$CZ$301,$A228,Field_Map!$B$13)&amp;"","")</f>
        <v/>
      </c>
      <c r="C228" s="24" t="str">
        <f>IFERROR(INDEX(Kobo_Import!$A$2:$CZ$301,$A228,Field_Map!$B$12)&amp;"","")</f>
        <v/>
      </c>
      <c r="D228" s="28" t="str">
        <f>IF(B228="","",IFERROR(IF(ISNUMBER(INDEX(Kobo_Import!$A$2:$CZ$301,$A228,Field_Map!$B$7)),INDEX(Kobo_Import!$A$2:$CZ$301,$A228,Field_Map!$B$7),DATEVALUE(INDEX(Kobo_Import!$A$2:$CZ$301,$A228,Field_Map!$B$7)&amp;"")),""))</f>
        <v/>
      </c>
      <c r="E228" s="24" t="str">
        <f>IFERROR(INDEX(Kobo_Import!$A$2:$CZ$301,$A228,Field_Map!$B$11)&amp;"","")</f>
        <v/>
      </c>
      <c r="F228" s="27">
        <f t="shared" si="12"/>
        <v>0</v>
      </c>
      <c r="G228" s="24" t="str">
        <f t="shared" si="13"/>
        <v/>
      </c>
      <c r="H228" s="24" t="str">
        <f t="shared" si="14"/>
        <v/>
      </c>
      <c r="I228" s="24" t="str">
        <f t="shared" si="15"/>
        <v/>
      </c>
    </row>
    <row r="229" spans="1:9" x14ac:dyDescent="0.3">
      <c r="A229" s="11">
        <v>225</v>
      </c>
      <c r="B229" s="24" t="str">
        <f>IFERROR(INDEX(Kobo_Import!$A$2:$CZ$301,$A229,Field_Map!$B$13)&amp;"","")</f>
        <v/>
      </c>
      <c r="C229" s="24" t="str">
        <f>IFERROR(INDEX(Kobo_Import!$A$2:$CZ$301,$A229,Field_Map!$B$12)&amp;"","")</f>
        <v/>
      </c>
      <c r="D229" s="28" t="str">
        <f>IF(B229="","",IFERROR(IF(ISNUMBER(INDEX(Kobo_Import!$A$2:$CZ$301,$A229,Field_Map!$B$7)),INDEX(Kobo_Import!$A$2:$CZ$301,$A229,Field_Map!$B$7),DATEVALUE(INDEX(Kobo_Import!$A$2:$CZ$301,$A229,Field_Map!$B$7)&amp;"")),""))</f>
        <v/>
      </c>
      <c r="E229" s="24" t="str">
        <f>IFERROR(INDEX(Kobo_Import!$A$2:$CZ$301,$A229,Field_Map!$B$11)&amp;"","")</f>
        <v/>
      </c>
      <c r="F229" s="27">
        <f t="shared" si="12"/>
        <v>0</v>
      </c>
      <c r="G229" s="24" t="str">
        <f t="shared" si="13"/>
        <v/>
      </c>
      <c r="H229" s="24" t="str">
        <f t="shared" si="14"/>
        <v/>
      </c>
      <c r="I229" s="24" t="str">
        <f t="shared" si="15"/>
        <v/>
      </c>
    </row>
    <row r="230" spans="1:9" x14ac:dyDescent="0.3">
      <c r="A230" s="11">
        <v>226</v>
      </c>
      <c r="B230" s="24" t="str">
        <f>IFERROR(INDEX(Kobo_Import!$A$2:$CZ$301,$A230,Field_Map!$B$13)&amp;"","")</f>
        <v/>
      </c>
      <c r="C230" s="24" t="str">
        <f>IFERROR(INDEX(Kobo_Import!$A$2:$CZ$301,$A230,Field_Map!$B$12)&amp;"","")</f>
        <v/>
      </c>
      <c r="D230" s="28" t="str">
        <f>IF(B230="","",IFERROR(IF(ISNUMBER(INDEX(Kobo_Import!$A$2:$CZ$301,$A230,Field_Map!$B$7)),INDEX(Kobo_Import!$A$2:$CZ$301,$A230,Field_Map!$B$7),DATEVALUE(INDEX(Kobo_Import!$A$2:$CZ$301,$A230,Field_Map!$B$7)&amp;"")),""))</f>
        <v/>
      </c>
      <c r="E230" s="24" t="str">
        <f>IFERROR(INDEX(Kobo_Import!$A$2:$CZ$301,$A230,Field_Map!$B$11)&amp;"","")</f>
        <v/>
      </c>
      <c r="F230" s="27">
        <f t="shared" si="12"/>
        <v>0</v>
      </c>
      <c r="G230" s="24" t="str">
        <f t="shared" si="13"/>
        <v/>
      </c>
      <c r="H230" s="24" t="str">
        <f t="shared" si="14"/>
        <v/>
      </c>
      <c r="I230" s="24" t="str">
        <f t="shared" si="15"/>
        <v/>
      </c>
    </row>
    <row r="231" spans="1:9" x14ac:dyDescent="0.3">
      <c r="A231" s="11">
        <v>227</v>
      </c>
      <c r="B231" s="24" t="str">
        <f>IFERROR(INDEX(Kobo_Import!$A$2:$CZ$301,$A231,Field_Map!$B$13)&amp;"","")</f>
        <v/>
      </c>
      <c r="C231" s="24" t="str">
        <f>IFERROR(INDEX(Kobo_Import!$A$2:$CZ$301,$A231,Field_Map!$B$12)&amp;"","")</f>
        <v/>
      </c>
      <c r="D231" s="28" t="str">
        <f>IF(B231="","",IFERROR(IF(ISNUMBER(INDEX(Kobo_Import!$A$2:$CZ$301,$A231,Field_Map!$B$7)),INDEX(Kobo_Import!$A$2:$CZ$301,$A231,Field_Map!$B$7),DATEVALUE(INDEX(Kobo_Import!$A$2:$CZ$301,$A231,Field_Map!$B$7)&amp;"")),""))</f>
        <v/>
      </c>
      <c r="E231" s="24" t="str">
        <f>IFERROR(INDEX(Kobo_Import!$A$2:$CZ$301,$A231,Field_Map!$B$11)&amp;"","")</f>
        <v/>
      </c>
      <c r="F231" s="27">
        <f t="shared" si="12"/>
        <v>0</v>
      </c>
      <c r="G231" s="24" t="str">
        <f t="shared" si="13"/>
        <v/>
      </c>
      <c r="H231" s="24" t="str">
        <f t="shared" si="14"/>
        <v/>
      </c>
      <c r="I231" s="24" t="str">
        <f t="shared" si="15"/>
        <v/>
      </c>
    </row>
    <row r="232" spans="1:9" x14ac:dyDescent="0.3">
      <c r="A232" s="11">
        <v>228</v>
      </c>
      <c r="B232" s="24" t="str">
        <f>IFERROR(INDEX(Kobo_Import!$A$2:$CZ$301,$A232,Field_Map!$B$13)&amp;"","")</f>
        <v/>
      </c>
      <c r="C232" s="24" t="str">
        <f>IFERROR(INDEX(Kobo_Import!$A$2:$CZ$301,$A232,Field_Map!$B$12)&amp;"","")</f>
        <v/>
      </c>
      <c r="D232" s="28" t="str">
        <f>IF(B232="","",IFERROR(IF(ISNUMBER(INDEX(Kobo_Import!$A$2:$CZ$301,$A232,Field_Map!$B$7)),INDEX(Kobo_Import!$A$2:$CZ$301,$A232,Field_Map!$B$7),DATEVALUE(INDEX(Kobo_Import!$A$2:$CZ$301,$A232,Field_Map!$B$7)&amp;"")),""))</f>
        <v/>
      </c>
      <c r="E232" s="24" t="str">
        <f>IFERROR(INDEX(Kobo_Import!$A$2:$CZ$301,$A232,Field_Map!$B$11)&amp;"","")</f>
        <v/>
      </c>
      <c r="F232" s="27">
        <f t="shared" si="12"/>
        <v>0</v>
      </c>
      <c r="G232" s="24" t="str">
        <f t="shared" si="13"/>
        <v/>
      </c>
      <c r="H232" s="24" t="str">
        <f t="shared" si="14"/>
        <v/>
      </c>
      <c r="I232" s="24" t="str">
        <f t="shared" si="15"/>
        <v/>
      </c>
    </row>
    <row r="233" spans="1:9" x14ac:dyDescent="0.3">
      <c r="A233" s="11">
        <v>229</v>
      </c>
      <c r="B233" s="24" t="str">
        <f>IFERROR(INDEX(Kobo_Import!$A$2:$CZ$301,$A233,Field_Map!$B$13)&amp;"","")</f>
        <v/>
      </c>
      <c r="C233" s="24" t="str">
        <f>IFERROR(INDEX(Kobo_Import!$A$2:$CZ$301,$A233,Field_Map!$B$12)&amp;"","")</f>
        <v/>
      </c>
      <c r="D233" s="28" t="str">
        <f>IF(B233="","",IFERROR(IF(ISNUMBER(INDEX(Kobo_Import!$A$2:$CZ$301,$A233,Field_Map!$B$7)),INDEX(Kobo_Import!$A$2:$CZ$301,$A233,Field_Map!$B$7),DATEVALUE(INDEX(Kobo_Import!$A$2:$CZ$301,$A233,Field_Map!$B$7)&amp;"")),""))</f>
        <v/>
      </c>
      <c r="E233" s="24" t="str">
        <f>IFERROR(INDEX(Kobo_Import!$A$2:$CZ$301,$A233,Field_Map!$B$11)&amp;"","")</f>
        <v/>
      </c>
      <c r="F233" s="27">
        <f t="shared" si="12"/>
        <v>0</v>
      </c>
      <c r="G233" s="24" t="str">
        <f t="shared" si="13"/>
        <v/>
      </c>
      <c r="H233" s="24" t="str">
        <f t="shared" si="14"/>
        <v/>
      </c>
      <c r="I233" s="24" t="str">
        <f t="shared" si="15"/>
        <v/>
      </c>
    </row>
    <row r="234" spans="1:9" x14ac:dyDescent="0.3">
      <c r="A234" s="11">
        <v>230</v>
      </c>
      <c r="B234" s="24" t="str">
        <f>IFERROR(INDEX(Kobo_Import!$A$2:$CZ$301,$A234,Field_Map!$B$13)&amp;"","")</f>
        <v/>
      </c>
      <c r="C234" s="24" t="str">
        <f>IFERROR(INDEX(Kobo_Import!$A$2:$CZ$301,$A234,Field_Map!$B$12)&amp;"","")</f>
        <v/>
      </c>
      <c r="D234" s="28" t="str">
        <f>IF(B234="","",IFERROR(IF(ISNUMBER(INDEX(Kobo_Import!$A$2:$CZ$301,$A234,Field_Map!$B$7)),INDEX(Kobo_Import!$A$2:$CZ$301,$A234,Field_Map!$B$7),DATEVALUE(INDEX(Kobo_Import!$A$2:$CZ$301,$A234,Field_Map!$B$7)&amp;"")),""))</f>
        <v/>
      </c>
      <c r="E234" s="24" t="str">
        <f>IFERROR(INDEX(Kobo_Import!$A$2:$CZ$301,$A234,Field_Map!$B$11)&amp;"","")</f>
        <v/>
      </c>
      <c r="F234" s="27">
        <f t="shared" si="12"/>
        <v>0</v>
      </c>
      <c r="G234" s="24" t="str">
        <f t="shared" si="13"/>
        <v/>
      </c>
      <c r="H234" s="24" t="str">
        <f t="shared" si="14"/>
        <v/>
      </c>
      <c r="I234" s="24" t="str">
        <f t="shared" si="15"/>
        <v/>
      </c>
    </row>
    <row r="235" spans="1:9" x14ac:dyDescent="0.3">
      <c r="A235" s="11">
        <v>231</v>
      </c>
      <c r="B235" s="24" t="str">
        <f>IFERROR(INDEX(Kobo_Import!$A$2:$CZ$301,$A235,Field_Map!$B$13)&amp;"","")</f>
        <v/>
      </c>
      <c r="C235" s="24" t="str">
        <f>IFERROR(INDEX(Kobo_Import!$A$2:$CZ$301,$A235,Field_Map!$B$12)&amp;"","")</f>
        <v/>
      </c>
      <c r="D235" s="28" t="str">
        <f>IF(B235="","",IFERROR(IF(ISNUMBER(INDEX(Kobo_Import!$A$2:$CZ$301,$A235,Field_Map!$B$7)),INDEX(Kobo_Import!$A$2:$CZ$301,$A235,Field_Map!$B$7),DATEVALUE(INDEX(Kobo_Import!$A$2:$CZ$301,$A235,Field_Map!$B$7)&amp;"")),""))</f>
        <v/>
      </c>
      <c r="E235" s="24" t="str">
        <f>IFERROR(INDEX(Kobo_Import!$A$2:$CZ$301,$A235,Field_Map!$B$11)&amp;"","")</f>
        <v/>
      </c>
      <c r="F235" s="27">
        <f t="shared" si="12"/>
        <v>0</v>
      </c>
      <c r="G235" s="24" t="str">
        <f t="shared" si="13"/>
        <v/>
      </c>
      <c r="H235" s="24" t="str">
        <f t="shared" si="14"/>
        <v/>
      </c>
      <c r="I235" s="24" t="str">
        <f t="shared" si="15"/>
        <v/>
      </c>
    </row>
    <row r="236" spans="1:9" x14ac:dyDescent="0.3">
      <c r="A236" s="11">
        <v>232</v>
      </c>
      <c r="B236" s="24" t="str">
        <f>IFERROR(INDEX(Kobo_Import!$A$2:$CZ$301,$A236,Field_Map!$B$13)&amp;"","")</f>
        <v/>
      </c>
      <c r="C236" s="24" t="str">
        <f>IFERROR(INDEX(Kobo_Import!$A$2:$CZ$301,$A236,Field_Map!$B$12)&amp;"","")</f>
        <v/>
      </c>
      <c r="D236" s="28" t="str">
        <f>IF(B236="","",IFERROR(IF(ISNUMBER(INDEX(Kobo_Import!$A$2:$CZ$301,$A236,Field_Map!$B$7)),INDEX(Kobo_Import!$A$2:$CZ$301,$A236,Field_Map!$B$7),DATEVALUE(INDEX(Kobo_Import!$A$2:$CZ$301,$A236,Field_Map!$B$7)&amp;"")),""))</f>
        <v/>
      </c>
      <c r="E236" s="24" t="str">
        <f>IFERROR(INDEX(Kobo_Import!$A$2:$CZ$301,$A236,Field_Map!$B$11)&amp;"","")</f>
        <v/>
      </c>
      <c r="F236" s="27">
        <f t="shared" si="12"/>
        <v>0</v>
      </c>
      <c r="G236" s="24" t="str">
        <f t="shared" si="13"/>
        <v/>
      </c>
      <c r="H236" s="24" t="str">
        <f t="shared" si="14"/>
        <v/>
      </c>
      <c r="I236" s="24" t="str">
        <f t="shared" si="15"/>
        <v/>
      </c>
    </row>
    <row r="237" spans="1:9" x14ac:dyDescent="0.3">
      <c r="A237" s="11">
        <v>233</v>
      </c>
      <c r="B237" s="24" t="str">
        <f>IFERROR(INDEX(Kobo_Import!$A$2:$CZ$301,$A237,Field_Map!$B$13)&amp;"","")</f>
        <v/>
      </c>
      <c r="C237" s="24" t="str">
        <f>IFERROR(INDEX(Kobo_Import!$A$2:$CZ$301,$A237,Field_Map!$B$12)&amp;"","")</f>
        <v/>
      </c>
      <c r="D237" s="28" t="str">
        <f>IF(B237="","",IFERROR(IF(ISNUMBER(INDEX(Kobo_Import!$A$2:$CZ$301,$A237,Field_Map!$B$7)),INDEX(Kobo_Import!$A$2:$CZ$301,$A237,Field_Map!$B$7),DATEVALUE(INDEX(Kobo_Import!$A$2:$CZ$301,$A237,Field_Map!$B$7)&amp;"")),""))</f>
        <v/>
      </c>
      <c r="E237" s="24" t="str">
        <f>IFERROR(INDEX(Kobo_Import!$A$2:$CZ$301,$A237,Field_Map!$B$11)&amp;"","")</f>
        <v/>
      </c>
      <c r="F237" s="27">
        <f t="shared" si="12"/>
        <v>0</v>
      </c>
      <c r="G237" s="24" t="str">
        <f t="shared" si="13"/>
        <v/>
      </c>
      <c r="H237" s="24" t="str">
        <f t="shared" si="14"/>
        <v/>
      </c>
      <c r="I237" s="24" t="str">
        <f t="shared" si="15"/>
        <v/>
      </c>
    </row>
    <row r="238" spans="1:9" x14ac:dyDescent="0.3">
      <c r="A238" s="11">
        <v>234</v>
      </c>
      <c r="B238" s="24" t="str">
        <f>IFERROR(INDEX(Kobo_Import!$A$2:$CZ$301,$A238,Field_Map!$B$13)&amp;"","")</f>
        <v/>
      </c>
      <c r="C238" s="24" t="str">
        <f>IFERROR(INDEX(Kobo_Import!$A$2:$CZ$301,$A238,Field_Map!$B$12)&amp;"","")</f>
        <v/>
      </c>
      <c r="D238" s="28" t="str">
        <f>IF(B238="","",IFERROR(IF(ISNUMBER(INDEX(Kobo_Import!$A$2:$CZ$301,$A238,Field_Map!$B$7)),INDEX(Kobo_Import!$A$2:$CZ$301,$A238,Field_Map!$B$7),DATEVALUE(INDEX(Kobo_Import!$A$2:$CZ$301,$A238,Field_Map!$B$7)&amp;"")),""))</f>
        <v/>
      </c>
      <c r="E238" s="24" t="str">
        <f>IFERROR(INDEX(Kobo_Import!$A$2:$CZ$301,$A238,Field_Map!$B$11)&amp;"","")</f>
        <v/>
      </c>
      <c r="F238" s="27">
        <f t="shared" si="12"/>
        <v>0</v>
      </c>
      <c r="G238" s="24" t="str">
        <f t="shared" si="13"/>
        <v/>
      </c>
      <c r="H238" s="24" t="str">
        <f t="shared" si="14"/>
        <v/>
      </c>
      <c r="I238" s="24" t="str">
        <f t="shared" si="15"/>
        <v/>
      </c>
    </row>
    <row r="239" spans="1:9" x14ac:dyDescent="0.3">
      <c r="A239" s="11">
        <v>235</v>
      </c>
      <c r="B239" s="24" t="str">
        <f>IFERROR(INDEX(Kobo_Import!$A$2:$CZ$301,$A239,Field_Map!$B$13)&amp;"","")</f>
        <v/>
      </c>
      <c r="C239" s="24" t="str">
        <f>IFERROR(INDEX(Kobo_Import!$A$2:$CZ$301,$A239,Field_Map!$B$12)&amp;"","")</f>
        <v/>
      </c>
      <c r="D239" s="28" t="str">
        <f>IF(B239="","",IFERROR(IF(ISNUMBER(INDEX(Kobo_Import!$A$2:$CZ$301,$A239,Field_Map!$B$7)),INDEX(Kobo_Import!$A$2:$CZ$301,$A239,Field_Map!$B$7),DATEVALUE(INDEX(Kobo_Import!$A$2:$CZ$301,$A239,Field_Map!$B$7)&amp;"")),""))</f>
        <v/>
      </c>
      <c r="E239" s="24" t="str">
        <f>IFERROR(INDEX(Kobo_Import!$A$2:$CZ$301,$A239,Field_Map!$B$11)&amp;"","")</f>
        <v/>
      </c>
      <c r="F239" s="27">
        <f t="shared" si="12"/>
        <v>0</v>
      </c>
      <c r="G239" s="24" t="str">
        <f t="shared" si="13"/>
        <v/>
      </c>
      <c r="H239" s="24" t="str">
        <f t="shared" si="14"/>
        <v/>
      </c>
      <c r="I239" s="24" t="str">
        <f t="shared" si="15"/>
        <v/>
      </c>
    </row>
    <row r="240" spans="1:9" x14ac:dyDescent="0.3">
      <c r="A240" s="11">
        <v>236</v>
      </c>
      <c r="B240" s="24" t="str">
        <f>IFERROR(INDEX(Kobo_Import!$A$2:$CZ$301,$A240,Field_Map!$B$13)&amp;"","")</f>
        <v/>
      </c>
      <c r="C240" s="24" t="str">
        <f>IFERROR(INDEX(Kobo_Import!$A$2:$CZ$301,$A240,Field_Map!$B$12)&amp;"","")</f>
        <v/>
      </c>
      <c r="D240" s="28" t="str">
        <f>IF(B240="","",IFERROR(IF(ISNUMBER(INDEX(Kobo_Import!$A$2:$CZ$301,$A240,Field_Map!$B$7)),INDEX(Kobo_Import!$A$2:$CZ$301,$A240,Field_Map!$B$7),DATEVALUE(INDEX(Kobo_Import!$A$2:$CZ$301,$A240,Field_Map!$B$7)&amp;"")),""))</f>
        <v/>
      </c>
      <c r="E240" s="24" t="str">
        <f>IFERROR(INDEX(Kobo_Import!$A$2:$CZ$301,$A240,Field_Map!$B$11)&amp;"","")</f>
        <v/>
      </c>
      <c r="F240" s="27">
        <f t="shared" si="12"/>
        <v>0</v>
      </c>
      <c r="G240" s="24" t="str">
        <f t="shared" si="13"/>
        <v/>
      </c>
      <c r="H240" s="24" t="str">
        <f t="shared" si="14"/>
        <v/>
      </c>
      <c r="I240" s="24" t="str">
        <f t="shared" si="15"/>
        <v/>
      </c>
    </row>
    <row r="241" spans="1:9" x14ac:dyDescent="0.3">
      <c r="A241" s="11">
        <v>237</v>
      </c>
      <c r="B241" s="24" t="str">
        <f>IFERROR(INDEX(Kobo_Import!$A$2:$CZ$301,$A241,Field_Map!$B$13)&amp;"","")</f>
        <v/>
      </c>
      <c r="C241" s="24" t="str">
        <f>IFERROR(INDEX(Kobo_Import!$A$2:$CZ$301,$A241,Field_Map!$B$12)&amp;"","")</f>
        <v/>
      </c>
      <c r="D241" s="28" t="str">
        <f>IF(B241="","",IFERROR(IF(ISNUMBER(INDEX(Kobo_Import!$A$2:$CZ$301,$A241,Field_Map!$B$7)),INDEX(Kobo_Import!$A$2:$CZ$301,$A241,Field_Map!$B$7),DATEVALUE(INDEX(Kobo_Import!$A$2:$CZ$301,$A241,Field_Map!$B$7)&amp;"")),""))</f>
        <v/>
      </c>
      <c r="E241" s="24" t="str">
        <f>IFERROR(INDEX(Kobo_Import!$A$2:$CZ$301,$A241,Field_Map!$B$11)&amp;"","")</f>
        <v/>
      </c>
      <c r="F241" s="27">
        <f t="shared" si="12"/>
        <v>0</v>
      </c>
      <c r="G241" s="24" t="str">
        <f t="shared" si="13"/>
        <v/>
      </c>
      <c r="H241" s="24" t="str">
        <f t="shared" si="14"/>
        <v/>
      </c>
      <c r="I241" s="24" t="str">
        <f t="shared" si="15"/>
        <v/>
      </c>
    </row>
    <row r="242" spans="1:9" x14ac:dyDescent="0.3">
      <c r="A242" s="11">
        <v>238</v>
      </c>
      <c r="B242" s="24" t="str">
        <f>IFERROR(INDEX(Kobo_Import!$A$2:$CZ$301,$A242,Field_Map!$B$13)&amp;"","")</f>
        <v/>
      </c>
      <c r="C242" s="24" t="str">
        <f>IFERROR(INDEX(Kobo_Import!$A$2:$CZ$301,$A242,Field_Map!$B$12)&amp;"","")</f>
        <v/>
      </c>
      <c r="D242" s="28" t="str">
        <f>IF(B242="","",IFERROR(IF(ISNUMBER(INDEX(Kobo_Import!$A$2:$CZ$301,$A242,Field_Map!$B$7)),INDEX(Kobo_Import!$A$2:$CZ$301,$A242,Field_Map!$B$7),DATEVALUE(INDEX(Kobo_Import!$A$2:$CZ$301,$A242,Field_Map!$B$7)&amp;"")),""))</f>
        <v/>
      </c>
      <c r="E242" s="24" t="str">
        <f>IFERROR(INDEX(Kobo_Import!$A$2:$CZ$301,$A242,Field_Map!$B$11)&amp;"","")</f>
        <v/>
      </c>
      <c r="F242" s="27">
        <f t="shared" si="12"/>
        <v>0</v>
      </c>
      <c r="G242" s="24" t="str">
        <f t="shared" si="13"/>
        <v/>
      </c>
      <c r="H242" s="24" t="str">
        <f t="shared" si="14"/>
        <v/>
      </c>
      <c r="I242" s="24" t="str">
        <f t="shared" si="15"/>
        <v/>
      </c>
    </row>
    <row r="243" spans="1:9" x14ac:dyDescent="0.3">
      <c r="A243" s="11">
        <v>239</v>
      </c>
      <c r="B243" s="24" t="str">
        <f>IFERROR(INDEX(Kobo_Import!$A$2:$CZ$301,$A243,Field_Map!$B$13)&amp;"","")</f>
        <v/>
      </c>
      <c r="C243" s="24" t="str">
        <f>IFERROR(INDEX(Kobo_Import!$A$2:$CZ$301,$A243,Field_Map!$B$12)&amp;"","")</f>
        <v/>
      </c>
      <c r="D243" s="28" t="str">
        <f>IF(B243="","",IFERROR(IF(ISNUMBER(INDEX(Kobo_Import!$A$2:$CZ$301,$A243,Field_Map!$B$7)),INDEX(Kobo_Import!$A$2:$CZ$301,$A243,Field_Map!$B$7),DATEVALUE(INDEX(Kobo_Import!$A$2:$CZ$301,$A243,Field_Map!$B$7)&amp;"")),""))</f>
        <v/>
      </c>
      <c r="E243" s="24" t="str">
        <f>IFERROR(INDEX(Kobo_Import!$A$2:$CZ$301,$A243,Field_Map!$B$11)&amp;"","")</f>
        <v/>
      </c>
      <c r="F243" s="27">
        <f t="shared" si="12"/>
        <v>0</v>
      </c>
      <c r="G243" s="24" t="str">
        <f t="shared" si="13"/>
        <v/>
      </c>
      <c r="H243" s="24" t="str">
        <f t="shared" si="14"/>
        <v/>
      </c>
      <c r="I243" s="24" t="str">
        <f t="shared" si="15"/>
        <v/>
      </c>
    </row>
    <row r="244" spans="1:9" x14ac:dyDescent="0.3">
      <c r="A244" s="11">
        <v>240</v>
      </c>
      <c r="B244" s="24" t="str">
        <f>IFERROR(INDEX(Kobo_Import!$A$2:$CZ$301,$A244,Field_Map!$B$13)&amp;"","")</f>
        <v/>
      </c>
      <c r="C244" s="24" t="str">
        <f>IFERROR(INDEX(Kobo_Import!$A$2:$CZ$301,$A244,Field_Map!$B$12)&amp;"","")</f>
        <v/>
      </c>
      <c r="D244" s="28" t="str">
        <f>IF(B244="","",IFERROR(IF(ISNUMBER(INDEX(Kobo_Import!$A$2:$CZ$301,$A244,Field_Map!$B$7)),INDEX(Kobo_Import!$A$2:$CZ$301,$A244,Field_Map!$B$7),DATEVALUE(INDEX(Kobo_Import!$A$2:$CZ$301,$A244,Field_Map!$B$7)&amp;"")),""))</f>
        <v/>
      </c>
      <c r="E244" s="24" t="str">
        <f>IFERROR(INDEX(Kobo_Import!$A$2:$CZ$301,$A244,Field_Map!$B$11)&amp;"","")</f>
        <v/>
      </c>
      <c r="F244" s="27">
        <f t="shared" si="12"/>
        <v>0</v>
      </c>
      <c r="G244" s="24" t="str">
        <f t="shared" si="13"/>
        <v/>
      </c>
      <c r="H244" s="24" t="str">
        <f t="shared" si="14"/>
        <v/>
      </c>
      <c r="I244" s="24" t="str">
        <f t="shared" si="15"/>
        <v/>
      </c>
    </row>
    <row r="245" spans="1:9" x14ac:dyDescent="0.3">
      <c r="A245" s="11">
        <v>241</v>
      </c>
      <c r="B245" s="24" t="str">
        <f>IFERROR(INDEX(Kobo_Import!$A$2:$CZ$301,$A245,Field_Map!$B$13)&amp;"","")</f>
        <v/>
      </c>
      <c r="C245" s="24" t="str">
        <f>IFERROR(INDEX(Kobo_Import!$A$2:$CZ$301,$A245,Field_Map!$B$12)&amp;"","")</f>
        <v/>
      </c>
      <c r="D245" s="28" t="str">
        <f>IF(B245="","",IFERROR(IF(ISNUMBER(INDEX(Kobo_Import!$A$2:$CZ$301,$A245,Field_Map!$B$7)),INDEX(Kobo_Import!$A$2:$CZ$301,$A245,Field_Map!$B$7),DATEVALUE(INDEX(Kobo_Import!$A$2:$CZ$301,$A245,Field_Map!$B$7)&amp;"")),""))</f>
        <v/>
      </c>
      <c r="E245" s="24" t="str">
        <f>IFERROR(INDEX(Kobo_Import!$A$2:$CZ$301,$A245,Field_Map!$B$11)&amp;"","")</f>
        <v/>
      </c>
      <c r="F245" s="27">
        <f t="shared" si="12"/>
        <v>0</v>
      </c>
      <c r="G245" s="24" t="str">
        <f t="shared" si="13"/>
        <v/>
      </c>
      <c r="H245" s="24" t="str">
        <f t="shared" si="14"/>
        <v/>
      </c>
      <c r="I245" s="24" t="str">
        <f t="shared" si="15"/>
        <v/>
      </c>
    </row>
    <row r="246" spans="1:9" x14ac:dyDescent="0.3">
      <c r="A246" s="11">
        <v>242</v>
      </c>
      <c r="B246" s="24" t="str">
        <f>IFERROR(INDEX(Kobo_Import!$A$2:$CZ$301,$A246,Field_Map!$B$13)&amp;"","")</f>
        <v/>
      </c>
      <c r="C246" s="24" t="str">
        <f>IFERROR(INDEX(Kobo_Import!$A$2:$CZ$301,$A246,Field_Map!$B$12)&amp;"","")</f>
        <v/>
      </c>
      <c r="D246" s="28" t="str">
        <f>IF(B246="","",IFERROR(IF(ISNUMBER(INDEX(Kobo_Import!$A$2:$CZ$301,$A246,Field_Map!$B$7)),INDEX(Kobo_Import!$A$2:$CZ$301,$A246,Field_Map!$B$7),DATEVALUE(INDEX(Kobo_Import!$A$2:$CZ$301,$A246,Field_Map!$B$7)&amp;"")),""))</f>
        <v/>
      </c>
      <c r="E246" s="24" t="str">
        <f>IFERROR(INDEX(Kobo_Import!$A$2:$CZ$301,$A246,Field_Map!$B$11)&amp;"","")</f>
        <v/>
      </c>
      <c r="F246" s="27">
        <f t="shared" si="12"/>
        <v>0</v>
      </c>
      <c r="G246" s="24" t="str">
        <f t="shared" si="13"/>
        <v/>
      </c>
      <c r="H246" s="24" t="str">
        <f t="shared" si="14"/>
        <v/>
      </c>
      <c r="I246" s="24" t="str">
        <f t="shared" si="15"/>
        <v/>
      </c>
    </row>
    <row r="247" spans="1:9" x14ac:dyDescent="0.3">
      <c r="A247" s="11">
        <v>243</v>
      </c>
      <c r="B247" s="24" t="str">
        <f>IFERROR(INDEX(Kobo_Import!$A$2:$CZ$301,$A247,Field_Map!$B$13)&amp;"","")</f>
        <v/>
      </c>
      <c r="C247" s="24" t="str">
        <f>IFERROR(INDEX(Kobo_Import!$A$2:$CZ$301,$A247,Field_Map!$B$12)&amp;"","")</f>
        <v/>
      </c>
      <c r="D247" s="28" t="str">
        <f>IF(B247="","",IFERROR(IF(ISNUMBER(INDEX(Kobo_Import!$A$2:$CZ$301,$A247,Field_Map!$B$7)),INDEX(Kobo_Import!$A$2:$CZ$301,$A247,Field_Map!$B$7),DATEVALUE(INDEX(Kobo_Import!$A$2:$CZ$301,$A247,Field_Map!$B$7)&amp;"")),""))</f>
        <v/>
      </c>
      <c r="E247" s="24" t="str">
        <f>IFERROR(INDEX(Kobo_Import!$A$2:$CZ$301,$A247,Field_Map!$B$11)&amp;"","")</f>
        <v/>
      </c>
      <c r="F247" s="27">
        <f t="shared" si="12"/>
        <v>0</v>
      </c>
      <c r="G247" s="24" t="str">
        <f t="shared" si="13"/>
        <v/>
      </c>
      <c r="H247" s="24" t="str">
        <f t="shared" si="14"/>
        <v/>
      </c>
      <c r="I247" s="24" t="str">
        <f t="shared" si="15"/>
        <v/>
      </c>
    </row>
    <row r="248" spans="1:9" x14ac:dyDescent="0.3">
      <c r="A248" s="11">
        <v>244</v>
      </c>
      <c r="B248" s="24" t="str">
        <f>IFERROR(INDEX(Kobo_Import!$A$2:$CZ$301,$A248,Field_Map!$B$13)&amp;"","")</f>
        <v/>
      </c>
      <c r="C248" s="24" t="str">
        <f>IFERROR(INDEX(Kobo_Import!$A$2:$CZ$301,$A248,Field_Map!$B$12)&amp;"","")</f>
        <v/>
      </c>
      <c r="D248" s="28" t="str">
        <f>IF(B248="","",IFERROR(IF(ISNUMBER(INDEX(Kobo_Import!$A$2:$CZ$301,$A248,Field_Map!$B$7)),INDEX(Kobo_Import!$A$2:$CZ$301,$A248,Field_Map!$B$7),DATEVALUE(INDEX(Kobo_Import!$A$2:$CZ$301,$A248,Field_Map!$B$7)&amp;"")),""))</f>
        <v/>
      </c>
      <c r="E248" s="24" t="str">
        <f>IFERROR(INDEX(Kobo_Import!$A$2:$CZ$301,$A248,Field_Map!$B$11)&amp;"","")</f>
        <v/>
      </c>
      <c r="F248" s="27">
        <f t="shared" si="12"/>
        <v>0</v>
      </c>
      <c r="G248" s="24" t="str">
        <f t="shared" si="13"/>
        <v/>
      </c>
      <c r="H248" s="24" t="str">
        <f t="shared" si="14"/>
        <v/>
      </c>
      <c r="I248" s="24" t="str">
        <f t="shared" si="15"/>
        <v/>
      </c>
    </row>
    <row r="249" spans="1:9" x14ac:dyDescent="0.3">
      <c r="A249" s="11">
        <v>245</v>
      </c>
      <c r="B249" s="24" t="str">
        <f>IFERROR(INDEX(Kobo_Import!$A$2:$CZ$301,$A249,Field_Map!$B$13)&amp;"","")</f>
        <v/>
      </c>
      <c r="C249" s="24" t="str">
        <f>IFERROR(INDEX(Kobo_Import!$A$2:$CZ$301,$A249,Field_Map!$B$12)&amp;"","")</f>
        <v/>
      </c>
      <c r="D249" s="28" t="str">
        <f>IF(B249="","",IFERROR(IF(ISNUMBER(INDEX(Kobo_Import!$A$2:$CZ$301,$A249,Field_Map!$B$7)),INDEX(Kobo_Import!$A$2:$CZ$301,$A249,Field_Map!$B$7),DATEVALUE(INDEX(Kobo_Import!$A$2:$CZ$301,$A249,Field_Map!$B$7)&amp;"")),""))</f>
        <v/>
      </c>
      <c r="E249" s="24" t="str">
        <f>IFERROR(INDEX(Kobo_Import!$A$2:$CZ$301,$A249,Field_Map!$B$11)&amp;"","")</f>
        <v/>
      </c>
      <c r="F249" s="27">
        <f t="shared" si="12"/>
        <v>0</v>
      </c>
      <c r="G249" s="24" t="str">
        <f t="shared" si="13"/>
        <v/>
      </c>
      <c r="H249" s="24" t="str">
        <f t="shared" si="14"/>
        <v/>
      </c>
      <c r="I249" s="24" t="str">
        <f t="shared" si="15"/>
        <v/>
      </c>
    </row>
    <row r="250" spans="1:9" x14ac:dyDescent="0.3">
      <c r="A250" s="11">
        <v>246</v>
      </c>
      <c r="B250" s="24" t="str">
        <f>IFERROR(INDEX(Kobo_Import!$A$2:$CZ$301,$A250,Field_Map!$B$13)&amp;"","")</f>
        <v/>
      </c>
      <c r="C250" s="24" t="str">
        <f>IFERROR(INDEX(Kobo_Import!$A$2:$CZ$301,$A250,Field_Map!$B$12)&amp;"","")</f>
        <v/>
      </c>
      <c r="D250" s="28" t="str">
        <f>IF(B250="","",IFERROR(IF(ISNUMBER(INDEX(Kobo_Import!$A$2:$CZ$301,$A250,Field_Map!$B$7)),INDEX(Kobo_Import!$A$2:$CZ$301,$A250,Field_Map!$B$7),DATEVALUE(INDEX(Kobo_Import!$A$2:$CZ$301,$A250,Field_Map!$B$7)&amp;"")),""))</f>
        <v/>
      </c>
      <c r="E250" s="24" t="str">
        <f>IFERROR(INDEX(Kobo_Import!$A$2:$CZ$301,$A250,Field_Map!$B$11)&amp;"","")</f>
        <v/>
      </c>
      <c r="F250" s="27">
        <f t="shared" si="12"/>
        <v>0</v>
      </c>
      <c r="G250" s="24" t="str">
        <f t="shared" si="13"/>
        <v/>
      </c>
      <c r="H250" s="24" t="str">
        <f t="shared" si="14"/>
        <v/>
      </c>
      <c r="I250" s="24" t="str">
        <f t="shared" si="15"/>
        <v/>
      </c>
    </row>
    <row r="251" spans="1:9" x14ac:dyDescent="0.3">
      <c r="A251" s="11">
        <v>247</v>
      </c>
      <c r="B251" s="24" t="str">
        <f>IFERROR(INDEX(Kobo_Import!$A$2:$CZ$301,$A251,Field_Map!$B$13)&amp;"","")</f>
        <v/>
      </c>
      <c r="C251" s="24" t="str">
        <f>IFERROR(INDEX(Kobo_Import!$A$2:$CZ$301,$A251,Field_Map!$B$12)&amp;"","")</f>
        <v/>
      </c>
      <c r="D251" s="28" t="str">
        <f>IF(B251="","",IFERROR(IF(ISNUMBER(INDEX(Kobo_Import!$A$2:$CZ$301,$A251,Field_Map!$B$7)),INDEX(Kobo_Import!$A$2:$CZ$301,$A251,Field_Map!$B$7),DATEVALUE(INDEX(Kobo_Import!$A$2:$CZ$301,$A251,Field_Map!$B$7)&amp;"")),""))</f>
        <v/>
      </c>
      <c r="E251" s="24" t="str">
        <f>IFERROR(INDEX(Kobo_Import!$A$2:$CZ$301,$A251,Field_Map!$B$11)&amp;"","")</f>
        <v/>
      </c>
      <c r="F251" s="27">
        <f t="shared" si="12"/>
        <v>0</v>
      </c>
      <c r="G251" s="24" t="str">
        <f t="shared" si="13"/>
        <v/>
      </c>
      <c r="H251" s="24" t="str">
        <f t="shared" si="14"/>
        <v/>
      </c>
      <c r="I251" s="24" t="str">
        <f t="shared" si="15"/>
        <v/>
      </c>
    </row>
    <row r="252" spans="1:9" x14ac:dyDescent="0.3">
      <c r="A252" s="11">
        <v>248</v>
      </c>
      <c r="B252" s="24" t="str">
        <f>IFERROR(INDEX(Kobo_Import!$A$2:$CZ$301,$A252,Field_Map!$B$13)&amp;"","")</f>
        <v/>
      </c>
      <c r="C252" s="24" t="str">
        <f>IFERROR(INDEX(Kobo_Import!$A$2:$CZ$301,$A252,Field_Map!$B$12)&amp;"","")</f>
        <v/>
      </c>
      <c r="D252" s="28" t="str">
        <f>IF(B252="","",IFERROR(IF(ISNUMBER(INDEX(Kobo_Import!$A$2:$CZ$301,$A252,Field_Map!$B$7)),INDEX(Kobo_Import!$A$2:$CZ$301,$A252,Field_Map!$B$7),DATEVALUE(INDEX(Kobo_Import!$A$2:$CZ$301,$A252,Field_Map!$B$7)&amp;"")),""))</f>
        <v/>
      </c>
      <c r="E252" s="24" t="str">
        <f>IFERROR(INDEX(Kobo_Import!$A$2:$CZ$301,$A252,Field_Map!$B$11)&amp;"","")</f>
        <v/>
      </c>
      <c r="F252" s="27">
        <f t="shared" si="12"/>
        <v>0</v>
      </c>
      <c r="G252" s="24" t="str">
        <f t="shared" si="13"/>
        <v/>
      </c>
      <c r="H252" s="24" t="str">
        <f t="shared" si="14"/>
        <v/>
      </c>
      <c r="I252" s="24" t="str">
        <f t="shared" si="15"/>
        <v/>
      </c>
    </row>
    <row r="253" spans="1:9" x14ac:dyDescent="0.3">
      <c r="A253" s="11">
        <v>249</v>
      </c>
      <c r="B253" s="24" t="str">
        <f>IFERROR(INDEX(Kobo_Import!$A$2:$CZ$301,$A253,Field_Map!$B$13)&amp;"","")</f>
        <v/>
      </c>
      <c r="C253" s="24" t="str">
        <f>IFERROR(INDEX(Kobo_Import!$A$2:$CZ$301,$A253,Field_Map!$B$12)&amp;"","")</f>
        <v/>
      </c>
      <c r="D253" s="28" t="str">
        <f>IF(B253="","",IFERROR(IF(ISNUMBER(INDEX(Kobo_Import!$A$2:$CZ$301,$A253,Field_Map!$B$7)),INDEX(Kobo_Import!$A$2:$CZ$301,$A253,Field_Map!$B$7),DATEVALUE(INDEX(Kobo_Import!$A$2:$CZ$301,$A253,Field_Map!$B$7)&amp;"")),""))</f>
        <v/>
      </c>
      <c r="E253" s="24" t="str">
        <f>IFERROR(INDEX(Kobo_Import!$A$2:$CZ$301,$A253,Field_Map!$B$11)&amp;"","")</f>
        <v/>
      </c>
      <c r="F253" s="27">
        <f t="shared" si="12"/>
        <v>0</v>
      </c>
      <c r="G253" s="24" t="str">
        <f t="shared" si="13"/>
        <v/>
      </c>
      <c r="H253" s="24" t="str">
        <f t="shared" si="14"/>
        <v/>
      </c>
      <c r="I253" s="24" t="str">
        <f t="shared" si="15"/>
        <v/>
      </c>
    </row>
    <row r="254" spans="1:9" x14ac:dyDescent="0.3">
      <c r="A254" s="11">
        <v>250</v>
      </c>
      <c r="B254" s="24" t="str">
        <f>IFERROR(INDEX(Kobo_Import!$A$2:$CZ$301,$A254,Field_Map!$B$13)&amp;"","")</f>
        <v/>
      </c>
      <c r="C254" s="24" t="str">
        <f>IFERROR(INDEX(Kobo_Import!$A$2:$CZ$301,$A254,Field_Map!$B$12)&amp;"","")</f>
        <v/>
      </c>
      <c r="D254" s="28" t="str">
        <f>IF(B254="","",IFERROR(IF(ISNUMBER(INDEX(Kobo_Import!$A$2:$CZ$301,$A254,Field_Map!$B$7)),INDEX(Kobo_Import!$A$2:$CZ$301,$A254,Field_Map!$B$7),DATEVALUE(INDEX(Kobo_Import!$A$2:$CZ$301,$A254,Field_Map!$B$7)&amp;"")),""))</f>
        <v/>
      </c>
      <c r="E254" s="24" t="str">
        <f>IFERROR(INDEX(Kobo_Import!$A$2:$CZ$301,$A254,Field_Map!$B$11)&amp;"","")</f>
        <v/>
      </c>
      <c r="F254" s="27">
        <f t="shared" si="12"/>
        <v>0</v>
      </c>
      <c r="G254" s="24" t="str">
        <f t="shared" si="13"/>
        <v/>
      </c>
      <c r="H254" s="24" t="str">
        <f t="shared" si="14"/>
        <v/>
      </c>
      <c r="I254" s="24" t="str">
        <f t="shared" si="15"/>
        <v/>
      </c>
    </row>
    <row r="255" spans="1:9" x14ac:dyDescent="0.3">
      <c r="A255" s="11">
        <v>251</v>
      </c>
      <c r="B255" s="24" t="str">
        <f>IFERROR(INDEX(Kobo_Import!$A$2:$CZ$301,$A255,Field_Map!$B$13)&amp;"","")</f>
        <v/>
      </c>
      <c r="C255" s="24" t="str">
        <f>IFERROR(INDEX(Kobo_Import!$A$2:$CZ$301,$A255,Field_Map!$B$12)&amp;"","")</f>
        <v/>
      </c>
      <c r="D255" s="28" t="str">
        <f>IF(B255="","",IFERROR(IF(ISNUMBER(INDEX(Kobo_Import!$A$2:$CZ$301,$A255,Field_Map!$B$7)),INDEX(Kobo_Import!$A$2:$CZ$301,$A255,Field_Map!$B$7),DATEVALUE(INDEX(Kobo_Import!$A$2:$CZ$301,$A255,Field_Map!$B$7)&amp;"")),""))</f>
        <v/>
      </c>
      <c r="E255" s="24" t="str">
        <f>IFERROR(INDEX(Kobo_Import!$A$2:$CZ$301,$A255,Field_Map!$B$11)&amp;"","")</f>
        <v/>
      </c>
      <c r="F255" s="27">
        <f t="shared" si="12"/>
        <v>0</v>
      </c>
      <c r="G255" s="24" t="str">
        <f t="shared" si="13"/>
        <v/>
      </c>
      <c r="H255" s="24" t="str">
        <f t="shared" si="14"/>
        <v/>
      </c>
      <c r="I255" s="24" t="str">
        <f t="shared" si="15"/>
        <v/>
      </c>
    </row>
    <row r="256" spans="1:9" x14ac:dyDescent="0.3">
      <c r="A256" s="11">
        <v>252</v>
      </c>
      <c r="B256" s="24" t="str">
        <f>IFERROR(INDEX(Kobo_Import!$A$2:$CZ$301,$A256,Field_Map!$B$13)&amp;"","")</f>
        <v/>
      </c>
      <c r="C256" s="24" t="str">
        <f>IFERROR(INDEX(Kobo_Import!$A$2:$CZ$301,$A256,Field_Map!$B$12)&amp;"","")</f>
        <v/>
      </c>
      <c r="D256" s="28" t="str">
        <f>IF(B256="","",IFERROR(IF(ISNUMBER(INDEX(Kobo_Import!$A$2:$CZ$301,$A256,Field_Map!$B$7)),INDEX(Kobo_Import!$A$2:$CZ$301,$A256,Field_Map!$B$7),DATEVALUE(INDEX(Kobo_Import!$A$2:$CZ$301,$A256,Field_Map!$B$7)&amp;"")),""))</f>
        <v/>
      </c>
      <c r="E256" s="24" t="str">
        <f>IFERROR(INDEX(Kobo_Import!$A$2:$CZ$301,$A256,Field_Map!$B$11)&amp;"","")</f>
        <v/>
      </c>
      <c r="F256" s="27">
        <f t="shared" si="12"/>
        <v>0</v>
      </c>
      <c r="G256" s="24" t="str">
        <f t="shared" si="13"/>
        <v/>
      </c>
      <c r="H256" s="24" t="str">
        <f t="shared" si="14"/>
        <v/>
      </c>
      <c r="I256" s="24" t="str">
        <f t="shared" si="15"/>
        <v/>
      </c>
    </row>
    <row r="257" spans="1:9" x14ac:dyDescent="0.3">
      <c r="A257" s="11">
        <v>253</v>
      </c>
      <c r="B257" s="24" t="str">
        <f>IFERROR(INDEX(Kobo_Import!$A$2:$CZ$301,$A257,Field_Map!$B$13)&amp;"","")</f>
        <v/>
      </c>
      <c r="C257" s="24" t="str">
        <f>IFERROR(INDEX(Kobo_Import!$A$2:$CZ$301,$A257,Field_Map!$B$12)&amp;"","")</f>
        <v/>
      </c>
      <c r="D257" s="28" t="str">
        <f>IF(B257="","",IFERROR(IF(ISNUMBER(INDEX(Kobo_Import!$A$2:$CZ$301,$A257,Field_Map!$B$7)),INDEX(Kobo_Import!$A$2:$CZ$301,$A257,Field_Map!$B$7),DATEVALUE(INDEX(Kobo_Import!$A$2:$CZ$301,$A257,Field_Map!$B$7)&amp;"")),""))</f>
        <v/>
      </c>
      <c r="E257" s="24" t="str">
        <f>IFERROR(INDEX(Kobo_Import!$A$2:$CZ$301,$A257,Field_Map!$B$11)&amp;"","")</f>
        <v/>
      </c>
      <c r="F257" s="27">
        <f t="shared" si="12"/>
        <v>0</v>
      </c>
      <c r="G257" s="24" t="str">
        <f t="shared" si="13"/>
        <v/>
      </c>
      <c r="H257" s="24" t="str">
        <f t="shared" si="14"/>
        <v/>
      </c>
      <c r="I257" s="24" t="str">
        <f t="shared" si="15"/>
        <v/>
      </c>
    </row>
    <row r="258" spans="1:9" x14ac:dyDescent="0.3">
      <c r="A258" s="11">
        <v>254</v>
      </c>
      <c r="B258" s="24" t="str">
        <f>IFERROR(INDEX(Kobo_Import!$A$2:$CZ$301,$A258,Field_Map!$B$13)&amp;"","")</f>
        <v/>
      </c>
      <c r="C258" s="24" t="str">
        <f>IFERROR(INDEX(Kobo_Import!$A$2:$CZ$301,$A258,Field_Map!$B$12)&amp;"","")</f>
        <v/>
      </c>
      <c r="D258" s="28" t="str">
        <f>IF(B258="","",IFERROR(IF(ISNUMBER(INDEX(Kobo_Import!$A$2:$CZ$301,$A258,Field_Map!$B$7)),INDEX(Kobo_Import!$A$2:$CZ$301,$A258,Field_Map!$B$7),DATEVALUE(INDEX(Kobo_Import!$A$2:$CZ$301,$A258,Field_Map!$B$7)&amp;"")),""))</f>
        <v/>
      </c>
      <c r="E258" s="24" t="str">
        <f>IFERROR(INDEX(Kobo_Import!$A$2:$CZ$301,$A258,Field_Map!$B$11)&amp;"","")</f>
        <v/>
      </c>
      <c r="F258" s="27">
        <f t="shared" si="12"/>
        <v>0</v>
      </c>
      <c r="G258" s="24" t="str">
        <f t="shared" si="13"/>
        <v/>
      </c>
      <c r="H258" s="24" t="str">
        <f t="shared" si="14"/>
        <v/>
      </c>
      <c r="I258" s="24" t="str">
        <f t="shared" si="15"/>
        <v/>
      </c>
    </row>
    <row r="259" spans="1:9" x14ac:dyDescent="0.3">
      <c r="A259" s="11">
        <v>255</v>
      </c>
      <c r="B259" s="24" t="str">
        <f>IFERROR(INDEX(Kobo_Import!$A$2:$CZ$301,$A259,Field_Map!$B$13)&amp;"","")</f>
        <v/>
      </c>
      <c r="C259" s="24" t="str">
        <f>IFERROR(INDEX(Kobo_Import!$A$2:$CZ$301,$A259,Field_Map!$B$12)&amp;"","")</f>
        <v/>
      </c>
      <c r="D259" s="28" t="str">
        <f>IF(B259="","",IFERROR(IF(ISNUMBER(INDEX(Kobo_Import!$A$2:$CZ$301,$A259,Field_Map!$B$7)),INDEX(Kobo_Import!$A$2:$CZ$301,$A259,Field_Map!$B$7),DATEVALUE(INDEX(Kobo_Import!$A$2:$CZ$301,$A259,Field_Map!$B$7)&amp;"")),""))</f>
        <v/>
      </c>
      <c r="E259" s="24" t="str">
        <f>IFERROR(INDEX(Kobo_Import!$A$2:$CZ$301,$A259,Field_Map!$B$11)&amp;"","")</f>
        <v/>
      </c>
      <c r="F259" s="27">
        <f t="shared" si="12"/>
        <v>0</v>
      </c>
      <c r="G259" s="24" t="str">
        <f t="shared" si="13"/>
        <v/>
      </c>
      <c r="H259" s="24" t="str">
        <f t="shared" si="14"/>
        <v/>
      </c>
      <c r="I259" s="24" t="str">
        <f t="shared" si="15"/>
        <v/>
      </c>
    </row>
    <row r="260" spans="1:9" x14ac:dyDescent="0.3">
      <c r="A260" s="11">
        <v>256</v>
      </c>
      <c r="B260" s="24" t="str">
        <f>IFERROR(INDEX(Kobo_Import!$A$2:$CZ$301,$A260,Field_Map!$B$13)&amp;"","")</f>
        <v/>
      </c>
      <c r="C260" s="24" t="str">
        <f>IFERROR(INDEX(Kobo_Import!$A$2:$CZ$301,$A260,Field_Map!$B$12)&amp;"","")</f>
        <v/>
      </c>
      <c r="D260" s="28" t="str">
        <f>IF(B260="","",IFERROR(IF(ISNUMBER(INDEX(Kobo_Import!$A$2:$CZ$301,$A260,Field_Map!$B$7)),INDEX(Kobo_Import!$A$2:$CZ$301,$A260,Field_Map!$B$7),DATEVALUE(INDEX(Kobo_Import!$A$2:$CZ$301,$A260,Field_Map!$B$7)&amp;"")),""))</f>
        <v/>
      </c>
      <c r="E260" s="24" t="str">
        <f>IFERROR(INDEX(Kobo_Import!$A$2:$CZ$301,$A260,Field_Map!$B$11)&amp;"","")</f>
        <v/>
      </c>
      <c r="F260" s="27">
        <f t="shared" si="12"/>
        <v>0</v>
      </c>
      <c r="G260" s="24" t="str">
        <f t="shared" si="13"/>
        <v/>
      </c>
      <c r="H260" s="24" t="str">
        <f t="shared" si="14"/>
        <v/>
      </c>
      <c r="I260" s="24" t="str">
        <f t="shared" si="15"/>
        <v/>
      </c>
    </row>
    <row r="261" spans="1:9" x14ac:dyDescent="0.3">
      <c r="A261" s="11">
        <v>257</v>
      </c>
      <c r="B261" s="24" t="str">
        <f>IFERROR(INDEX(Kobo_Import!$A$2:$CZ$301,$A261,Field_Map!$B$13)&amp;"","")</f>
        <v/>
      </c>
      <c r="C261" s="24" t="str">
        <f>IFERROR(INDEX(Kobo_Import!$A$2:$CZ$301,$A261,Field_Map!$B$12)&amp;"","")</f>
        <v/>
      </c>
      <c r="D261" s="28" t="str">
        <f>IF(B261="","",IFERROR(IF(ISNUMBER(INDEX(Kobo_Import!$A$2:$CZ$301,$A261,Field_Map!$B$7)),INDEX(Kobo_Import!$A$2:$CZ$301,$A261,Field_Map!$B$7),DATEVALUE(INDEX(Kobo_Import!$A$2:$CZ$301,$A261,Field_Map!$B$7)&amp;"")),""))</f>
        <v/>
      </c>
      <c r="E261" s="24" t="str">
        <f>IFERROR(INDEX(Kobo_Import!$A$2:$CZ$301,$A261,Field_Map!$B$11)&amp;"","")</f>
        <v/>
      </c>
      <c r="F261" s="27">
        <f t="shared" ref="F261:F304" si="16">IF(OR(B261="",C261&lt;&gt;"yes",D261=""),0,D261*1000+A261)</f>
        <v>0</v>
      </c>
      <c r="G261" s="24" t="str">
        <f t="shared" ref="G261:G324" si="17">IF(F261=0,"",IF(F261=SUMPRODUCT(MAX(($B$5:$B$304=B261)*$F$5:$F$304)),1,0))</f>
        <v/>
      </c>
      <c r="H261" s="24" t="str">
        <f t="shared" ref="H261:H324" si="18">IF(G261=1,COUNTIFS($B$5:$B$304,"&lt;"&amp;B261,$G$5:$G$304,1)+1,"")</f>
        <v/>
      </c>
      <c r="I261" s="24" t="str">
        <f t="shared" ref="I261:I304" si="19">IF(B261="","",B261&amp;"|"&amp;E261)</f>
        <v/>
      </c>
    </row>
    <row r="262" spans="1:9" x14ac:dyDescent="0.3">
      <c r="A262" s="11">
        <v>258</v>
      </c>
      <c r="B262" s="24" t="str">
        <f>IFERROR(INDEX(Kobo_Import!$A$2:$CZ$301,$A262,Field_Map!$B$13)&amp;"","")</f>
        <v/>
      </c>
      <c r="C262" s="24" t="str">
        <f>IFERROR(INDEX(Kobo_Import!$A$2:$CZ$301,$A262,Field_Map!$B$12)&amp;"","")</f>
        <v/>
      </c>
      <c r="D262" s="28" t="str">
        <f>IF(B262="","",IFERROR(IF(ISNUMBER(INDEX(Kobo_Import!$A$2:$CZ$301,$A262,Field_Map!$B$7)),INDEX(Kobo_Import!$A$2:$CZ$301,$A262,Field_Map!$B$7),DATEVALUE(INDEX(Kobo_Import!$A$2:$CZ$301,$A262,Field_Map!$B$7)&amp;"")),""))</f>
        <v/>
      </c>
      <c r="E262" s="24" t="str">
        <f>IFERROR(INDEX(Kobo_Import!$A$2:$CZ$301,$A262,Field_Map!$B$11)&amp;"","")</f>
        <v/>
      </c>
      <c r="F262" s="27">
        <f t="shared" si="16"/>
        <v>0</v>
      </c>
      <c r="G262" s="24" t="str">
        <f t="shared" si="17"/>
        <v/>
      </c>
      <c r="H262" s="24" t="str">
        <f t="shared" si="18"/>
        <v/>
      </c>
      <c r="I262" s="24" t="str">
        <f t="shared" si="19"/>
        <v/>
      </c>
    </row>
    <row r="263" spans="1:9" x14ac:dyDescent="0.3">
      <c r="A263" s="11">
        <v>259</v>
      </c>
      <c r="B263" s="24" t="str">
        <f>IFERROR(INDEX(Kobo_Import!$A$2:$CZ$301,$A263,Field_Map!$B$13)&amp;"","")</f>
        <v/>
      </c>
      <c r="C263" s="24" t="str">
        <f>IFERROR(INDEX(Kobo_Import!$A$2:$CZ$301,$A263,Field_Map!$B$12)&amp;"","")</f>
        <v/>
      </c>
      <c r="D263" s="28" t="str">
        <f>IF(B263="","",IFERROR(IF(ISNUMBER(INDEX(Kobo_Import!$A$2:$CZ$301,$A263,Field_Map!$B$7)),INDEX(Kobo_Import!$A$2:$CZ$301,$A263,Field_Map!$B$7),DATEVALUE(INDEX(Kobo_Import!$A$2:$CZ$301,$A263,Field_Map!$B$7)&amp;"")),""))</f>
        <v/>
      </c>
      <c r="E263" s="24" t="str">
        <f>IFERROR(INDEX(Kobo_Import!$A$2:$CZ$301,$A263,Field_Map!$B$11)&amp;"","")</f>
        <v/>
      </c>
      <c r="F263" s="27">
        <f t="shared" si="16"/>
        <v>0</v>
      </c>
      <c r="G263" s="24" t="str">
        <f t="shared" si="17"/>
        <v/>
      </c>
      <c r="H263" s="24" t="str">
        <f t="shared" si="18"/>
        <v/>
      </c>
      <c r="I263" s="24" t="str">
        <f t="shared" si="19"/>
        <v/>
      </c>
    </row>
    <row r="264" spans="1:9" x14ac:dyDescent="0.3">
      <c r="A264" s="11">
        <v>260</v>
      </c>
      <c r="B264" s="24" t="str">
        <f>IFERROR(INDEX(Kobo_Import!$A$2:$CZ$301,$A264,Field_Map!$B$13)&amp;"","")</f>
        <v/>
      </c>
      <c r="C264" s="24" t="str">
        <f>IFERROR(INDEX(Kobo_Import!$A$2:$CZ$301,$A264,Field_Map!$B$12)&amp;"","")</f>
        <v/>
      </c>
      <c r="D264" s="28" t="str">
        <f>IF(B264="","",IFERROR(IF(ISNUMBER(INDEX(Kobo_Import!$A$2:$CZ$301,$A264,Field_Map!$B$7)),INDEX(Kobo_Import!$A$2:$CZ$301,$A264,Field_Map!$B$7),DATEVALUE(INDEX(Kobo_Import!$A$2:$CZ$301,$A264,Field_Map!$B$7)&amp;"")),""))</f>
        <v/>
      </c>
      <c r="E264" s="24" t="str">
        <f>IFERROR(INDEX(Kobo_Import!$A$2:$CZ$301,$A264,Field_Map!$B$11)&amp;"","")</f>
        <v/>
      </c>
      <c r="F264" s="27">
        <f t="shared" si="16"/>
        <v>0</v>
      </c>
      <c r="G264" s="24" t="str">
        <f t="shared" si="17"/>
        <v/>
      </c>
      <c r="H264" s="24" t="str">
        <f t="shared" si="18"/>
        <v/>
      </c>
      <c r="I264" s="24" t="str">
        <f t="shared" si="19"/>
        <v/>
      </c>
    </row>
    <row r="265" spans="1:9" x14ac:dyDescent="0.3">
      <c r="A265" s="11">
        <v>261</v>
      </c>
      <c r="B265" s="24" t="str">
        <f>IFERROR(INDEX(Kobo_Import!$A$2:$CZ$301,$A265,Field_Map!$B$13)&amp;"","")</f>
        <v/>
      </c>
      <c r="C265" s="24" t="str">
        <f>IFERROR(INDEX(Kobo_Import!$A$2:$CZ$301,$A265,Field_Map!$B$12)&amp;"","")</f>
        <v/>
      </c>
      <c r="D265" s="28" t="str">
        <f>IF(B265="","",IFERROR(IF(ISNUMBER(INDEX(Kobo_Import!$A$2:$CZ$301,$A265,Field_Map!$B$7)),INDEX(Kobo_Import!$A$2:$CZ$301,$A265,Field_Map!$B$7),DATEVALUE(INDEX(Kobo_Import!$A$2:$CZ$301,$A265,Field_Map!$B$7)&amp;"")),""))</f>
        <v/>
      </c>
      <c r="E265" s="24" t="str">
        <f>IFERROR(INDEX(Kobo_Import!$A$2:$CZ$301,$A265,Field_Map!$B$11)&amp;"","")</f>
        <v/>
      </c>
      <c r="F265" s="27">
        <f t="shared" si="16"/>
        <v>0</v>
      </c>
      <c r="G265" s="24" t="str">
        <f t="shared" si="17"/>
        <v/>
      </c>
      <c r="H265" s="24" t="str">
        <f t="shared" si="18"/>
        <v/>
      </c>
      <c r="I265" s="24" t="str">
        <f t="shared" si="19"/>
        <v/>
      </c>
    </row>
    <row r="266" spans="1:9" x14ac:dyDescent="0.3">
      <c r="A266" s="11">
        <v>262</v>
      </c>
      <c r="B266" s="24" t="str">
        <f>IFERROR(INDEX(Kobo_Import!$A$2:$CZ$301,$A266,Field_Map!$B$13)&amp;"","")</f>
        <v/>
      </c>
      <c r="C266" s="24" t="str">
        <f>IFERROR(INDEX(Kobo_Import!$A$2:$CZ$301,$A266,Field_Map!$B$12)&amp;"","")</f>
        <v/>
      </c>
      <c r="D266" s="28" t="str">
        <f>IF(B266="","",IFERROR(IF(ISNUMBER(INDEX(Kobo_Import!$A$2:$CZ$301,$A266,Field_Map!$B$7)),INDEX(Kobo_Import!$A$2:$CZ$301,$A266,Field_Map!$B$7),DATEVALUE(INDEX(Kobo_Import!$A$2:$CZ$301,$A266,Field_Map!$B$7)&amp;"")),""))</f>
        <v/>
      </c>
      <c r="E266" s="24" t="str">
        <f>IFERROR(INDEX(Kobo_Import!$A$2:$CZ$301,$A266,Field_Map!$B$11)&amp;"","")</f>
        <v/>
      </c>
      <c r="F266" s="27">
        <f t="shared" si="16"/>
        <v>0</v>
      </c>
      <c r="G266" s="24" t="str">
        <f t="shared" si="17"/>
        <v/>
      </c>
      <c r="H266" s="24" t="str">
        <f t="shared" si="18"/>
        <v/>
      </c>
      <c r="I266" s="24" t="str">
        <f t="shared" si="19"/>
        <v/>
      </c>
    </row>
    <row r="267" spans="1:9" x14ac:dyDescent="0.3">
      <c r="A267" s="11">
        <v>263</v>
      </c>
      <c r="B267" s="24" t="str">
        <f>IFERROR(INDEX(Kobo_Import!$A$2:$CZ$301,$A267,Field_Map!$B$13)&amp;"","")</f>
        <v/>
      </c>
      <c r="C267" s="24" t="str">
        <f>IFERROR(INDEX(Kobo_Import!$A$2:$CZ$301,$A267,Field_Map!$B$12)&amp;"","")</f>
        <v/>
      </c>
      <c r="D267" s="28" t="str">
        <f>IF(B267="","",IFERROR(IF(ISNUMBER(INDEX(Kobo_Import!$A$2:$CZ$301,$A267,Field_Map!$B$7)),INDEX(Kobo_Import!$A$2:$CZ$301,$A267,Field_Map!$B$7),DATEVALUE(INDEX(Kobo_Import!$A$2:$CZ$301,$A267,Field_Map!$B$7)&amp;"")),""))</f>
        <v/>
      </c>
      <c r="E267" s="24" t="str">
        <f>IFERROR(INDEX(Kobo_Import!$A$2:$CZ$301,$A267,Field_Map!$B$11)&amp;"","")</f>
        <v/>
      </c>
      <c r="F267" s="27">
        <f t="shared" si="16"/>
        <v>0</v>
      </c>
      <c r="G267" s="24" t="str">
        <f t="shared" si="17"/>
        <v/>
      </c>
      <c r="H267" s="24" t="str">
        <f t="shared" si="18"/>
        <v/>
      </c>
      <c r="I267" s="24" t="str">
        <f t="shared" si="19"/>
        <v/>
      </c>
    </row>
    <row r="268" spans="1:9" x14ac:dyDescent="0.3">
      <c r="A268" s="11">
        <v>264</v>
      </c>
      <c r="B268" s="24" t="str">
        <f>IFERROR(INDEX(Kobo_Import!$A$2:$CZ$301,$A268,Field_Map!$B$13)&amp;"","")</f>
        <v/>
      </c>
      <c r="C268" s="24" t="str">
        <f>IFERROR(INDEX(Kobo_Import!$A$2:$CZ$301,$A268,Field_Map!$B$12)&amp;"","")</f>
        <v/>
      </c>
      <c r="D268" s="28" t="str">
        <f>IF(B268="","",IFERROR(IF(ISNUMBER(INDEX(Kobo_Import!$A$2:$CZ$301,$A268,Field_Map!$B$7)),INDEX(Kobo_Import!$A$2:$CZ$301,$A268,Field_Map!$B$7),DATEVALUE(INDEX(Kobo_Import!$A$2:$CZ$301,$A268,Field_Map!$B$7)&amp;"")),""))</f>
        <v/>
      </c>
      <c r="E268" s="24" t="str">
        <f>IFERROR(INDEX(Kobo_Import!$A$2:$CZ$301,$A268,Field_Map!$B$11)&amp;"","")</f>
        <v/>
      </c>
      <c r="F268" s="27">
        <f t="shared" si="16"/>
        <v>0</v>
      </c>
      <c r="G268" s="24" t="str">
        <f t="shared" si="17"/>
        <v/>
      </c>
      <c r="H268" s="24" t="str">
        <f t="shared" si="18"/>
        <v/>
      </c>
      <c r="I268" s="24" t="str">
        <f t="shared" si="19"/>
        <v/>
      </c>
    </row>
    <row r="269" spans="1:9" x14ac:dyDescent="0.3">
      <c r="A269" s="11">
        <v>265</v>
      </c>
      <c r="B269" s="24" t="str">
        <f>IFERROR(INDEX(Kobo_Import!$A$2:$CZ$301,$A269,Field_Map!$B$13)&amp;"","")</f>
        <v/>
      </c>
      <c r="C269" s="24" t="str">
        <f>IFERROR(INDEX(Kobo_Import!$A$2:$CZ$301,$A269,Field_Map!$B$12)&amp;"","")</f>
        <v/>
      </c>
      <c r="D269" s="28" t="str">
        <f>IF(B269="","",IFERROR(IF(ISNUMBER(INDEX(Kobo_Import!$A$2:$CZ$301,$A269,Field_Map!$B$7)),INDEX(Kobo_Import!$A$2:$CZ$301,$A269,Field_Map!$B$7),DATEVALUE(INDEX(Kobo_Import!$A$2:$CZ$301,$A269,Field_Map!$B$7)&amp;"")),""))</f>
        <v/>
      </c>
      <c r="E269" s="24" t="str">
        <f>IFERROR(INDEX(Kobo_Import!$A$2:$CZ$301,$A269,Field_Map!$B$11)&amp;"","")</f>
        <v/>
      </c>
      <c r="F269" s="27">
        <f t="shared" si="16"/>
        <v>0</v>
      </c>
      <c r="G269" s="24" t="str">
        <f t="shared" si="17"/>
        <v/>
      </c>
      <c r="H269" s="24" t="str">
        <f t="shared" si="18"/>
        <v/>
      </c>
      <c r="I269" s="24" t="str">
        <f t="shared" si="19"/>
        <v/>
      </c>
    </row>
    <row r="270" spans="1:9" x14ac:dyDescent="0.3">
      <c r="A270" s="11">
        <v>266</v>
      </c>
      <c r="B270" s="24" t="str">
        <f>IFERROR(INDEX(Kobo_Import!$A$2:$CZ$301,$A270,Field_Map!$B$13)&amp;"","")</f>
        <v/>
      </c>
      <c r="C270" s="24" t="str">
        <f>IFERROR(INDEX(Kobo_Import!$A$2:$CZ$301,$A270,Field_Map!$B$12)&amp;"","")</f>
        <v/>
      </c>
      <c r="D270" s="28" t="str">
        <f>IF(B270="","",IFERROR(IF(ISNUMBER(INDEX(Kobo_Import!$A$2:$CZ$301,$A270,Field_Map!$B$7)),INDEX(Kobo_Import!$A$2:$CZ$301,$A270,Field_Map!$B$7),DATEVALUE(INDEX(Kobo_Import!$A$2:$CZ$301,$A270,Field_Map!$B$7)&amp;"")),""))</f>
        <v/>
      </c>
      <c r="E270" s="24" t="str">
        <f>IFERROR(INDEX(Kobo_Import!$A$2:$CZ$301,$A270,Field_Map!$B$11)&amp;"","")</f>
        <v/>
      </c>
      <c r="F270" s="27">
        <f t="shared" si="16"/>
        <v>0</v>
      </c>
      <c r="G270" s="24" t="str">
        <f t="shared" si="17"/>
        <v/>
      </c>
      <c r="H270" s="24" t="str">
        <f t="shared" si="18"/>
        <v/>
      </c>
      <c r="I270" s="24" t="str">
        <f t="shared" si="19"/>
        <v/>
      </c>
    </row>
    <row r="271" spans="1:9" x14ac:dyDescent="0.3">
      <c r="A271" s="11">
        <v>267</v>
      </c>
      <c r="B271" s="24" t="str">
        <f>IFERROR(INDEX(Kobo_Import!$A$2:$CZ$301,$A271,Field_Map!$B$13)&amp;"","")</f>
        <v/>
      </c>
      <c r="C271" s="24" t="str">
        <f>IFERROR(INDEX(Kobo_Import!$A$2:$CZ$301,$A271,Field_Map!$B$12)&amp;"","")</f>
        <v/>
      </c>
      <c r="D271" s="28" t="str">
        <f>IF(B271="","",IFERROR(IF(ISNUMBER(INDEX(Kobo_Import!$A$2:$CZ$301,$A271,Field_Map!$B$7)),INDEX(Kobo_Import!$A$2:$CZ$301,$A271,Field_Map!$B$7),DATEVALUE(INDEX(Kobo_Import!$A$2:$CZ$301,$A271,Field_Map!$B$7)&amp;"")),""))</f>
        <v/>
      </c>
      <c r="E271" s="24" t="str">
        <f>IFERROR(INDEX(Kobo_Import!$A$2:$CZ$301,$A271,Field_Map!$B$11)&amp;"","")</f>
        <v/>
      </c>
      <c r="F271" s="27">
        <f t="shared" si="16"/>
        <v>0</v>
      </c>
      <c r="G271" s="24" t="str">
        <f t="shared" si="17"/>
        <v/>
      </c>
      <c r="H271" s="24" t="str">
        <f t="shared" si="18"/>
        <v/>
      </c>
      <c r="I271" s="24" t="str">
        <f t="shared" si="19"/>
        <v/>
      </c>
    </row>
    <row r="272" spans="1:9" x14ac:dyDescent="0.3">
      <c r="A272" s="11">
        <v>268</v>
      </c>
      <c r="B272" s="24" t="str">
        <f>IFERROR(INDEX(Kobo_Import!$A$2:$CZ$301,$A272,Field_Map!$B$13)&amp;"","")</f>
        <v/>
      </c>
      <c r="C272" s="24" t="str">
        <f>IFERROR(INDEX(Kobo_Import!$A$2:$CZ$301,$A272,Field_Map!$B$12)&amp;"","")</f>
        <v/>
      </c>
      <c r="D272" s="28" t="str">
        <f>IF(B272="","",IFERROR(IF(ISNUMBER(INDEX(Kobo_Import!$A$2:$CZ$301,$A272,Field_Map!$B$7)),INDEX(Kobo_Import!$A$2:$CZ$301,$A272,Field_Map!$B$7),DATEVALUE(INDEX(Kobo_Import!$A$2:$CZ$301,$A272,Field_Map!$B$7)&amp;"")),""))</f>
        <v/>
      </c>
      <c r="E272" s="24" t="str">
        <f>IFERROR(INDEX(Kobo_Import!$A$2:$CZ$301,$A272,Field_Map!$B$11)&amp;"","")</f>
        <v/>
      </c>
      <c r="F272" s="27">
        <f t="shared" si="16"/>
        <v>0</v>
      </c>
      <c r="G272" s="24" t="str">
        <f t="shared" si="17"/>
        <v/>
      </c>
      <c r="H272" s="24" t="str">
        <f t="shared" si="18"/>
        <v/>
      </c>
      <c r="I272" s="24" t="str">
        <f t="shared" si="19"/>
        <v/>
      </c>
    </row>
    <row r="273" spans="1:9" x14ac:dyDescent="0.3">
      <c r="A273" s="11">
        <v>269</v>
      </c>
      <c r="B273" s="24" t="str">
        <f>IFERROR(INDEX(Kobo_Import!$A$2:$CZ$301,$A273,Field_Map!$B$13)&amp;"","")</f>
        <v/>
      </c>
      <c r="C273" s="24" t="str">
        <f>IFERROR(INDEX(Kobo_Import!$A$2:$CZ$301,$A273,Field_Map!$B$12)&amp;"","")</f>
        <v/>
      </c>
      <c r="D273" s="28" t="str">
        <f>IF(B273="","",IFERROR(IF(ISNUMBER(INDEX(Kobo_Import!$A$2:$CZ$301,$A273,Field_Map!$B$7)),INDEX(Kobo_Import!$A$2:$CZ$301,$A273,Field_Map!$B$7),DATEVALUE(INDEX(Kobo_Import!$A$2:$CZ$301,$A273,Field_Map!$B$7)&amp;"")),""))</f>
        <v/>
      </c>
      <c r="E273" s="24" t="str">
        <f>IFERROR(INDEX(Kobo_Import!$A$2:$CZ$301,$A273,Field_Map!$B$11)&amp;"","")</f>
        <v/>
      </c>
      <c r="F273" s="27">
        <f t="shared" si="16"/>
        <v>0</v>
      </c>
      <c r="G273" s="24" t="str">
        <f t="shared" si="17"/>
        <v/>
      </c>
      <c r="H273" s="24" t="str">
        <f t="shared" si="18"/>
        <v/>
      </c>
      <c r="I273" s="24" t="str">
        <f t="shared" si="19"/>
        <v/>
      </c>
    </row>
    <row r="274" spans="1:9" x14ac:dyDescent="0.3">
      <c r="A274" s="11">
        <v>270</v>
      </c>
      <c r="B274" s="24" t="str">
        <f>IFERROR(INDEX(Kobo_Import!$A$2:$CZ$301,$A274,Field_Map!$B$13)&amp;"","")</f>
        <v/>
      </c>
      <c r="C274" s="24" t="str">
        <f>IFERROR(INDEX(Kobo_Import!$A$2:$CZ$301,$A274,Field_Map!$B$12)&amp;"","")</f>
        <v/>
      </c>
      <c r="D274" s="28" t="str">
        <f>IF(B274="","",IFERROR(IF(ISNUMBER(INDEX(Kobo_Import!$A$2:$CZ$301,$A274,Field_Map!$B$7)),INDEX(Kobo_Import!$A$2:$CZ$301,$A274,Field_Map!$B$7),DATEVALUE(INDEX(Kobo_Import!$A$2:$CZ$301,$A274,Field_Map!$B$7)&amp;"")),""))</f>
        <v/>
      </c>
      <c r="E274" s="24" t="str">
        <f>IFERROR(INDEX(Kobo_Import!$A$2:$CZ$301,$A274,Field_Map!$B$11)&amp;"","")</f>
        <v/>
      </c>
      <c r="F274" s="27">
        <f t="shared" si="16"/>
        <v>0</v>
      </c>
      <c r="G274" s="24" t="str">
        <f t="shared" si="17"/>
        <v/>
      </c>
      <c r="H274" s="24" t="str">
        <f t="shared" si="18"/>
        <v/>
      </c>
      <c r="I274" s="24" t="str">
        <f t="shared" si="19"/>
        <v/>
      </c>
    </row>
    <row r="275" spans="1:9" x14ac:dyDescent="0.3">
      <c r="A275" s="11">
        <v>271</v>
      </c>
      <c r="B275" s="24" t="str">
        <f>IFERROR(INDEX(Kobo_Import!$A$2:$CZ$301,$A275,Field_Map!$B$13)&amp;"","")</f>
        <v/>
      </c>
      <c r="C275" s="24" t="str">
        <f>IFERROR(INDEX(Kobo_Import!$A$2:$CZ$301,$A275,Field_Map!$B$12)&amp;"","")</f>
        <v/>
      </c>
      <c r="D275" s="28" t="str">
        <f>IF(B275="","",IFERROR(IF(ISNUMBER(INDEX(Kobo_Import!$A$2:$CZ$301,$A275,Field_Map!$B$7)),INDEX(Kobo_Import!$A$2:$CZ$301,$A275,Field_Map!$B$7),DATEVALUE(INDEX(Kobo_Import!$A$2:$CZ$301,$A275,Field_Map!$B$7)&amp;"")),""))</f>
        <v/>
      </c>
      <c r="E275" s="24" t="str">
        <f>IFERROR(INDEX(Kobo_Import!$A$2:$CZ$301,$A275,Field_Map!$B$11)&amp;"","")</f>
        <v/>
      </c>
      <c r="F275" s="27">
        <f t="shared" si="16"/>
        <v>0</v>
      </c>
      <c r="G275" s="24" t="str">
        <f t="shared" si="17"/>
        <v/>
      </c>
      <c r="H275" s="24" t="str">
        <f t="shared" si="18"/>
        <v/>
      </c>
      <c r="I275" s="24" t="str">
        <f t="shared" si="19"/>
        <v/>
      </c>
    </row>
    <row r="276" spans="1:9" x14ac:dyDescent="0.3">
      <c r="A276" s="11">
        <v>272</v>
      </c>
      <c r="B276" s="24" t="str">
        <f>IFERROR(INDEX(Kobo_Import!$A$2:$CZ$301,$A276,Field_Map!$B$13)&amp;"","")</f>
        <v/>
      </c>
      <c r="C276" s="24" t="str">
        <f>IFERROR(INDEX(Kobo_Import!$A$2:$CZ$301,$A276,Field_Map!$B$12)&amp;"","")</f>
        <v/>
      </c>
      <c r="D276" s="28" t="str">
        <f>IF(B276="","",IFERROR(IF(ISNUMBER(INDEX(Kobo_Import!$A$2:$CZ$301,$A276,Field_Map!$B$7)),INDEX(Kobo_Import!$A$2:$CZ$301,$A276,Field_Map!$B$7),DATEVALUE(INDEX(Kobo_Import!$A$2:$CZ$301,$A276,Field_Map!$B$7)&amp;"")),""))</f>
        <v/>
      </c>
      <c r="E276" s="24" t="str">
        <f>IFERROR(INDEX(Kobo_Import!$A$2:$CZ$301,$A276,Field_Map!$B$11)&amp;"","")</f>
        <v/>
      </c>
      <c r="F276" s="27">
        <f t="shared" si="16"/>
        <v>0</v>
      </c>
      <c r="G276" s="24" t="str">
        <f t="shared" si="17"/>
        <v/>
      </c>
      <c r="H276" s="24" t="str">
        <f t="shared" si="18"/>
        <v/>
      </c>
      <c r="I276" s="24" t="str">
        <f t="shared" si="19"/>
        <v/>
      </c>
    </row>
    <row r="277" spans="1:9" x14ac:dyDescent="0.3">
      <c r="A277" s="11">
        <v>273</v>
      </c>
      <c r="B277" s="24" t="str">
        <f>IFERROR(INDEX(Kobo_Import!$A$2:$CZ$301,$A277,Field_Map!$B$13)&amp;"","")</f>
        <v/>
      </c>
      <c r="C277" s="24" t="str">
        <f>IFERROR(INDEX(Kobo_Import!$A$2:$CZ$301,$A277,Field_Map!$B$12)&amp;"","")</f>
        <v/>
      </c>
      <c r="D277" s="28" t="str">
        <f>IF(B277="","",IFERROR(IF(ISNUMBER(INDEX(Kobo_Import!$A$2:$CZ$301,$A277,Field_Map!$B$7)),INDEX(Kobo_Import!$A$2:$CZ$301,$A277,Field_Map!$B$7),DATEVALUE(INDEX(Kobo_Import!$A$2:$CZ$301,$A277,Field_Map!$B$7)&amp;"")),""))</f>
        <v/>
      </c>
      <c r="E277" s="24" t="str">
        <f>IFERROR(INDEX(Kobo_Import!$A$2:$CZ$301,$A277,Field_Map!$B$11)&amp;"","")</f>
        <v/>
      </c>
      <c r="F277" s="27">
        <f t="shared" si="16"/>
        <v>0</v>
      </c>
      <c r="G277" s="24" t="str">
        <f t="shared" si="17"/>
        <v/>
      </c>
      <c r="H277" s="24" t="str">
        <f t="shared" si="18"/>
        <v/>
      </c>
      <c r="I277" s="24" t="str">
        <f t="shared" si="19"/>
        <v/>
      </c>
    </row>
    <row r="278" spans="1:9" x14ac:dyDescent="0.3">
      <c r="A278" s="11">
        <v>274</v>
      </c>
      <c r="B278" s="24" t="str">
        <f>IFERROR(INDEX(Kobo_Import!$A$2:$CZ$301,$A278,Field_Map!$B$13)&amp;"","")</f>
        <v/>
      </c>
      <c r="C278" s="24" t="str">
        <f>IFERROR(INDEX(Kobo_Import!$A$2:$CZ$301,$A278,Field_Map!$B$12)&amp;"","")</f>
        <v/>
      </c>
      <c r="D278" s="28" t="str">
        <f>IF(B278="","",IFERROR(IF(ISNUMBER(INDEX(Kobo_Import!$A$2:$CZ$301,$A278,Field_Map!$B$7)),INDEX(Kobo_Import!$A$2:$CZ$301,$A278,Field_Map!$B$7),DATEVALUE(INDEX(Kobo_Import!$A$2:$CZ$301,$A278,Field_Map!$B$7)&amp;"")),""))</f>
        <v/>
      </c>
      <c r="E278" s="24" t="str">
        <f>IFERROR(INDEX(Kobo_Import!$A$2:$CZ$301,$A278,Field_Map!$B$11)&amp;"","")</f>
        <v/>
      </c>
      <c r="F278" s="27">
        <f t="shared" si="16"/>
        <v>0</v>
      </c>
      <c r="G278" s="24" t="str">
        <f t="shared" si="17"/>
        <v/>
      </c>
      <c r="H278" s="24" t="str">
        <f t="shared" si="18"/>
        <v/>
      </c>
      <c r="I278" s="24" t="str">
        <f t="shared" si="19"/>
        <v/>
      </c>
    </row>
    <row r="279" spans="1:9" x14ac:dyDescent="0.3">
      <c r="A279" s="11">
        <v>275</v>
      </c>
      <c r="B279" s="24" t="str">
        <f>IFERROR(INDEX(Kobo_Import!$A$2:$CZ$301,$A279,Field_Map!$B$13)&amp;"","")</f>
        <v/>
      </c>
      <c r="C279" s="24" t="str">
        <f>IFERROR(INDEX(Kobo_Import!$A$2:$CZ$301,$A279,Field_Map!$B$12)&amp;"","")</f>
        <v/>
      </c>
      <c r="D279" s="28" t="str">
        <f>IF(B279="","",IFERROR(IF(ISNUMBER(INDEX(Kobo_Import!$A$2:$CZ$301,$A279,Field_Map!$B$7)),INDEX(Kobo_Import!$A$2:$CZ$301,$A279,Field_Map!$B$7),DATEVALUE(INDEX(Kobo_Import!$A$2:$CZ$301,$A279,Field_Map!$B$7)&amp;"")),""))</f>
        <v/>
      </c>
      <c r="E279" s="24" t="str">
        <f>IFERROR(INDEX(Kobo_Import!$A$2:$CZ$301,$A279,Field_Map!$B$11)&amp;"","")</f>
        <v/>
      </c>
      <c r="F279" s="27">
        <f t="shared" si="16"/>
        <v>0</v>
      </c>
      <c r="G279" s="24" t="str">
        <f t="shared" si="17"/>
        <v/>
      </c>
      <c r="H279" s="24" t="str">
        <f t="shared" si="18"/>
        <v/>
      </c>
      <c r="I279" s="24" t="str">
        <f t="shared" si="19"/>
        <v/>
      </c>
    </row>
    <row r="280" spans="1:9" x14ac:dyDescent="0.3">
      <c r="A280" s="11">
        <v>276</v>
      </c>
      <c r="B280" s="24" t="str">
        <f>IFERROR(INDEX(Kobo_Import!$A$2:$CZ$301,$A280,Field_Map!$B$13)&amp;"","")</f>
        <v/>
      </c>
      <c r="C280" s="24" t="str">
        <f>IFERROR(INDEX(Kobo_Import!$A$2:$CZ$301,$A280,Field_Map!$B$12)&amp;"","")</f>
        <v/>
      </c>
      <c r="D280" s="28" t="str">
        <f>IF(B280="","",IFERROR(IF(ISNUMBER(INDEX(Kobo_Import!$A$2:$CZ$301,$A280,Field_Map!$B$7)),INDEX(Kobo_Import!$A$2:$CZ$301,$A280,Field_Map!$B$7),DATEVALUE(INDEX(Kobo_Import!$A$2:$CZ$301,$A280,Field_Map!$B$7)&amp;"")),""))</f>
        <v/>
      </c>
      <c r="E280" s="24" t="str">
        <f>IFERROR(INDEX(Kobo_Import!$A$2:$CZ$301,$A280,Field_Map!$B$11)&amp;"","")</f>
        <v/>
      </c>
      <c r="F280" s="27">
        <f t="shared" si="16"/>
        <v>0</v>
      </c>
      <c r="G280" s="24" t="str">
        <f t="shared" si="17"/>
        <v/>
      </c>
      <c r="H280" s="24" t="str">
        <f t="shared" si="18"/>
        <v/>
      </c>
      <c r="I280" s="24" t="str">
        <f t="shared" si="19"/>
        <v/>
      </c>
    </row>
    <row r="281" spans="1:9" x14ac:dyDescent="0.3">
      <c r="A281" s="11">
        <v>277</v>
      </c>
      <c r="B281" s="24" t="str">
        <f>IFERROR(INDEX(Kobo_Import!$A$2:$CZ$301,$A281,Field_Map!$B$13)&amp;"","")</f>
        <v/>
      </c>
      <c r="C281" s="24" t="str">
        <f>IFERROR(INDEX(Kobo_Import!$A$2:$CZ$301,$A281,Field_Map!$B$12)&amp;"","")</f>
        <v/>
      </c>
      <c r="D281" s="28" t="str">
        <f>IF(B281="","",IFERROR(IF(ISNUMBER(INDEX(Kobo_Import!$A$2:$CZ$301,$A281,Field_Map!$B$7)),INDEX(Kobo_Import!$A$2:$CZ$301,$A281,Field_Map!$B$7),DATEVALUE(INDEX(Kobo_Import!$A$2:$CZ$301,$A281,Field_Map!$B$7)&amp;"")),""))</f>
        <v/>
      </c>
      <c r="E281" s="24" t="str">
        <f>IFERROR(INDEX(Kobo_Import!$A$2:$CZ$301,$A281,Field_Map!$B$11)&amp;"","")</f>
        <v/>
      </c>
      <c r="F281" s="27">
        <f t="shared" si="16"/>
        <v>0</v>
      </c>
      <c r="G281" s="24" t="str">
        <f t="shared" si="17"/>
        <v/>
      </c>
      <c r="H281" s="24" t="str">
        <f t="shared" si="18"/>
        <v/>
      </c>
      <c r="I281" s="24" t="str">
        <f t="shared" si="19"/>
        <v/>
      </c>
    </row>
    <row r="282" spans="1:9" x14ac:dyDescent="0.3">
      <c r="A282" s="11">
        <v>278</v>
      </c>
      <c r="B282" s="24" t="str">
        <f>IFERROR(INDEX(Kobo_Import!$A$2:$CZ$301,$A282,Field_Map!$B$13)&amp;"","")</f>
        <v/>
      </c>
      <c r="C282" s="24" t="str">
        <f>IFERROR(INDEX(Kobo_Import!$A$2:$CZ$301,$A282,Field_Map!$B$12)&amp;"","")</f>
        <v/>
      </c>
      <c r="D282" s="28" t="str">
        <f>IF(B282="","",IFERROR(IF(ISNUMBER(INDEX(Kobo_Import!$A$2:$CZ$301,$A282,Field_Map!$B$7)),INDEX(Kobo_Import!$A$2:$CZ$301,$A282,Field_Map!$B$7),DATEVALUE(INDEX(Kobo_Import!$A$2:$CZ$301,$A282,Field_Map!$B$7)&amp;"")),""))</f>
        <v/>
      </c>
      <c r="E282" s="24" t="str">
        <f>IFERROR(INDEX(Kobo_Import!$A$2:$CZ$301,$A282,Field_Map!$B$11)&amp;"","")</f>
        <v/>
      </c>
      <c r="F282" s="27">
        <f t="shared" si="16"/>
        <v>0</v>
      </c>
      <c r="G282" s="24" t="str">
        <f t="shared" si="17"/>
        <v/>
      </c>
      <c r="H282" s="24" t="str">
        <f t="shared" si="18"/>
        <v/>
      </c>
      <c r="I282" s="24" t="str">
        <f t="shared" si="19"/>
        <v/>
      </c>
    </row>
    <row r="283" spans="1:9" x14ac:dyDescent="0.3">
      <c r="A283" s="11">
        <v>279</v>
      </c>
      <c r="B283" s="24" t="str">
        <f>IFERROR(INDEX(Kobo_Import!$A$2:$CZ$301,$A283,Field_Map!$B$13)&amp;"","")</f>
        <v/>
      </c>
      <c r="C283" s="24" t="str">
        <f>IFERROR(INDEX(Kobo_Import!$A$2:$CZ$301,$A283,Field_Map!$B$12)&amp;"","")</f>
        <v/>
      </c>
      <c r="D283" s="28" t="str">
        <f>IF(B283="","",IFERROR(IF(ISNUMBER(INDEX(Kobo_Import!$A$2:$CZ$301,$A283,Field_Map!$B$7)),INDEX(Kobo_Import!$A$2:$CZ$301,$A283,Field_Map!$B$7),DATEVALUE(INDEX(Kobo_Import!$A$2:$CZ$301,$A283,Field_Map!$B$7)&amp;"")),""))</f>
        <v/>
      </c>
      <c r="E283" s="24" t="str">
        <f>IFERROR(INDEX(Kobo_Import!$A$2:$CZ$301,$A283,Field_Map!$B$11)&amp;"","")</f>
        <v/>
      </c>
      <c r="F283" s="27">
        <f t="shared" si="16"/>
        <v>0</v>
      </c>
      <c r="G283" s="24" t="str">
        <f t="shared" si="17"/>
        <v/>
      </c>
      <c r="H283" s="24" t="str">
        <f t="shared" si="18"/>
        <v/>
      </c>
      <c r="I283" s="24" t="str">
        <f t="shared" si="19"/>
        <v/>
      </c>
    </row>
    <row r="284" spans="1:9" x14ac:dyDescent="0.3">
      <c r="A284" s="11">
        <v>280</v>
      </c>
      <c r="B284" s="24" t="str">
        <f>IFERROR(INDEX(Kobo_Import!$A$2:$CZ$301,$A284,Field_Map!$B$13)&amp;"","")</f>
        <v/>
      </c>
      <c r="C284" s="24" t="str">
        <f>IFERROR(INDEX(Kobo_Import!$A$2:$CZ$301,$A284,Field_Map!$B$12)&amp;"","")</f>
        <v/>
      </c>
      <c r="D284" s="28" t="str">
        <f>IF(B284="","",IFERROR(IF(ISNUMBER(INDEX(Kobo_Import!$A$2:$CZ$301,$A284,Field_Map!$B$7)),INDEX(Kobo_Import!$A$2:$CZ$301,$A284,Field_Map!$B$7),DATEVALUE(INDEX(Kobo_Import!$A$2:$CZ$301,$A284,Field_Map!$B$7)&amp;"")),""))</f>
        <v/>
      </c>
      <c r="E284" s="24" t="str">
        <f>IFERROR(INDEX(Kobo_Import!$A$2:$CZ$301,$A284,Field_Map!$B$11)&amp;"","")</f>
        <v/>
      </c>
      <c r="F284" s="27">
        <f t="shared" si="16"/>
        <v>0</v>
      </c>
      <c r="G284" s="24" t="str">
        <f t="shared" si="17"/>
        <v/>
      </c>
      <c r="H284" s="24" t="str">
        <f t="shared" si="18"/>
        <v/>
      </c>
      <c r="I284" s="24" t="str">
        <f t="shared" si="19"/>
        <v/>
      </c>
    </row>
    <row r="285" spans="1:9" x14ac:dyDescent="0.3">
      <c r="A285" s="11">
        <v>281</v>
      </c>
      <c r="B285" s="24" t="str">
        <f>IFERROR(INDEX(Kobo_Import!$A$2:$CZ$301,$A285,Field_Map!$B$13)&amp;"","")</f>
        <v/>
      </c>
      <c r="C285" s="24" t="str">
        <f>IFERROR(INDEX(Kobo_Import!$A$2:$CZ$301,$A285,Field_Map!$B$12)&amp;"","")</f>
        <v/>
      </c>
      <c r="D285" s="28" t="str">
        <f>IF(B285="","",IFERROR(IF(ISNUMBER(INDEX(Kobo_Import!$A$2:$CZ$301,$A285,Field_Map!$B$7)),INDEX(Kobo_Import!$A$2:$CZ$301,$A285,Field_Map!$B$7),DATEVALUE(INDEX(Kobo_Import!$A$2:$CZ$301,$A285,Field_Map!$B$7)&amp;"")),""))</f>
        <v/>
      </c>
      <c r="E285" s="24" t="str">
        <f>IFERROR(INDEX(Kobo_Import!$A$2:$CZ$301,$A285,Field_Map!$B$11)&amp;"","")</f>
        <v/>
      </c>
      <c r="F285" s="27">
        <f t="shared" si="16"/>
        <v>0</v>
      </c>
      <c r="G285" s="24" t="str">
        <f t="shared" si="17"/>
        <v/>
      </c>
      <c r="H285" s="24" t="str">
        <f t="shared" si="18"/>
        <v/>
      </c>
      <c r="I285" s="24" t="str">
        <f t="shared" si="19"/>
        <v/>
      </c>
    </row>
    <row r="286" spans="1:9" x14ac:dyDescent="0.3">
      <c r="A286" s="11">
        <v>282</v>
      </c>
      <c r="B286" s="24" t="str">
        <f>IFERROR(INDEX(Kobo_Import!$A$2:$CZ$301,$A286,Field_Map!$B$13)&amp;"","")</f>
        <v/>
      </c>
      <c r="C286" s="24" t="str">
        <f>IFERROR(INDEX(Kobo_Import!$A$2:$CZ$301,$A286,Field_Map!$B$12)&amp;"","")</f>
        <v/>
      </c>
      <c r="D286" s="28" t="str">
        <f>IF(B286="","",IFERROR(IF(ISNUMBER(INDEX(Kobo_Import!$A$2:$CZ$301,$A286,Field_Map!$B$7)),INDEX(Kobo_Import!$A$2:$CZ$301,$A286,Field_Map!$B$7),DATEVALUE(INDEX(Kobo_Import!$A$2:$CZ$301,$A286,Field_Map!$B$7)&amp;"")),""))</f>
        <v/>
      </c>
      <c r="E286" s="24" t="str">
        <f>IFERROR(INDEX(Kobo_Import!$A$2:$CZ$301,$A286,Field_Map!$B$11)&amp;"","")</f>
        <v/>
      </c>
      <c r="F286" s="27">
        <f t="shared" si="16"/>
        <v>0</v>
      </c>
      <c r="G286" s="24" t="str">
        <f t="shared" si="17"/>
        <v/>
      </c>
      <c r="H286" s="24" t="str">
        <f t="shared" si="18"/>
        <v/>
      </c>
      <c r="I286" s="24" t="str">
        <f t="shared" si="19"/>
        <v/>
      </c>
    </row>
    <row r="287" spans="1:9" x14ac:dyDescent="0.3">
      <c r="A287" s="11">
        <v>283</v>
      </c>
      <c r="B287" s="24" t="str">
        <f>IFERROR(INDEX(Kobo_Import!$A$2:$CZ$301,$A287,Field_Map!$B$13)&amp;"","")</f>
        <v/>
      </c>
      <c r="C287" s="24" t="str">
        <f>IFERROR(INDEX(Kobo_Import!$A$2:$CZ$301,$A287,Field_Map!$B$12)&amp;"","")</f>
        <v/>
      </c>
      <c r="D287" s="28" t="str">
        <f>IF(B287="","",IFERROR(IF(ISNUMBER(INDEX(Kobo_Import!$A$2:$CZ$301,$A287,Field_Map!$B$7)),INDEX(Kobo_Import!$A$2:$CZ$301,$A287,Field_Map!$B$7),DATEVALUE(INDEX(Kobo_Import!$A$2:$CZ$301,$A287,Field_Map!$B$7)&amp;"")),""))</f>
        <v/>
      </c>
      <c r="E287" s="24" t="str">
        <f>IFERROR(INDEX(Kobo_Import!$A$2:$CZ$301,$A287,Field_Map!$B$11)&amp;"","")</f>
        <v/>
      </c>
      <c r="F287" s="27">
        <f t="shared" si="16"/>
        <v>0</v>
      </c>
      <c r="G287" s="24" t="str">
        <f t="shared" si="17"/>
        <v/>
      </c>
      <c r="H287" s="24" t="str">
        <f t="shared" si="18"/>
        <v/>
      </c>
      <c r="I287" s="24" t="str">
        <f t="shared" si="19"/>
        <v/>
      </c>
    </row>
    <row r="288" spans="1:9" x14ac:dyDescent="0.3">
      <c r="A288" s="11">
        <v>284</v>
      </c>
      <c r="B288" s="24" t="str">
        <f>IFERROR(INDEX(Kobo_Import!$A$2:$CZ$301,$A288,Field_Map!$B$13)&amp;"","")</f>
        <v/>
      </c>
      <c r="C288" s="24" t="str">
        <f>IFERROR(INDEX(Kobo_Import!$A$2:$CZ$301,$A288,Field_Map!$B$12)&amp;"","")</f>
        <v/>
      </c>
      <c r="D288" s="28" t="str">
        <f>IF(B288="","",IFERROR(IF(ISNUMBER(INDEX(Kobo_Import!$A$2:$CZ$301,$A288,Field_Map!$B$7)),INDEX(Kobo_Import!$A$2:$CZ$301,$A288,Field_Map!$B$7),DATEVALUE(INDEX(Kobo_Import!$A$2:$CZ$301,$A288,Field_Map!$B$7)&amp;"")),""))</f>
        <v/>
      </c>
      <c r="E288" s="24" t="str">
        <f>IFERROR(INDEX(Kobo_Import!$A$2:$CZ$301,$A288,Field_Map!$B$11)&amp;"","")</f>
        <v/>
      </c>
      <c r="F288" s="27">
        <f t="shared" si="16"/>
        <v>0</v>
      </c>
      <c r="G288" s="24" t="str">
        <f t="shared" si="17"/>
        <v/>
      </c>
      <c r="H288" s="24" t="str">
        <f t="shared" si="18"/>
        <v/>
      </c>
      <c r="I288" s="24" t="str">
        <f t="shared" si="19"/>
        <v/>
      </c>
    </row>
    <row r="289" spans="1:9" x14ac:dyDescent="0.3">
      <c r="A289" s="11">
        <v>285</v>
      </c>
      <c r="B289" s="24" t="str">
        <f>IFERROR(INDEX(Kobo_Import!$A$2:$CZ$301,$A289,Field_Map!$B$13)&amp;"","")</f>
        <v/>
      </c>
      <c r="C289" s="24" t="str">
        <f>IFERROR(INDEX(Kobo_Import!$A$2:$CZ$301,$A289,Field_Map!$B$12)&amp;"","")</f>
        <v/>
      </c>
      <c r="D289" s="28" t="str">
        <f>IF(B289="","",IFERROR(IF(ISNUMBER(INDEX(Kobo_Import!$A$2:$CZ$301,$A289,Field_Map!$B$7)),INDEX(Kobo_Import!$A$2:$CZ$301,$A289,Field_Map!$B$7),DATEVALUE(INDEX(Kobo_Import!$A$2:$CZ$301,$A289,Field_Map!$B$7)&amp;"")),""))</f>
        <v/>
      </c>
      <c r="E289" s="24" t="str">
        <f>IFERROR(INDEX(Kobo_Import!$A$2:$CZ$301,$A289,Field_Map!$B$11)&amp;"","")</f>
        <v/>
      </c>
      <c r="F289" s="27">
        <f t="shared" si="16"/>
        <v>0</v>
      </c>
      <c r="G289" s="24" t="str">
        <f t="shared" si="17"/>
        <v/>
      </c>
      <c r="H289" s="24" t="str">
        <f t="shared" si="18"/>
        <v/>
      </c>
      <c r="I289" s="24" t="str">
        <f t="shared" si="19"/>
        <v/>
      </c>
    </row>
    <row r="290" spans="1:9" x14ac:dyDescent="0.3">
      <c r="A290" s="11">
        <v>286</v>
      </c>
      <c r="B290" s="24" t="str">
        <f>IFERROR(INDEX(Kobo_Import!$A$2:$CZ$301,$A290,Field_Map!$B$13)&amp;"","")</f>
        <v/>
      </c>
      <c r="C290" s="24" t="str">
        <f>IFERROR(INDEX(Kobo_Import!$A$2:$CZ$301,$A290,Field_Map!$B$12)&amp;"","")</f>
        <v/>
      </c>
      <c r="D290" s="28" t="str">
        <f>IF(B290="","",IFERROR(IF(ISNUMBER(INDEX(Kobo_Import!$A$2:$CZ$301,$A290,Field_Map!$B$7)),INDEX(Kobo_Import!$A$2:$CZ$301,$A290,Field_Map!$B$7),DATEVALUE(INDEX(Kobo_Import!$A$2:$CZ$301,$A290,Field_Map!$B$7)&amp;"")),""))</f>
        <v/>
      </c>
      <c r="E290" s="24" t="str">
        <f>IFERROR(INDEX(Kobo_Import!$A$2:$CZ$301,$A290,Field_Map!$B$11)&amp;"","")</f>
        <v/>
      </c>
      <c r="F290" s="27">
        <f t="shared" si="16"/>
        <v>0</v>
      </c>
      <c r="G290" s="24" t="str">
        <f t="shared" si="17"/>
        <v/>
      </c>
      <c r="H290" s="24" t="str">
        <f t="shared" si="18"/>
        <v/>
      </c>
      <c r="I290" s="24" t="str">
        <f t="shared" si="19"/>
        <v/>
      </c>
    </row>
    <row r="291" spans="1:9" x14ac:dyDescent="0.3">
      <c r="A291" s="11">
        <v>287</v>
      </c>
      <c r="B291" s="24" t="str">
        <f>IFERROR(INDEX(Kobo_Import!$A$2:$CZ$301,$A291,Field_Map!$B$13)&amp;"","")</f>
        <v/>
      </c>
      <c r="C291" s="24" t="str">
        <f>IFERROR(INDEX(Kobo_Import!$A$2:$CZ$301,$A291,Field_Map!$B$12)&amp;"","")</f>
        <v/>
      </c>
      <c r="D291" s="28" t="str">
        <f>IF(B291="","",IFERROR(IF(ISNUMBER(INDEX(Kobo_Import!$A$2:$CZ$301,$A291,Field_Map!$B$7)),INDEX(Kobo_Import!$A$2:$CZ$301,$A291,Field_Map!$B$7),DATEVALUE(INDEX(Kobo_Import!$A$2:$CZ$301,$A291,Field_Map!$B$7)&amp;"")),""))</f>
        <v/>
      </c>
      <c r="E291" s="24" t="str">
        <f>IFERROR(INDEX(Kobo_Import!$A$2:$CZ$301,$A291,Field_Map!$B$11)&amp;"","")</f>
        <v/>
      </c>
      <c r="F291" s="27">
        <f t="shared" si="16"/>
        <v>0</v>
      </c>
      <c r="G291" s="24" t="str">
        <f t="shared" si="17"/>
        <v/>
      </c>
      <c r="H291" s="24" t="str">
        <f t="shared" si="18"/>
        <v/>
      </c>
      <c r="I291" s="24" t="str">
        <f t="shared" si="19"/>
        <v/>
      </c>
    </row>
    <row r="292" spans="1:9" x14ac:dyDescent="0.3">
      <c r="A292" s="11">
        <v>288</v>
      </c>
      <c r="B292" s="24" t="str">
        <f>IFERROR(INDEX(Kobo_Import!$A$2:$CZ$301,$A292,Field_Map!$B$13)&amp;"","")</f>
        <v/>
      </c>
      <c r="C292" s="24" t="str">
        <f>IFERROR(INDEX(Kobo_Import!$A$2:$CZ$301,$A292,Field_Map!$B$12)&amp;"","")</f>
        <v/>
      </c>
      <c r="D292" s="28" t="str">
        <f>IF(B292="","",IFERROR(IF(ISNUMBER(INDEX(Kobo_Import!$A$2:$CZ$301,$A292,Field_Map!$B$7)),INDEX(Kobo_Import!$A$2:$CZ$301,$A292,Field_Map!$B$7),DATEVALUE(INDEX(Kobo_Import!$A$2:$CZ$301,$A292,Field_Map!$B$7)&amp;"")),""))</f>
        <v/>
      </c>
      <c r="E292" s="24" t="str">
        <f>IFERROR(INDEX(Kobo_Import!$A$2:$CZ$301,$A292,Field_Map!$B$11)&amp;"","")</f>
        <v/>
      </c>
      <c r="F292" s="27">
        <f t="shared" si="16"/>
        <v>0</v>
      </c>
      <c r="G292" s="24" t="str">
        <f t="shared" si="17"/>
        <v/>
      </c>
      <c r="H292" s="24" t="str">
        <f t="shared" si="18"/>
        <v/>
      </c>
      <c r="I292" s="24" t="str">
        <f t="shared" si="19"/>
        <v/>
      </c>
    </row>
    <row r="293" spans="1:9" x14ac:dyDescent="0.3">
      <c r="A293" s="11">
        <v>289</v>
      </c>
      <c r="B293" s="24" t="str">
        <f>IFERROR(INDEX(Kobo_Import!$A$2:$CZ$301,$A293,Field_Map!$B$13)&amp;"","")</f>
        <v/>
      </c>
      <c r="C293" s="24" t="str">
        <f>IFERROR(INDEX(Kobo_Import!$A$2:$CZ$301,$A293,Field_Map!$B$12)&amp;"","")</f>
        <v/>
      </c>
      <c r="D293" s="28" t="str">
        <f>IF(B293="","",IFERROR(IF(ISNUMBER(INDEX(Kobo_Import!$A$2:$CZ$301,$A293,Field_Map!$B$7)),INDEX(Kobo_Import!$A$2:$CZ$301,$A293,Field_Map!$B$7),DATEVALUE(INDEX(Kobo_Import!$A$2:$CZ$301,$A293,Field_Map!$B$7)&amp;"")),""))</f>
        <v/>
      </c>
      <c r="E293" s="24" t="str">
        <f>IFERROR(INDEX(Kobo_Import!$A$2:$CZ$301,$A293,Field_Map!$B$11)&amp;"","")</f>
        <v/>
      </c>
      <c r="F293" s="27">
        <f t="shared" si="16"/>
        <v>0</v>
      </c>
      <c r="G293" s="24" t="str">
        <f t="shared" si="17"/>
        <v/>
      </c>
      <c r="H293" s="24" t="str">
        <f t="shared" si="18"/>
        <v/>
      </c>
      <c r="I293" s="24" t="str">
        <f t="shared" si="19"/>
        <v/>
      </c>
    </row>
    <row r="294" spans="1:9" x14ac:dyDescent="0.3">
      <c r="A294" s="11">
        <v>290</v>
      </c>
      <c r="B294" s="24" t="str">
        <f>IFERROR(INDEX(Kobo_Import!$A$2:$CZ$301,$A294,Field_Map!$B$13)&amp;"","")</f>
        <v/>
      </c>
      <c r="C294" s="24" t="str">
        <f>IFERROR(INDEX(Kobo_Import!$A$2:$CZ$301,$A294,Field_Map!$B$12)&amp;"","")</f>
        <v/>
      </c>
      <c r="D294" s="28" t="str">
        <f>IF(B294="","",IFERROR(IF(ISNUMBER(INDEX(Kobo_Import!$A$2:$CZ$301,$A294,Field_Map!$B$7)),INDEX(Kobo_Import!$A$2:$CZ$301,$A294,Field_Map!$B$7),DATEVALUE(INDEX(Kobo_Import!$A$2:$CZ$301,$A294,Field_Map!$B$7)&amp;"")),""))</f>
        <v/>
      </c>
      <c r="E294" s="24" t="str">
        <f>IFERROR(INDEX(Kobo_Import!$A$2:$CZ$301,$A294,Field_Map!$B$11)&amp;"","")</f>
        <v/>
      </c>
      <c r="F294" s="27">
        <f t="shared" si="16"/>
        <v>0</v>
      </c>
      <c r="G294" s="24" t="str">
        <f t="shared" si="17"/>
        <v/>
      </c>
      <c r="H294" s="24" t="str">
        <f t="shared" si="18"/>
        <v/>
      </c>
      <c r="I294" s="24" t="str">
        <f t="shared" si="19"/>
        <v/>
      </c>
    </row>
    <row r="295" spans="1:9" x14ac:dyDescent="0.3">
      <c r="A295" s="11">
        <v>291</v>
      </c>
      <c r="B295" s="24" t="str">
        <f>IFERROR(INDEX(Kobo_Import!$A$2:$CZ$301,$A295,Field_Map!$B$13)&amp;"","")</f>
        <v/>
      </c>
      <c r="C295" s="24" t="str">
        <f>IFERROR(INDEX(Kobo_Import!$A$2:$CZ$301,$A295,Field_Map!$B$12)&amp;"","")</f>
        <v/>
      </c>
      <c r="D295" s="28" t="str">
        <f>IF(B295="","",IFERROR(IF(ISNUMBER(INDEX(Kobo_Import!$A$2:$CZ$301,$A295,Field_Map!$B$7)),INDEX(Kobo_Import!$A$2:$CZ$301,$A295,Field_Map!$B$7),DATEVALUE(INDEX(Kobo_Import!$A$2:$CZ$301,$A295,Field_Map!$B$7)&amp;"")),""))</f>
        <v/>
      </c>
      <c r="E295" s="24" t="str">
        <f>IFERROR(INDEX(Kobo_Import!$A$2:$CZ$301,$A295,Field_Map!$B$11)&amp;"","")</f>
        <v/>
      </c>
      <c r="F295" s="27">
        <f t="shared" si="16"/>
        <v>0</v>
      </c>
      <c r="G295" s="24" t="str">
        <f t="shared" si="17"/>
        <v/>
      </c>
      <c r="H295" s="24" t="str">
        <f t="shared" si="18"/>
        <v/>
      </c>
      <c r="I295" s="24" t="str">
        <f t="shared" si="19"/>
        <v/>
      </c>
    </row>
    <row r="296" spans="1:9" x14ac:dyDescent="0.3">
      <c r="A296" s="11">
        <v>292</v>
      </c>
      <c r="B296" s="24" t="str">
        <f>IFERROR(INDEX(Kobo_Import!$A$2:$CZ$301,$A296,Field_Map!$B$13)&amp;"","")</f>
        <v/>
      </c>
      <c r="C296" s="24" t="str">
        <f>IFERROR(INDEX(Kobo_Import!$A$2:$CZ$301,$A296,Field_Map!$B$12)&amp;"","")</f>
        <v/>
      </c>
      <c r="D296" s="28" t="str">
        <f>IF(B296="","",IFERROR(IF(ISNUMBER(INDEX(Kobo_Import!$A$2:$CZ$301,$A296,Field_Map!$B$7)),INDEX(Kobo_Import!$A$2:$CZ$301,$A296,Field_Map!$B$7),DATEVALUE(INDEX(Kobo_Import!$A$2:$CZ$301,$A296,Field_Map!$B$7)&amp;"")),""))</f>
        <v/>
      </c>
      <c r="E296" s="24" t="str">
        <f>IFERROR(INDEX(Kobo_Import!$A$2:$CZ$301,$A296,Field_Map!$B$11)&amp;"","")</f>
        <v/>
      </c>
      <c r="F296" s="27">
        <f t="shared" si="16"/>
        <v>0</v>
      </c>
      <c r="G296" s="24" t="str">
        <f t="shared" si="17"/>
        <v/>
      </c>
      <c r="H296" s="24" t="str">
        <f t="shared" si="18"/>
        <v/>
      </c>
      <c r="I296" s="24" t="str">
        <f t="shared" si="19"/>
        <v/>
      </c>
    </row>
    <row r="297" spans="1:9" x14ac:dyDescent="0.3">
      <c r="A297" s="11">
        <v>293</v>
      </c>
      <c r="B297" s="24" t="str">
        <f>IFERROR(INDEX(Kobo_Import!$A$2:$CZ$301,$A297,Field_Map!$B$13)&amp;"","")</f>
        <v/>
      </c>
      <c r="C297" s="24" t="str">
        <f>IFERROR(INDEX(Kobo_Import!$A$2:$CZ$301,$A297,Field_Map!$B$12)&amp;"","")</f>
        <v/>
      </c>
      <c r="D297" s="28" t="str">
        <f>IF(B297="","",IFERROR(IF(ISNUMBER(INDEX(Kobo_Import!$A$2:$CZ$301,$A297,Field_Map!$B$7)),INDEX(Kobo_Import!$A$2:$CZ$301,$A297,Field_Map!$B$7),DATEVALUE(INDEX(Kobo_Import!$A$2:$CZ$301,$A297,Field_Map!$B$7)&amp;"")),""))</f>
        <v/>
      </c>
      <c r="E297" s="24" t="str">
        <f>IFERROR(INDEX(Kobo_Import!$A$2:$CZ$301,$A297,Field_Map!$B$11)&amp;"","")</f>
        <v/>
      </c>
      <c r="F297" s="27">
        <f t="shared" si="16"/>
        <v>0</v>
      </c>
      <c r="G297" s="24" t="str">
        <f t="shared" si="17"/>
        <v/>
      </c>
      <c r="H297" s="24" t="str">
        <f t="shared" si="18"/>
        <v/>
      </c>
      <c r="I297" s="24" t="str">
        <f t="shared" si="19"/>
        <v/>
      </c>
    </row>
    <row r="298" spans="1:9" x14ac:dyDescent="0.3">
      <c r="A298" s="11">
        <v>294</v>
      </c>
      <c r="B298" s="24" t="str">
        <f>IFERROR(INDEX(Kobo_Import!$A$2:$CZ$301,$A298,Field_Map!$B$13)&amp;"","")</f>
        <v/>
      </c>
      <c r="C298" s="24" t="str">
        <f>IFERROR(INDEX(Kobo_Import!$A$2:$CZ$301,$A298,Field_Map!$B$12)&amp;"","")</f>
        <v/>
      </c>
      <c r="D298" s="28" t="str">
        <f>IF(B298="","",IFERROR(IF(ISNUMBER(INDEX(Kobo_Import!$A$2:$CZ$301,$A298,Field_Map!$B$7)),INDEX(Kobo_Import!$A$2:$CZ$301,$A298,Field_Map!$B$7),DATEVALUE(INDEX(Kobo_Import!$A$2:$CZ$301,$A298,Field_Map!$B$7)&amp;"")),""))</f>
        <v/>
      </c>
      <c r="E298" s="24" t="str">
        <f>IFERROR(INDEX(Kobo_Import!$A$2:$CZ$301,$A298,Field_Map!$B$11)&amp;"","")</f>
        <v/>
      </c>
      <c r="F298" s="27">
        <f t="shared" si="16"/>
        <v>0</v>
      </c>
      <c r="G298" s="24" t="str">
        <f t="shared" si="17"/>
        <v/>
      </c>
      <c r="H298" s="24" t="str">
        <f t="shared" si="18"/>
        <v/>
      </c>
      <c r="I298" s="24" t="str">
        <f t="shared" si="19"/>
        <v/>
      </c>
    </row>
    <row r="299" spans="1:9" x14ac:dyDescent="0.3">
      <c r="A299" s="11">
        <v>295</v>
      </c>
      <c r="B299" s="24" t="str">
        <f>IFERROR(INDEX(Kobo_Import!$A$2:$CZ$301,$A299,Field_Map!$B$13)&amp;"","")</f>
        <v/>
      </c>
      <c r="C299" s="24" t="str">
        <f>IFERROR(INDEX(Kobo_Import!$A$2:$CZ$301,$A299,Field_Map!$B$12)&amp;"","")</f>
        <v/>
      </c>
      <c r="D299" s="28" t="str">
        <f>IF(B299="","",IFERROR(IF(ISNUMBER(INDEX(Kobo_Import!$A$2:$CZ$301,$A299,Field_Map!$B$7)),INDEX(Kobo_Import!$A$2:$CZ$301,$A299,Field_Map!$B$7),DATEVALUE(INDEX(Kobo_Import!$A$2:$CZ$301,$A299,Field_Map!$B$7)&amp;"")),""))</f>
        <v/>
      </c>
      <c r="E299" s="24" t="str">
        <f>IFERROR(INDEX(Kobo_Import!$A$2:$CZ$301,$A299,Field_Map!$B$11)&amp;"","")</f>
        <v/>
      </c>
      <c r="F299" s="27">
        <f t="shared" si="16"/>
        <v>0</v>
      </c>
      <c r="G299" s="24" t="str">
        <f t="shared" si="17"/>
        <v/>
      </c>
      <c r="H299" s="24" t="str">
        <f t="shared" si="18"/>
        <v/>
      </c>
      <c r="I299" s="24" t="str">
        <f t="shared" si="19"/>
        <v/>
      </c>
    </row>
    <row r="300" spans="1:9" x14ac:dyDescent="0.3">
      <c r="A300" s="11">
        <v>296</v>
      </c>
      <c r="B300" s="24" t="str">
        <f>IFERROR(INDEX(Kobo_Import!$A$2:$CZ$301,$A300,Field_Map!$B$13)&amp;"","")</f>
        <v/>
      </c>
      <c r="C300" s="24" t="str">
        <f>IFERROR(INDEX(Kobo_Import!$A$2:$CZ$301,$A300,Field_Map!$B$12)&amp;"","")</f>
        <v/>
      </c>
      <c r="D300" s="28" t="str">
        <f>IF(B300="","",IFERROR(IF(ISNUMBER(INDEX(Kobo_Import!$A$2:$CZ$301,$A300,Field_Map!$B$7)),INDEX(Kobo_Import!$A$2:$CZ$301,$A300,Field_Map!$B$7),DATEVALUE(INDEX(Kobo_Import!$A$2:$CZ$301,$A300,Field_Map!$B$7)&amp;"")),""))</f>
        <v/>
      </c>
      <c r="E300" s="24" t="str">
        <f>IFERROR(INDEX(Kobo_Import!$A$2:$CZ$301,$A300,Field_Map!$B$11)&amp;"","")</f>
        <v/>
      </c>
      <c r="F300" s="27">
        <f t="shared" si="16"/>
        <v>0</v>
      </c>
      <c r="G300" s="24" t="str">
        <f t="shared" si="17"/>
        <v/>
      </c>
      <c r="H300" s="24" t="str">
        <f t="shared" si="18"/>
        <v/>
      </c>
      <c r="I300" s="24" t="str">
        <f t="shared" si="19"/>
        <v/>
      </c>
    </row>
    <row r="301" spans="1:9" x14ac:dyDescent="0.3">
      <c r="A301" s="11">
        <v>297</v>
      </c>
      <c r="B301" s="24" t="str">
        <f>IFERROR(INDEX(Kobo_Import!$A$2:$CZ$301,$A301,Field_Map!$B$13)&amp;"","")</f>
        <v/>
      </c>
      <c r="C301" s="24" t="str">
        <f>IFERROR(INDEX(Kobo_Import!$A$2:$CZ$301,$A301,Field_Map!$B$12)&amp;"","")</f>
        <v/>
      </c>
      <c r="D301" s="28" t="str">
        <f>IF(B301="","",IFERROR(IF(ISNUMBER(INDEX(Kobo_Import!$A$2:$CZ$301,$A301,Field_Map!$B$7)),INDEX(Kobo_Import!$A$2:$CZ$301,$A301,Field_Map!$B$7),DATEVALUE(INDEX(Kobo_Import!$A$2:$CZ$301,$A301,Field_Map!$B$7)&amp;"")),""))</f>
        <v/>
      </c>
      <c r="E301" s="24" t="str">
        <f>IFERROR(INDEX(Kobo_Import!$A$2:$CZ$301,$A301,Field_Map!$B$11)&amp;"","")</f>
        <v/>
      </c>
      <c r="F301" s="27">
        <f t="shared" si="16"/>
        <v>0</v>
      </c>
      <c r="G301" s="24" t="str">
        <f t="shared" si="17"/>
        <v/>
      </c>
      <c r="H301" s="24" t="str">
        <f t="shared" si="18"/>
        <v/>
      </c>
      <c r="I301" s="24" t="str">
        <f t="shared" si="19"/>
        <v/>
      </c>
    </row>
    <row r="302" spans="1:9" x14ac:dyDescent="0.3">
      <c r="A302" s="11">
        <v>298</v>
      </c>
      <c r="B302" s="24" t="str">
        <f>IFERROR(INDEX(Kobo_Import!$A$2:$CZ$301,$A302,Field_Map!$B$13)&amp;"","")</f>
        <v/>
      </c>
      <c r="C302" s="24" t="str">
        <f>IFERROR(INDEX(Kobo_Import!$A$2:$CZ$301,$A302,Field_Map!$B$12)&amp;"","")</f>
        <v/>
      </c>
      <c r="D302" s="28" t="str">
        <f>IF(B302="","",IFERROR(IF(ISNUMBER(INDEX(Kobo_Import!$A$2:$CZ$301,$A302,Field_Map!$B$7)),INDEX(Kobo_Import!$A$2:$CZ$301,$A302,Field_Map!$B$7),DATEVALUE(INDEX(Kobo_Import!$A$2:$CZ$301,$A302,Field_Map!$B$7)&amp;"")),""))</f>
        <v/>
      </c>
      <c r="E302" s="24" t="str">
        <f>IFERROR(INDEX(Kobo_Import!$A$2:$CZ$301,$A302,Field_Map!$B$11)&amp;"","")</f>
        <v/>
      </c>
      <c r="F302" s="27">
        <f t="shared" si="16"/>
        <v>0</v>
      </c>
      <c r="G302" s="24" t="str">
        <f t="shared" si="17"/>
        <v/>
      </c>
      <c r="H302" s="24" t="str">
        <f t="shared" si="18"/>
        <v/>
      </c>
      <c r="I302" s="24" t="str">
        <f t="shared" si="19"/>
        <v/>
      </c>
    </row>
    <row r="303" spans="1:9" x14ac:dyDescent="0.3">
      <c r="A303" s="11">
        <v>299</v>
      </c>
      <c r="B303" s="24" t="str">
        <f>IFERROR(INDEX(Kobo_Import!$A$2:$CZ$301,$A303,Field_Map!$B$13)&amp;"","")</f>
        <v/>
      </c>
      <c r="C303" s="24" t="str">
        <f>IFERROR(INDEX(Kobo_Import!$A$2:$CZ$301,$A303,Field_Map!$B$12)&amp;"","")</f>
        <v/>
      </c>
      <c r="D303" s="28" t="str">
        <f>IF(B303="","",IFERROR(IF(ISNUMBER(INDEX(Kobo_Import!$A$2:$CZ$301,$A303,Field_Map!$B$7)),INDEX(Kobo_Import!$A$2:$CZ$301,$A303,Field_Map!$B$7),DATEVALUE(INDEX(Kobo_Import!$A$2:$CZ$301,$A303,Field_Map!$B$7)&amp;"")),""))</f>
        <v/>
      </c>
      <c r="E303" s="24" t="str">
        <f>IFERROR(INDEX(Kobo_Import!$A$2:$CZ$301,$A303,Field_Map!$B$11)&amp;"","")</f>
        <v/>
      </c>
      <c r="F303" s="27">
        <f t="shared" si="16"/>
        <v>0</v>
      </c>
      <c r="G303" s="24" t="str">
        <f t="shared" si="17"/>
        <v/>
      </c>
      <c r="H303" s="24" t="str">
        <f t="shared" si="18"/>
        <v/>
      </c>
      <c r="I303" s="24" t="str">
        <f t="shared" si="19"/>
        <v/>
      </c>
    </row>
    <row r="304" spans="1:9" x14ac:dyDescent="0.3">
      <c r="A304" s="11">
        <v>300</v>
      </c>
      <c r="B304" s="24" t="str">
        <f>IFERROR(INDEX(Kobo_Import!$A$2:$CZ$301,$A304,Field_Map!$B$13)&amp;"","")</f>
        <v/>
      </c>
      <c r="C304" s="24" t="str">
        <f>IFERROR(INDEX(Kobo_Import!$A$2:$CZ$301,$A304,Field_Map!$B$12)&amp;"","")</f>
        <v/>
      </c>
      <c r="D304" s="28" t="str">
        <f>IF(B304="","",IFERROR(IF(ISNUMBER(INDEX(Kobo_Import!$A$2:$CZ$301,$A304,Field_Map!$B$7)),INDEX(Kobo_Import!$A$2:$CZ$301,$A304,Field_Map!$B$7),DATEVALUE(INDEX(Kobo_Import!$A$2:$CZ$301,$A304,Field_Map!$B$7)&amp;"")),""))</f>
        <v/>
      </c>
      <c r="E304" s="24" t="str">
        <f>IFERROR(INDEX(Kobo_Import!$A$2:$CZ$301,$A304,Field_Map!$B$11)&amp;"","")</f>
        <v/>
      </c>
      <c r="F304" s="27">
        <f t="shared" si="16"/>
        <v>0</v>
      </c>
      <c r="G304" s="24" t="str">
        <f t="shared" si="17"/>
        <v/>
      </c>
      <c r="H304" s="24" t="str">
        <f t="shared" si="18"/>
        <v/>
      </c>
      <c r="I304" s="24" t="str">
        <f t="shared" si="19"/>
        <v/>
      </c>
    </row>
  </sheetData>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A1:D31"/>
  <sheetViews>
    <sheetView showGridLines="0" zoomScaleNormal="100" workbookViewId="0"/>
  </sheetViews>
  <sheetFormatPr defaultColWidth="8.6640625" defaultRowHeight="14.4" x14ac:dyDescent="0.3"/>
  <cols>
    <col min="1" max="1" width="26" customWidth="1"/>
    <col min="2" max="2" width="14" customWidth="1"/>
    <col min="3" max="3" width="24" customWidth="1"/>
    <col min="4" max="4" width="70" customWidth="1"/>
  </cols>
  <sheetData>
    <row r="1" spans="1:4" ht="17.399999999999999" x14ac:dyDescent="0.3">
      <c r="A1" s="6" t="s">
        <v>1588</v>
      </c>
    </row>
    <row r="2" spans="1:4" x14ac:dyDescent="0.3">
      <c r="A2" s="7" t="s">
        <v>1589</v>
      </c>
    </row>
    <row r="4" spans="1:4" ht="42" customHeight="1" x14ac:dyDescent="0.3">
      <c r="A4" s="15" t="s">
        <v>1590</v>
      </c>
      <c r="B4" s="15" t="s">
        <v>1591</v>
      </c>
      <c r="C4" s="15" t="s">
        <v>668</v>
      </c>
      <c r="D4" s="15" t="s">
        <v>1592</v>
      </c>
    </row>
    <row r="5" spans="1:4" x14ac:dyDescent="0.3">
      <c r="A5" s="11" t="s">
        <v>875</v>
      </c>
      <c r="B5" s="24">
        <f>IFERROR(MATCH(A5,Kobo_Import!$A$1:$CZ$1,0),"Not found")</f>
        <v>1</v>
      </c>
      <c r="C5" s="25" t="str">
        <f t="shared" ref="C5:C31" si="0">IF(ISNUMBER(B5),"Found","Not found – check export")</f>
        <v>Found</v>
      </c>
      <c r="D5" s="11" t="s">
        <v>1593</v>
      </c>
    </row>
    <row r="6" spans="1:4" x14ac:dyDescent="0.3">
      <c r="A6" s="11" t="s">
        <v>876</v>
      </c>
      <c r="B6" s="24">
        <f>IFERROR(MATCH(A6,Kobo_Import!$A$1:$CZ$1,0),"Not found")</f>
        <v>2</v>
      </c>
      <c r="C6" s="25" t="str">
        <f t="shared" si="0"/>
        <v>Found</v>
      </c>
      <c r="D6" s="11" t="s">
        <v>1593</v>
      </c>
    </row>
    <row r="7" spans="1:4" x14ac:dyDescent="0.3">
      <c r="A7" s="11" t="s">
        <v>877</v>
      </c>
      <c r="B7" s="24">
        <f>IFERROR(MATCH(A7,Kobo_Import!$A$1:$CZ$1,0),"Not found")</f>
        <v>3</v>
      </c>
      <c r="C7" s="25" t="str">
        <f t="shared" si="0"/>
        <v>Found</v>
      </c>
      <c r="D7" s="11" t="s">
        <v>1582</v>
      </c>
    </row>
    <row r="8" spans="1:4" x14ac:dyDescent="0.3">
      <c r="A8" s="11" t="s">
        <v>878</v>
      </c>
      <c r="B8" s="24">
        <f>IFERROR(MATCH(A8,Kobo_Import!$A$1:$CZ$1,0),"Not found")</f>
        <v>4</v>
      </c>
      <c r="C8" s="25" t="str">
        <f t="shared" si="0"/>
        <v>Found</v>
      </c>
      <c r="D8" s="11" t="s">
        <v>1594</v>
      </c>
    </row>
    <row r="9" spans="1:4" x14ac:dyDescent="0.3">
      <c r="A9" s="11" t="s">
        <v>879</v>
      </c>
      <c r="B9" s="24">
        <f>IFERROR(MATCH(A9,Kobo_Import!$A$1:$CZ$1,0),"Not found")</f>
        <v>5</v>
      </c>
      <c r="C9" s="25" t="str">
        <f t="shared" si="0"/>
        <v>Found</v>
      </c>
      <c r="D9" s="11" t="s">
        <v>1595</v>
      </c>
    </row>
    <row r="10" spans="1:4" x14ac:dyDescent="0.3">
      <c r="A10" s="11" t="s">
        <v>880</v>
      </c>
      <c r="B10" s="24">
        <f>IFERROR(MATCH(A10,Kobo_Import!$A$1:$CZ$1,0),"Not found")</f>
        <v>6</v>
      </c>
      <c r="C10" s="25" t="str">
        <f t="shared" si="0"/>
        <v>Found</v>
      </c>
      <c r="D10" s="11" t="s">
        <v>1596</v>
      </c>
    </row>
    <row r="11" spans="1:4" x14ac:dyDescent="0.3">
      <c r="A11" s="11" t="s">
        <v>881</v>
      </c>
      <c r="B11" s="24">
        <f>IFERROR(MATCH(A11,Kobo_Import!$A$1:$CZ$1,0),"Not found")</f>
        <v>7</v>
      </c>
      <c r="C11" s="25" t="str">
        <f t="shared" si="0"/>
        <v>Found</v>
      </c>
      <c r="D11" s="11" t="s">
        <v>1597</v>
      </c>
    </row>
    <row r="12" spans="1:4" x14ac:dyDescent="0.3">
      <c r="A12" s="11" t="s">
        <v>882</v>
      </c>
      <c r="B12" s="24">
        <f>IFERROR(MATCH(A12,Kobo_Import!$A$1:$CZ$1,0),"Not found")</f>
        <v>8</v>
      </c>
      <c r="C12" s="25" t="str">
        <f t="shared" si="0"/>
        <v>Found</v>
      </c>
      <c r="D12" s="11" t="s">
        <v>1598</v>
      </c>
    </row>
    <row r="13" spans="1:4" x14ac:dyDescent="0.3">
      <c r="A13" s="11" t="s">
        <v>883</v>
      </c>
      <c r="B13" s="24">
        <f>IFERROR(MATCH(A13,Kobo_Import!$A$1:$CZ$1,0),"Not found")</f>
        <v>9</v>
      </c>
      <c r="C13" s="25" t="str">
        <f t="shared" si="0"/>
        <v>Found</v>
      </c>
      <c r="D13" s="11" t="s">
        <v>1599</v>
      </c>
    </row>
    <row r="14" spans="1:4" x14ac:dyDescent="0.3">
      <c r="A14" s="11" t="s">
        <v>884</v>
      </c>
      <c r="B14" s="24">
        <f>IFERROR(MATCH(A14,Kobo_Import!$A$1:$CZ$1,0),"Not found")</f>
        <v>10</v>
      </c>
      <c r="C14" s="25" t="str">
        <f t="shared" si="0"/>
        <v>Found</v>
      </c>
      <c r="D14" s="11" t="s">
        <v>1600</v>
      </c>
    </row>
    <row r="15" spans="1:4" x14ac:dyDescent="0.3">
      <c r="A15" s="11" t="s">
        <v>885</v>
      </c>
      <c r="B15" s="24">
        <f>IFERROR(MATCH(A15,Kobo_Import!$A$1:$CZ$1,0),"Not found")</f>
        <v>11</v>
      </c>
      <c r="C15" s="25" t="str">
        <f t="shared" si="0"/>
        <v>Found</v>
      </c>
      <c r="D15" s="11" t="s">
        <v>1601</v>
      </c>
    </row>
    <row r="16" spans="1:4" x14ac:dyDescent="0.3">
      <c r="A16" s="11" t="s">
        <v>886</v>
      </c>
      <c r="B16" s="24">
        <f>IFERROR(MATCH(A16,Kobo_Import!$A$1:$CZ$1,0),"Not found")</f>
        <v>12</v>
      </c>
      <c r="C16" s="25" t="str">
        <f t="shared" si="0"/>
        <v>Found</v>
      </c>
      <c r="D16" s="11" t="s">
        <v>1602</v>
      </c>
    </row>
    <row r="17" spans="1:4" x14ac:dyDescent="0.3">
      <c r="A17" s="11" t="s">
        <v>887</v>
      </c>
      <c r="B17" s="24">
        <f>IFERROR(MATCH(A17,Kobo_Import!$A$1:$CZ$1,0),"Not found")</f>
        <v>13</v>
      </c>
      <c r="C17" s="25" t="str">
        <f t="shared" si="0"/>
        <v>Found</v>
      </c>
      <c r="D17" s="11" t="s">
        <v>1603</v>
      </c>
    </row>
    <row r="18" spans="1:4" x14ac:dyDescent="0.3">
      <c r="A18" s="11" t="s">
        <v>888</v>
      </c>
      <c r="B18" s="24">
        <f>IFERROR(MATCH(A18,Kobo_Import!$A$1:$CZ$1,0),"Not found")</f>
        <v>14</v>
      </c>
      <c r="C18" s="25" t="str">
        <f t="shared" si="0"/>
        <v>Found</v>
      </c>
      <c r="D18" s="11" t="s">
        <v>1604</v>
      </c>
    </row>
    <row r="19" spans="1:4" x14ac:dyDescent="0.3">
      <c r="A19" s="11" t="s">
        <v>889</v>
      </c>
      <c r="B19" s="24">
        <f>IFERROR(MATCH(A19,Kobo_Import!$A$1:$CZ$1,0),"Not found")</f>
        <v>15</v>
      </c>
      <c r="C19" s="25" t="str">
        <f t="shared" si="0"/>
        <v>Found</v>
      </c>
      <c r="D19" s="11" t="s">
        <v>1605</v>
      </c>
    </row>
    <row r="20" spans="1:4" x14ac:dyDescent="0.3">
      <c r="A20" s="11" t="s">
        <v>890</v>
      </c>
      <c r="B20" s="24">
        <f>IFERROR(MATCH(A20,Kobo_Import!$A$1:$CZ$1,0),"Not found")</f>
        <v>16</v>
      </c>
      <c r="C20" s="25" t="str">
        <f t="shared" si="0"/>
        <v>Found</v>
      </c>
      <c r="D20" s="11" t="s">
        <v>1605</v>
      </c>
    </row>
    <row r="21" spans="1:4" x14ac:dyDescent="0.3">
      <c r="A21" s="11" t="s">
        <v>891</v>
      </c>
      <c r="B21" s="24">
        <f>IFERROR(MATCH(A21,Kobo_Import!$A$1:$CZ$1,0),"Not found")</f>
        <v>17</v>
      </c>
      <c r="C21" s="25" t="str">
        <f t="shared" si="0"/>
        <v>Found</v>
      </c>
      <c r="D21" s="11" t="s">
        <v>1603</v>
      </c>
    </row>
    <row r="22" spans="1:4" x14ac:dyDescent="0.3">
      <c r="A22" s="11" t="s">
        <v>892</v>
      </c>
      <c r="B22" s="24">
        <f>IFERROR(MATCH(A22,Kobo_Import!$A$1:$CZ$1,0),"Not found")</f>
        <v>18</v>
      </c>
      <c r="C22" s="25" t="str">
        <f t="shared" si="0"/>
        <v>Found</v>
      </c>
      <c r="D22" s="11" t="s">
        <v>70</v>
      </c>
    </row>
    <row r="23" spans="1:4" x14ac:dyDescent="0.3">
      <c r="A23" s="11" t="s">
        <v>893</v>
      </c>
      <c r="B23" s="24">
        <f>IFERROR(MATCH(A23,Kobo_Import!$A$1:$CZ$1,0),"Not found")</f>
        <v>19</v>
      </c>
      <c r="C23" s="25" t="str">
        <f t="shared" si="0"/>
        <v>Found</v>
      </c>
      <c r="D23" s="11" t="s">
        <v>1603</v>
      </c>
    </row>
    <row r="24" spans="1:4" x14ac:dyDescent="0.3">
      <c r="A24" s="11" t="s">
        <v>894</v>
      </c>
      <c r="B24" s="24">
        <f>IFERROR(MATCH(A24,Kobo_Import!$A$1:$CZ$1,0),"Not found")</f>
        <v>20</v>
      </c>
      <c r="C24" s="25" t="str">
        <f t="shared" si="0"/>
        <v>Found</v>
      </c>
      <c r="D24" s="11" t="s">
        <v>1606</v>
      </c>
    </row>
    <row r="25" spans="1:4" x14ac:dyDescent="0.3">
      <c r="A25" s="11" t="s">
        <v>895</v>
      </c>
      <c r="B25" s="24">
        <f>IFERROR(MATCH(A25,Kobo_Import!$A$1:$CZ$1,0),"Not found")</f>
        <v>21</v>
      </c>
      <c r="C25" s="25" t="str">
        <f t="shared" si="0"/>
        <v>Found</v>
      </c>
      <c r="D25" s="11" t="s">
        <v>1607</v>
      </c>
    </row>
    <row r="26" spans="1:4" x14ac:dyDescent="0.3">
      <c r="A26" s="11" t="s">
        <v>896</v>
      </c>
      <c r="B26" s="24">
        <f>IFERROR(MATCH(A26,Kobo_Import!$A$1:$CZ$1,0),"Not found")</f>
        <v>22</v>
      </c>
      <c r="C26" s="25" t="str">
        <f t="shared" si="0"/>
        <v>Found</v>
      </c>
      <c r="D26" s="11" t="s">
        <v>1608</v>
      </c>
    </row>
    <row r="27" spans="1:4" x14ac:dyDescent="0.3">
      <c r="A27" s="11" t="s">
        <v>897</v>
      </c>
      <c r="B27" s="24">
        <f>IFERROR(MATCH(A27,Kobo_Import!$A$1:$CZ$1,0),"Not found")</f>
        <v>23</v>
      </c>
      <c r="C27" s="25" t="str">
        <f t="shared" si="0"/>
        <v>Found</v>
      </c>
      <c r="D27" s="11" t="s">
        <v>63</v>
      </c>
    </row>
    <row r="28" spans="1:4" x14ac:dyDescent="0.3">
      <c r="A28" s="11" t="s">
        <v>898</v>
      </c>
      <c r="B28" s="24">
        <f>IFERROR(MATCH(A28,Kobo_Import!$A$1:$CZ$1,0),"Not found")</f>
        <v>24</v>
      </c>
      <c r="C28" s="25" t="str">
        <f t="shared" si="0"/>
        <v>Found</v>
      </c>
      <c r="D28" s="11" t="s">
        <v>65</v>
      </c>
    </row>
    <row r="29" spans="1:4" x14ac:dyDescent="0.3">
      <c r="A29" s="11" t="s">
        <v>899</v>
      </c>
      <c r="B29" s="24">
        <f>IFERROR(MATCH(A29,Kobo_Import!$A$1:$CZ$1,0),"Not found")</f>
        <v>25</v>
      </c>
      <c r="C29" s="25" t="str">
        <f t="shared" si="0"/>
        <v>Found</v>
      </c>
      <c r="D29" s="11" t="s">
        <v>1609</v>
      </c>
    </row>
    <row r="30" spans="1:4" x14ac:dyDescent="0.3">
      <c r="A30" s="11" t="s">
        <v>900</v>
      </c>
      <c r="B30" s="24">
        <f>IFERROR(MATCH(A30,Kobo_Import!$A$1:$CZ$1,0),"Not found")</f>
        <v>26</v>
      </c>
      <c r="C30" s="25" t="str">
        <f t="shared" si="0"/>
        <v>Found</v>
      </c>
      <c r="D30" s="11" t="s">
        <v>1610</v>
      </c>
    </row>
    <row r="31" spans="1:4" x14ac:dyDescent="0.3">
      <c r="A31" s="11" t="s">
        <v>902</v>
      </c>
      <c r="B31" s="24">
        <f>IFERROR(MATCH(A31,Kobo_Import!$A$1:$CZ$1,0),"Not found")</f>
        <v>28</v>
      </c>
      <c r="C31" s="25" t="str">
        <f t="shared" si="0"/>
        <v>Found</v>
      </c>
      <c r="D31" s="11" t="s">
        <v>1610</v>
      </c>
    </row>
  </sheetData>
  <conditionalFormatting sqref="C5:C31">
    <cfRule type="cellIs" dxfId="1" priority="2" operator="equal">
      <formula>"Found"</formula>
    </cfRule>
    <cfRule type="cellIs" dxfId="0" priority="3" operator="equal">
      <formula>"Not found – check export"</formula>
    </cfRule>
  </conditionalFormatting>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48"/>
  <sheetViews>
    <sheetView showGridLines="0" zoomScaleNormal="100" workbookViewId="0"/>
  </sheetViews>
  <sheetFormatPr defaultColWidth="8.6640625" defaultRowHeight="14.4" x14ac:dyDescent="0.3"/>
  <cols>
    <col min="1" max="1" width="50" customWidth="1"/>
    <col min="2" max="2" width="14" customWidth="1"/>
    <col min="3" max="3" width="22" customWidth="1"/>
    <col min="4" max="4" width="82" customWidth="1"/>
  </cols>
  <sheetData>
    <row r="1" spans="1:4" ht="17.399999999999999" x14ac:dyDescent="0.3">
      <c r="A1" s="6" t="s">
        <v>1611</v>
      </c>
    </row>
    <row r="2" spans="1:4" x14ac:dyDescent="0.3">
      <c r="A2" s="7" t="s">
        <v>1612</v>
      </c>
    </row>
    <row r="4" spans="1:4" ht="42" customHeight="1" x14ac:dyDescent="0.3">
      <c r="A4" s="15" t="s">
        <v>1613</v>
      </c>
      <c r="B4" s="15" t="s">
        <v>1614</v>
      </c>
      <c r="C4" s="15" t="s">
        <v>49</v>
      </c>
      <c r="D4" s="15" t="s">
        <v>1615</v>
      </c>
    </row>
    <row r="5" spans="1:4" x14ac:dyDescent="0.3">
      <c r="A5" s="11" t="s">
        <v>26</v>
      </c>
      <c r="B5" s="40">
        <v>46053</v>
      </c>
      <c r="C5" s="11" t="s">
        <v>1616</v>
      </c>
      <c r="D5" s="41" t="s">
        <v>1617</v>
      </c>
    </row>
    <row r="6" spans="1:4" x14ac:dyDescent="0.3">
      <c r="A6" s="11" t="s">
        <v>1618</v>
      </c>
      <c r="B6" s="42">
        <v>250</v>
      </c>
      <c r="C6" s="11" t="s">
        <v>1619</v>
      </c>
      <c r="D6" s="41" t="s">
        <v>1620</v>
      </c>
    </row>
    <row r="7" spans="1:4" x14ac:dyDescent="0.3">
      <c r="A7" s="11" t="s">
        <v>1621</v>
      </c>
      <c r="B7" s="42">
        <v>20</v>
      </c>
      <c r="C7" s="11" t="s">
        <v>1619</v>
      </c>
      <c r="D7" s="41" t="s">
        <v>1622</v>
      </c>
    </row>
    <row r="8" spans="1:4" x14ac:dyDescent="0.3">
      <c r="A8" s="11" t="s">
        <v>1623</v>
      </c>
      <c r="B8" s="42">
        <v>15</v>
      </c>
      <c r="C8" s="11" t="s">
        <v>1624</v>
      </c>
      <c r="D8" s="41" t="s">
        <v>1622</v>
      </c>
    </row>
    <row r="9" spans="1:4" x14ac:dyDescent="0.3">
      <c r="A9" s="11" t="s">
        <v>1625</v>
      </c>
      <c r="B9" s="42">
        <v>2</v>
      </c>
      <c r="C9" s="11" t="s">
        <v>1626</v>
      </c>
      <c r="D9" s="41" t="s">
        <v>1627</v>
      </c>
    </row>
    <row r="10" spans="1:4" x14ac:dyDescent="0.3">
      <c r="A10" s="11" t="s">
        <v>1628</v>
      </c>
      <c r="B10" s="42">
        <v>1</v>
      </c>
      <c r="C10" s="11" t="s">
        <v>1626</v>
      </c>
      <c r="D10" s="41" t="s">
        <v>1629</v>
      </c>
    </row>
    <row r="11" spans="1:4" x14ac:dyDescent="0.3">
      <c r="A11" s="11" t="s">
        <v>1630</v>
      </c>
      <c r="B11" s="42">
        <v>2</v>
      </c>
      <c r="C11" s="11" t="s">
        <v>58</v>
      </c>
      <c r="D11" s="41" t="s">
        <v>1629</v>
      </c>
    </row>
    <row r="12" spans="1:4" x14ac:dyDescent="0.3">
      <c r="A12" s="11" t="s">
        <v>1631</v>
      </c>
      <c r="B12" s="42">
        <v>1</v>
      </c>
      <c r="C12" s="11" t="s">
        <v>951</v>
      </c>
      <c r="D12" s="41" t="s">
        <v>1629</v>
      </c>
    </row>
    <row r="13" spans="1:4" x14ac:dyDescent="0.3">
      <c r="A13" s="11" t="s">
        <v>1632</v>
      </c>
      <c r="B13" s="42">
        <v>1</v>
      </c>
      <c r="C13" s="11" t="s">
        <v>1633</v>
      </c>
      <c r="D13" s="41" t="s">
        <v>1629</v>
      </c>
    </row>
    <row r="14" spans="1:4" x14ac:dyDescent="0.3">
      <c r="A14" s="11" t="s">
        <v>1634</v>
      </c>
      <c r="B14" s="42">
        <v>1</v>
      </c>
      <c r="C14" s="11" t="s">
        <v>1635</v>
      </c>
      <c r="D14" s="41" t="s">
        <v>1636</v>
      </c>
    </row>
    <row r="15" spans="1:4" x14ac:dyDescent="0.3">
      <c r="A15" s="11" t="s">
        <v>1637</v>
      </c>
      <c r="B15" s="42">
        <v>4</v>
      </c>
      <c r="C15" s="11" t="s">
        <v>1638</v>
      </c>
      <c r="D15" s="41" t="s">
        <v>1629</v>
      </c>
    </row>
    <row r="16" spans="1:4" x14ac:dyDescent="0.3">
      <c r="A16" s="11" t="s">
        <v>1639</v>
      </c>
      <c r="B16" s="42">
        <v>1</v>
      </c>
      <c r="C16" s="11" t="s">
        <v>1633</v>
      </c>
      <c r="D16" s="41" t="s">
        <v>1629</v>
      </c>
    </row>
    <row r="17" spans="1:4" x14ac:dyDescent="0.3">
      <c r="A17" s="11" t="s">
        <v>1640</v>
      </c>
      <c r="B17" s="42">
        <v>1</v>
      </c>
      <c r="C17" s="11" t="s">
        <v>1633</v>
      </c>
      <c r="D17" s="41" t="s">
        <v>1629</v>
      </c>
    </row>
    <row r="18" spans="1:4" x14ac:dyDescent="0.3">
      <c r="A18" s="11" t="s">
        <v>1641</v>
      </c>
      <c r="B18" s="42">
        <v>14</v>
      </c>
      <c r="C18" s="11" t="s">
        <v>1642</v>
      </c>
      <c r="D18" s="41" t="s">
        <v>1643</v>
      </c>
    </row>
    <row r="19" spans="1:4" x14ac:dyDescent="0.3">
      <c r="A19" s="11" t="s">
        <v>1644</v>
      </c>
      <c r="B19" s="42">
        <v>3</v>
      </c>
      <c r="C19" s="11" t="s">
        <v>1642</v>
      </c>
      <c r="D19" s="41" t="s">
        <v>1645</v>
      </c>
    </row>
    <row r="20" spans="1:4" x14ac:dyDescent="0.3">
      <c r="A20" s="11" t="s">
        <v>1646</v>
      </c>
      <c r="B20" s="42">
        <v>14</v>
      </c>
      <c r="C20" s="11" t="s">
        <v>1642</v>
      </c>
      <c r="D20" s="41" t="s">
        <v>1645</v>
      </c>
    </row>
    <row r="21" spans="1:4" x14ac:dyDescent="0.3">
      <c r="A21" s="11" t="s">
        <v>1647</v>
      </c>
      <c r="B21" s="42">
        <v>30</v>
      </c>
      <c r="C21" s="11" t="s">
        <v>1642</v>
      </c>
      <c r="D21" s="41" t="s">
        <v>1648</v>
      </c>
    </row>
    <row r="22" spans="1:4" x14ac:dyDescent="0.3">
      <c r="A22" s="11" t="s">
        <v>1649</v>
      </c>
      <c r="B22" s="42">
        <v>2</v>
      </c>
      <c r="C22" s="11" t="s">
        <v>1650</v>
      </c>
      <c r="D22" s="41" t="s">
        <v>1651</v>
      </c>
    </row>
    <row r="23" spans="1:4" x14ac:dyDescent="0.3">
      <c r="A23" s="11" t="s">
        <v>1652</v>
      </c>
      <c r="B23" s="42">
        <v>2</v>
      </c>
      <c r="C23" s="11" t="s">
        <v>1650</v>
      </c>
      <c r="D23" s="41"/>
    </row>
    <row r="24" spans="1:4" x14ac:dyDescent="0.3">
      <c r="A24" s="11" t="s">
        <v>1653</v>
      </c>
      <c r="B24" s="42">
        <v>1</v>
      </c>
      <c r="C24" s="11" t="s">
        <v>1650</v>
      </c>
      <c r="D24" s="41"/>
    </row>
    <row r="25" spans="1:4" x14ac:dyDescent="0.3">
      <c r="A25" s="11" t="s">
        <v>1654</v>
      </c>
      <c r="B25" s="42">
        <v>1</v>
      </c>
      <c r="C25" s="11" t="s">
        <v>1650</v>
      </c>
      <c r="D25" s="41"/>
    </row>
    <row r="26" spans="1:4" x14ac:dyDescent="0.3">
      <c r="A26" s="11" t="s">
        <v>1655</v>
      </c>
      <c r="B26" s="42">
        <v>1</v>
      </c>
      <c r="C26" s="11" t="s">
        <v>1650</v>
      </c>
      <c r="D26" s="41"/>
    </row>
    <row r="27" spans="1:4" x14ac:dyDescent="0.3">
      <c r="A27" s="11" t="s">
        <v>1656</v>
      </c>
      <c r="B27" s="42">
        <v>2</v>
      </c>
      <c r="C27" s="11" t="s">
        <v>1650</v>
      </c>
      <c r="D27" s="41"/>
    </row>
    <row r="28" spans="1:4" x14ac:dyDescent="0.3">
      <c r="A28" s="11" t="s">
        <v>1657</v>
      </c>
      <c r="B28" s="42">
        <v>1</v>
      </c>
      <c r="C28" s="11" t="s">
        <v>1650</v>
      </c>
      <c r="D28" s="41"/>
    </row>
    <row r="29" spans="1:4" x14ac:dyDescent="0.3">
      <c r="A29" s="11" t="s">
        <v>1658</v>
      </c>
      <c r="B29" s="42">
        <v>1</v>
      </c>
      <c r="C29" s="11" t="s">
        <v>1650</v>
      </c>
      <c r="D29" s="41"/>
    </row>
    <row r="30" spans="1:4" x14ac:dyDescent="0.3">
      <c r="A30" s="11" t="s">
        <v>1659</v>
      </c>
      <c r="B30" s="42">
        <v>9</v>
      </c>
      <c r="C30" s="11" t="s">
        <v>1660</v>
      </c>
      <c r="D30" s="41"/>
    </row>
    <row r="31" spans="1:4" x14ac:dyDescent="0.3">
      <c r="A31" s="11" t="s">
        <v>1661</v>
      </c>
      <c r="B31" s="42">
        <v>5</v>
      </c>
      <c r="C31" s="11" t="s">
        <v>1650</v>
      </c>
      <c r="D31" s="41"/>
    </row>
    <row r="32" spans="1:4" x14ac:dyDescent="0.3">
      <c r="A32" s="11" t="s">
        <v>1662</v>
      </c>
      <c r="B32" s="42">
        <v>3</v>
      </c>
      <c r="C32" s="11" t="s">
        <v>1650</v>
      </c>
      <c r="D32" s="41"/>
    </row>
    <row r="33" spans="1:4" x14ac:dyDescent="0.3">
      <c r="A33" s="11" t="s">
        <v>1663</v>
      </c>
      <c r="B33" s="42">
        <v>4</v>
      </c>
      <c r="C33" s="11" t="s">
        <v>1664</v>
      </c>
      <c r="D33" s="41" t="s">
        <v>1665</v>
      </c>
    </row>
    <row r="34" spans="1:4" x14ac:dyDescent="0.3">
      <c r="A34" s="11" t="s">
        <v>1666</v>
      </c>
      <c r="B34" s="43">
        <v>0.05</v>
      </c>
      <c r="C34" s="11" t="s">
        <v>1667</v>
      </c>
      <c r="D34" s="41" t="s">
        <v>1668</v>
      </c>
    </row>
    <row r="36" spans="1:4" x14ac:dyDescent="0.3">
      <c r="A36" s="10" t="s">
        <v>1669</v>
      </c>
    </row>
    <row r="37" spans="1:4" x14ac:dyDescent="0.3">
      <c r="A37" s="11" t="s">
        <v>54</v>
      </c>
      <c r="B37" s="44">
        <v>12</v>
      </c>
      <c r="C37" s="11" t="s">
        <v>1670</v>
      </c>
      <c r="D37" s="41" t="s">
        <v>1671</v>
      </c>
    </row>
    <row r="38" spans="1:4" x14ac:dyDescent="0.3">
      <c r="A38" s="11" t="s">
        <v>56</v>
      </c>
      <c r="B38" s="44">
        <v>18</v>
      </c>
      <c r="C38" s="11" t="s">
        <v>1670</v>
      </c>
      <c r="D38" s="41" t="s">
        <v>1671</v>
      </c>
    </row>
    <row r="39" spans="1:4" x14ac:dyDescent="0.3">
      <c r="A39" s="11" t="s">
        <v>57</v>
      </c>
      <c r="B39" s="44">
        <v>25</v>
      </c>
      <c r="C39" s="11" t="s">
        <v>1670</v>
      </c>
      <c r="D39" s="41" t="s">
        <v>1671</v>
      </c>
    </row>
    <row r="40" spans="1:4" x14ac:dyDescent="0.3">
      <c r="A40" s="11" t="s">
        <v>59</v>
      </c>
      <c r="B40" s="44">
        <v>180</v>
      </c>
      <c r="C40" s="11" t="s">
        <v>1670</v>
      </c>
      <c r="D40" s="41" t="s">
        <v>1671</v>
      </c>
    </row>
    <row r="41" spans="1:4" x14ac:dyDescent="0.3">
      <c r="A41" s="11" t="s">
        <v>61</v>
      </c>
      <c r="B41" s="44">
        <v>20</v>
      </c>
      <c r="C41" s="11" t="s">
        <v>1670</v>
      </c>
      <c r="D41" s="41" t="s">
        <v>1671</v>
      </c>
    </row>
    <row r="42" spans="1:4" x14ac:dyDescent="0.3">
      <c r="A42" s="11" t="s">
        <v>63</v>
      </c>
      <c r="B42" s="44">
        <v>15</v>
      </c>
      <c r="C42" s="11" t="s">
        <v>1670</v>
      </c>
      <c r="D42" s="41" t="s">
        <v>1671</v>
      </c>
    </row>
    <row r="43" spans="1:4" x14ac:dyDescent="0.3">
      <c r="A43" s="11" t="s">
        <v>65</v>
      </c>
      <c r="B43" s="44">
        <v>20</v>
      </c>
      <c r="C43" s="11" t="s">
        <v>1670</v>
      </c>
      <c r="D43" s="41" t="s">
        <v>1671</v>
      </c>
    </row>
    <row r="44" spans="1:4" x14ac:dyDescent="0.3">
      <c r="A44" s="11" t="s">
        <v>66</v>
      </c>
      <c r="B44" s="44">
        <v>9</v>
      </c>
      <c r="C44" s="11" t="s">
        <v>1670</v>
      </c>
      <c r="D44" s="41" t="s">
        <v>1671</v>
      </c>
    </row>
    <row r="45" spans="1:4" x14ac:dyDescent="0.3">
      <c r="A45" s="11" t="s">
        <v>68</v>
      </c>
      <c r="B45" s="44">
        <v>22</v>
      </c>
      <c r="C45" s="11" t="s">
        <v>1670</v>
      </c>
      <c r="D45" s="41" t="s">
        <v>1671</v>
      </c>
    </row>
    <row r="46" spans="1:4" x14ac:dyDescent="0.3">
      <c r="A46" s="11" t="s">
        <v>70</v>
      </c>
      <c r="B46" s="44">
        <v>8</v>
      </c>
      <c r="C46" s="11" t="s">
        <v>1670</v>
      </c>
      <c r="D46" s="41" t="s">
        <v>1671</v>
      </c>
    </row>
    <row r="47" spans="1:4" x14ac:dyDescent="0.3">
      <c r="A47" s="11" t="s">
        <v>868</v>
      </c>
      <c r="B47" s="44">
        <v>450</v>
      </c>
      <c r="C47" s="11" t="s">
        <v>1670</v>
      </c>
      <c r="D47" s="41" t="s">
        <v>1671</v>
      </c>
    </row>
    <row r="48" spans="1:4" x14ac:dyDescent="0.3">
      <c r="A48" s="11" t="s">
        <v>871</v>
      </c>
      <c r="B48" s="44">
        <v>250</v>
      </c>
      <c r="C48" s="11" t="s">
        <v>1670</v>
      </c>
      <c r="D48" s="41" t="s">
        <v>1671</v>
      </c>
    </row>
  </sheetData>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9"/>
  <sheetViews>
    <sheetView showGridLines="0" zoomScaleNormal="100" workbookViewId="0"/>
  </sheetViews>
  <sheetFormatPr defaultColWidth="8.6640625" defaultRowHeight="14.4" x14ac:dyDescent="0.3"/>
  <cols>
    <col min="1" max="1" width="28" customWidth="1"/>
    <col min="2" max="3" width="21" customWidth="1"/>
    <col min="4" max="4" width="48" customWidth="1"/>
    <col min="5" max="6" width="16" customWidth="1"/>
    <col min="7" max="7" width="38" customWidth="1"/>
    <col min="8" max="8" width="29" customWidth="1"/>
    <col min="9" max="9" width="16" customWidth="1"/>
    <col min="10" max="10" width="18" customWidth="1"/>
    <col min="12" max="12" width="14" customWidth="1"/>
    <col min="13" max="13" width="18" customWidth="1"/>
    <col min="14" max="14" width="30" customWidth="1"/>
  </cols>
  <sheetData>
    <row r="1" spans="1:14" ht="17.399999999999999" x14ac:dyDescent="0.3">
      <c r="A1" s="6" t="s">
        <v>1672</v>
      </c>
    </row>
    <row r="2" spans="1:14" x14ac:dyDescent="0.3">
      <c r="A2" s="7" t="s">
        <v>1673</v>
      </c>
    </row>
    <row r="4" spans="1:14" ht="26.4" x14ac:dyDescent="0.3">
      <c r="A4" s="15" t="s">
        <v>1674</v>
      </c>
      <c r="B4" s="15" t="s">
        <v>1675</v>
      </c>
      <c r="C4" s="15" t="s">
        <v>1676</v>
      </c>
      <c r="D4" s="15" t="s">
        <v>1677</v>
      </c>
      <c r="E4" s="15" t="s">
        <v>1678</v>
      </c>
      <c r="F4" s="15" t="s">
        <v>1679</v>
      </c>
      <c r="G4" s="15" t="s">
        <v>1680</v>
      </c>
      <c r="H4" s="15" t="s">
        <v>1681</v>
      </c>
      <c r="I4" s="15" t="s">
        <v>1682</v>
      </c>
      <c r="J4" s="15" t="s">
        <v>1683</v>
      </c>
      <c r="L4" s="15" t="s">
        <v>1684</v>
      </c>
      <c r="M4" s="15" t="s">
        <v>1685</v>
      </c>
      <c r="N4" s="15" t="s">
        <v>1686</v>
      </c>
    </row>
    <row r="5" spans="1:14" x14ac:dyDescent="0.3">
      <c r="A5" s="29" t="s">
        <v>54</v>
      </c>
      <c r="B5" s="29" t="s">
        <v>93</v>
      </c>
      <c r="C5" s="29" t="s">
        <v>679</v>
      </c>
      <c r="D5" s="29" t="s">
        <v>101</v>
      </c>
      <c r="E5" s="29" t="s">
        <v>761</v>
      </c>
      <c r="F5" s="29" t="s">
        <v>91</v>
      </c>
      <c r="G5" s="29" t="s">
        <v>185</v>
      </c>
      <c r="H5" s="29" t="s">
        <v>77</v>
      </c>
      <c r="I5" s="29" t="s">
        <v>182</v>
      </c>
      <c r="J5" s="29" t="s">
        <v>855</v>
      </c>
      <c r="L5" s="29" t="s">
        <v>1687</v>
      </c>
      <c r="M5" s="29" t="s">
        <v>917</v>
      </c>
      <c r="N5" s="29" t="s">
        <v>182</v>
      </c>
    </row>
    <row r="6" spans="1:14" x14ac:dyDescent="0.3">
      <c r="A6" s="29" t="s">
        <v>56</v>
      </c>
      <c r="B6" s="29" t="s">
        <v>94</v>
      </c>
      <c r="C6" s="29" t="s">
        <v>701</v>
      </c>
      <c r="D6" s="29" t="s">
        <v>102</v>
      </c>
      <c r="E6" s="29" t="s">
        <v>751</v>
      </c>
      <c r="F6" s="29" t="s">
        <v>759</v>
      </c>
      <c r="G6" s="29" t="s">
        <v>351</v>
      </c>
      <c r="H6" s="29" t="s">
        <v>78</v>
      </c>
      <c r="I6" s="29" t="s">
        <v>327</v>
      </c>
      <c r="J6" s="29" t="s">
        <v>847</v>
      </c>
      <c r="L6" s="29" t="s">
        <v>1687</v>
      </c>
      <c r="M6" s="29" t="s">
        <v>920</v>
      </c>
      <c r="N6" s="29" t="s">
        <v>327</v>
      </c>
    </row>
    <row r="7" spans="1:14" x14ac:dyDescent="0.3">
      <c r="A7" s="29" t="s">
        <v>57</v>
      </c>
      <c r="B7" s="29" t="s">
        <v>95</v>
      </c>
      <c r="C7" s="29" t="s">
        <v>681</v>
      </c>
      <c r="D7" s="29" t="s">
        <v>103</v>
      </c>
      <c r="E7" s="29" t="s">
        <v>744</v>
      </c>
      <c r="F7" s="29" t="s">
        <v>746</v>
      </c>
      <c r="G7" s="29" t="s">
        <v>191</v>
      </c>
      <c r="H7" s="29" t="s">
        <v>79</v>
      </c>
      <c r="J7" s="29" t="s">
        <v>759</v>
      </c>
      <c r="L7" s="29" t="s">
        <v>1688</v>
      </c>
      <c r="M7" s="29" t="s">
        <v>916</v>
      </c>
      <c r="N7" s="29" t="s">
        <v>1689</v>
      </c>
    </row>
    <row r="8" spans="1:14" x14ac:dyDescent="0.3">
      <c r="A8" s="29" t="s">
        <v>59</v>
      </c>
      <c r="B8" s="29" t="s">
        <v>96</v>
      </c>
      <c r="C8" s="29" t="s">
        <v>675</v>
      </c>
      <c r="D8" s="29" t="s">
        <v>104</v>
      </c>
      <c r="E8" s="29" t="s">
        <v>768</v>
      </c>
      <c r="G8" s="29" t="s">
        <v>181</v>
      </c>
      <c r="H8" s="29" t="s">
        <v>80</v>
      </c>
      <c r="J8" s="29" t="s">
        <v>851</v>
      </c>
      <c r="L8" s="29" t="s">
        <v>1688</v>
      </c>
      <c r="M8" s="29" t="s">
        <v>1252</v>
      </c>
      <c r="N8" s="29" t="s">
        <v>1690</v>
      </c>
    </row>
    <row r="9" spans="1:14" x14ac:dyDescent="0.3">
      <c r="A9" s="29" t="s">
        <v>61</v>
      </c>
      <c r="B9" s="29" t="s">
        <v>97</v>
      </c>
      <c r="E9" s="29" t="s">
        <v>781</v>
      </c>
      <c r="G9" s="29" t="s">
        <v>189</v>
      </c>
      <c r="L9" s="29" t="s">
        <v>1691</v>
      </c>
      <c r="M9" s="29" t="s">
        <v>928</v>
      </c>
      <c r="N9" s="29" t="s">
        <v>77</v>
      </c>
    </row>
    <row r="10" spans="1:14" x14ac:dyDescent="0.3">
      <c r="A10" s="29" t="s">
        <v>63</v>
      </c>
      <c r="E10" s="29" t="s">
        <v>123</v>
      </c>
      <c r="L10" s="29" t="s">
        <v>1691</v>
      </c>
      <c r="M10" s="29" t="s">
        <v>914</v>
      </c>
      <c r="N10" s="29" t="s">
        <v>78</v>
      </c>
    </row>
    <row r="11" spans="1:14" x14ac:dyDescent="0.3">
      <c r="A11" s="29" t="s">
        <v>65</v>
      </c>
      <c r="E11" s="29" t="s">
        <v>748</v>
      </c>
      <c r="L11" s="29" t="s">
        <v>1691</v>
      </c>
      <c r="M11" s="29" t="s">
        <v>950</v>
      </c>
      <c r="N11" s="29" t="s">
        <v>79</v>
      </c>
    </row>
    <row r="12" spans="1:14" x14ac:dyDescent="0.3">
      <c r="A12" s="29" t="s">
        <v>66</v>
      </c>
      <c r="L12" s="29" t="s">
        <v>1691</v>
      </c>
      <c r="M12" s="29" t="s">
        <v>995</v>
      </c>
      <c r="N12" s="29" t="s">
        <v>80</v>
      </c>
    </row>
    <row r="13" spans="1:14" x14ac:dyDescent="0.3">
      <c r="A13" s="29" t="s">
        <v>68</v>
      </c>
      <c r="L13" s="29" t="s">
        <v>1692</v>
      </c>
      <c r="M13" s="29" t="s">
        <v>918</v>
      </c>
      <c r="N13" s="29" t="s">
        <v>1693</v>
      </c>
    </row>
    <row r="14" spans="1:14" x14ac:dyDescent="0.3">
      <c r="A14" s="29" t="s">
        <v>70</v>
      </c>
      <c r="L14" s="29" t="s">
        <v>1692</v>
      </c>
      <c r="M14" s="29" t="s">
        <v>951</v>
      </c>
      <c r="N14" s="29" t="s">
        <v>1694</v>
      </c>
    </row>
    <row r="15" spans="1:14" x14ac:dyDescent="0.3">
      <c r="L15" s="29" t="s">
        <v>1692</v>
      </c>
      <c r="M15" s="29" t="s">
        <v>976</v>
      </c>
      <c r="N15" s="29" t="s">
        <v>1695</v>
      </c>
    </row>
    <row r="16" spans="1:14" x14ac:dyDescent="0.3">
      <c r="L16" s="29" t="s">
        <v>1692</v>
      </c>
      <c r="M16" s="29" t="s">
        <v>997</v>
      </c>
      <c r="N16" s="29" t="s">
        <v>1696</v>
      </c>
    </row>
    <row r="17" spans="12:14" x14ac:dyDescent="0.3">
      <c r="L17" s="29" t="s">
        <v>1697</v>
      </c>
      <c r="M17" s="29" t="s">
        <v>919</v>
      </c>
      <c r="N17" s="29" t="s">
        <v>1698</v>
      </c>
    </row>
    <row r="18" spans="12:14" x14ac:dyDescent="0.3">
      <c r="L18" s="29" t="s">
        <v>1697</v>
      </c>
      <c r="M18" s="29" t="s">
        <v>943</v>
      </c>
      <c r="N18" s="29" t="s">
        <v>1699</v>
      </c>
    </row>
    <row r="19" spans="12:14" x14ac:dyDescent="0.3">
      <c r="L19" s="29" t="s">
        <v>1697</v>
      </c>
      <c r="M19" s="29" t="s">
        <v>952</v>
      </c>
      <c r="N19" s="29" t="s">
        <v>1700</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README</vt:lpstr>
      <vt:lpstr>Dashboard</vt:lpstr>
      <vt:lpstr>Follow_Up_List</vt:lpstr>
      <vt:lpstr>Households</vt:lpstr>
      <vt:lpstr>Needs_Gaps</vt:lpstr>
      <vt:lpstr>Assistance_Log</vt:lpstr>
      <vt:lpstr>Referrals</vt:lpstr>
      <vt:lpstr>Maintenance_Log</vt:lpstr>
      <vt:lpstr>Site_Profile</vt:lpstr>
      <vt:lpstr>Community_Initiatives</vt:lpstr>
      <vt:lpstr>BoQ_Draft</vt:lpstr>
      <vt:lpstr>Kobo_Import</vt:lpstr>
      <vt:lpstr>Import_Index</vt:lpstr>
      <vt:lpstr>Field_Map</vt:lpstr>
      <vt:lpstr>Settings</vt:lpstr>
      <vt:lpstr>Lists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 .</cp:lastModifiedBy>
  <cp:revision>1</cp:revision>
  <dcterms:created xsi:type="dcterms:W3CDTF">2026-10-20T13:50:25Z</dcterms:created>
  <dcterms:modified xsi:type="dcterms:W3CDTF">2026-10-20T14:29:25Z</dcterms:modified>
  <dc:language>en-US</dc:language>
</cp:coreProperties>
</file>